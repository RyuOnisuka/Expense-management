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drawings/drawing6.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hidePivotFieldList="1" defaultThemeVersion="166925"/>
  <mc:AlternateContent xmlns:mc="http://schemas.openxmlformats.org/markup-compatibility/2006">
    <mc:Choice Requires="x15">
      <x15ac:absPath xmlns:x15ac="http://schemas.microsoft.com/office/spreadsheetml/2010/11/ac" url="/Users/shevchengolf/"/>
    </mc:Choice>
  </mc:AlternateContent>
  <xr:revisionPtr revIDLastSave="0" documentId="8_{CC6F5867-5E29-B148-9D71-0B5B0EB3ED4C}" xr6:coauthVersionLast="47" xr6:coauthVersionMax="47" xr10:uidLastSave="{00000000-0000-0000-0000-000000000000}"/>
  <bookViews>
    <workbookView xWindow="0" yWindow="580" windowWidth="25600" windowHeight="14620" tabRatio="721" activeTab="10" xr2:uid="{27EBABA4-3BAF-47A4-9B9D-B4FD8211669E}"/>
  </bookViews>
  <sheets>
    <sheet name="Apr22" sheetId="1" state="hidden" r:id="rId1"/>
    <sheet name="May22" sheetId="2" state="hidden" r:id="rId2"/>
    <sheet name="Jun22" sheetId="3" state="hidden" r:id="rId3"/>
    <sheet name="Jul22" sheetId="4" state="hidden" r:id="rId4"/>
    <sheet name="Aug22" sheetId="5" state="hidden" r:id="rId5"/>
    <sheet name="Sep22" sheetId="6" state="hidden" r:id="rId6"/>
    <sheet name="Oct22" sheetId="8" state="hidden" r:id="rId7"/>
    <sheet name="Nov22" sheetId="9" state="hidden" r:id="rId8"/>
    <sheet name="Dec22" sheetId="10" state="hidden" r:id="rId9"/>
    <sheet name="Jan23" sheetId="11" state="hidden" r:id="rId10"/>
    <sheet name="MyExpense" sheetId="13" r:id="rId11"/>
    <sheet name="BigC Cal" sheetId="22" r:id="rId12"/>
    <sheet name="Total AMT" sheetId="16" r:id="rId13"/>
    <sheet name="PK AMT" sheetId="18" r:id="rId14"/>
    <sheet name="NC AMT" sheetId="20" r:id="rId15"/>
    <sheet name="Installment" sheetId="19" r:id="rId16"/>
    <sheet name="Pivot_Payment" sheetId="15" r:id="rId17"/>
    <sheet name="SumInstallment" sheetId="7" state="hidden" r:id="rId18"/>
  </sheets>
  <definedNames>
    <definedName name="Slicer_App_Payment">#N/A</definedName>
    <definedName name="Slicer_Due_Date__Month">#N/A</definedName>
    <definedName name="Slicer_Due_Date__Year">#N/A</definedName>
    <definedName name="Slicer_Due_Date__Year1">#N/A</definedName>
    <definedName name="Slicer_Due_Date__Year2">#N/A</definedName>
    <definedName name="Slicer_Due_Date__Year3">#N/A</definedName>
    <definedName name="Slicer_Payment_Code">#N/A</definedName>
  </definedNames>
  <calcPr calcId="191028"/>
  <pivotCaches>
    <pivotCache cacheId="0" r:id="rId19"/>
    <pivotCache cacheId="1" r:id="rId20"/>
    <pivotCache cacheId="2" r:id="rId21"/>
    <pivotCache cacheId="3" r:id="rId22"/>
    <pivotCache cacheId="4" r:id="rId23"/>
  </pivotCaches>
  <extLst>
    <ext xmlns:x14="http://schemas.microsoft.com/office/spreadsheetml/2009/9/main" uri="{876F7934-8845-4945-9796-88D515C7AA90}">
      <x14:pivotCaches>
        <pivotCache cacheId="5" r:id="rId24"/>
        <pivotCache cacheId="6" r:id="rId25"/>
        <pivotCache cacheId="7" r:id="rId26"/>
        <pivotCache cacheId="8" r:id="rId27"/>
      </x14:pivotCaches>
    </ex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y_Payment_28f9eaa7-2d67-48ef-a071-fe73804f3101" name="My_Payment" connection="Query - My_Payme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35" i="13" l="1"/>
  <c r="J1635" i="13"/>
  <c r="I1634" i="13"/>
  <c r="J1634" i="13"/>
  <c r="I1633" i="13"/>
  <c r="J1633" i="13"/>
  <c r="I1632" i="13"/>
  <c r="J1632" i="13"/>
  <c r="I1631" i="13"/>
  <c r="J1631" i="13"/>
  <c r="I1630" i="13"/>
  <c r="J1630" i="13"/>
  <c r="I1629" i="13"/>
  <c r="J1629" i="13"/>
  <c r="I1628" i="13"/>
  <c r="J1628" i="13"/>
  <c r="I1619" i="13"/>
  <c r="I1620" i="13"/>
  <c r="I1621" i="13"/>
  <c r="I1622" i="13"/>
  <c r="I1623" i="13"/>
  <c r="I1624" i="13"/>
  <c r="I1625" i="13"/>
  <c r="I1626" i="13"/>
  <c r="I1627" i="13"/>
  <c r="J1619" i="13"/>
  <c r="J1620" i="13"/>
  <c r="J1621" i="13"/>
  <c r="J1622" i="13"/>
  <c r="J1623" i="13"/>
  <c r="J1624" i="13"/>
  <c r="J1625" i="13"/>
  <c r="J1626" i="13"/>
  <c r="J1627" i="13"/>
  <c r="I1618" i="13"/>
  <c r="J1618" i="13"/>
  <c r="I1617" i="13"/>
  <c r="J1617" i="13"/>
  <c r="I1616" i="13"/>
  <c r="J1616" i="13"/>
  <c r="I1615" i="13"/>
  <c r="J1615" i="13"/>
  <c r="J1614" i="13"/>
  <c r="I1614" i="13"/>
  <c r="H1593" i="13"/>
  <c r="H1589" i="13"/>
  <c r="H1585" i="13"/>
  <c r="H1581" i="13"/>
  <c r="H1577" i="13"/>
  <c r="H1573" i="13"/>
  <c r="I1573" i="13" s="1"/>
  <c r="I1613" i="13"/>
  <c r="J1613" i="13"/>
  <c r="I1612" i="13"/>
  <c r="J1612" i="13"/>
  <c r="I1611" i="13"/>
  <c r="J1611" i="13"/>
  <c r="I1610" i="13"/>
  <c r="J1610" i="13"/>
  <c r="I1608" i="13"/>
  <c r="I1609" i="13"/>
  <c r="J1608" i="13"/>
  <c r="J1609" i="13"/>
  <c r="I1607" i="13"/>
  <c r="J1607" i="13"/>
  <c r="I1604" i="13"/>
  <c r="I1605" i="13"/>
  <c r="I1606" i="13"/>
  <c r="J1604" i="13"/>
  <c r="J1605" i="13"/>
  <c r="J1606" i="13"/>
  <c r="I1601" i="13"/>
  <c r="I1602" i="13"/>
  <c r="I1603" i="13"/>
  <c r="J1601" i="13"/>
  <c r="J1602" i="13"/>
  <c r="J1603" i="13"/>
  <c r="J1600" i="13"/>
  <c r="I1600" i="13"/>
  <c r="I1599" i="13"/>
  <c r="J1599" i="13"/>
  <c r="I1598" i="13"/>
  <c r="J1598" i="13"/>
  <c r="I1597" i="13"/>
  <c r="J1597" i="13"/>
  <c r="I1596" i="13"/>
  <c r="J1596" i="13"/>
  <c r="I1595" i="13"/>
  <c r="J1595" i="13"/>
  <c r="I1594" i="13"/>
  <c r="J1594" i="13"/>
  <c r="H1592" i="13"/>
  <c r="H1591" i="13"/>
  <c r="H1590" i="13"/>
  <c r="I1593" i="13" s="1"/>
  <c r="H1588" i="13"/>
  <c r="H1587" i="13"/>
  <c r="H1586" i="13"/>
  <c r="I1589" i="13" s="1"/>
  <c r="H1584" i="13"/>
  <c r="H1583" i="13"/>
  <c r="H1582" i="13"/>
  <c r="I1585" i="13" s="1"/>
  <c r="H1580" i="13"/>
  <c r="H1579" i="13"/>
  <c r="H1578" i="13"/>
  <c r="H1576" i="13"/>
  <c r="H1575" i="13"/>
  <c r="H1574" i="13"/>
  <c r="H1570" i="13"/>
  <c r="H1572" i="13"/>
  <c r="H1571" i="13"/>
  <c r="H1566" i="13"/>
  <c r="H1568" i="13"/>
  <c r="H1567" i="13"/>
  <c r="H1569" i="13"/>
  <c r="I1569" i="13" s="1"/>
  <c r="I1590" i="13"/>
  <c r="I1591" i="13"/>
  <c r="I1592" i="13"/>
  <c r="J1590" i="13"/>
  <c r="J1591" i="13"/>
  <c r="J1592" i="13"/>
  <c r="J1593" i="13"/>
  <c r="I1586" i="13"/>
  <c r="I1587" i="13"/>
  <c r="I1588" i="13"/>
  <c r="J1586" i="13"/>
  <c r="J1587" i="13"/>
  <c r="J1588" i="13"/>
  <c r="J1589" i="13"/>
  <c r="I1582" i="13"/>
  <c r="I1583" i="13"/>
  <c r="I1584" i="13"/>
  <c r="J1582" i="13"/>
  <c r="J1583" i="13"/>
  <c r="J1584" i="13"/>
  <c r="J1585" i="13"/>
  <c r="I1578" i="13"/>
  <c r="I1579" i="13"/>
  <c r="I1580" i="13"/>
  <c r="J1578" i="13"/>
  <c r="J1579" i="13"/>
  <c r="J1580" i="13"/>
  <c r="J1581" i="13"/>
  <c r="I1574" i="13"/>
  <c r="I1575" i="13"/>
  <c r="I1576" i="13"/>
  <c r="J1574" i="13"/>
  <c r="J1575" i="13"/>
  <c r="J1576" i="13"/>
  <c r="J1577" i="13"/>
  <c r="I1570" i="13"/>
  <c r="I1571" i="13"/>
  <c r="I1572" i="13"/>
  <c r="J1570" i="13"/>
  <c r="J1571" i="13"/>
  <c r="J1572" i="13"/>
  <c r="J1573" i="13"/>
  <c r="I1566" i="13"/>
  <c r="I1567" i="13"/>
  <c r="I1568" i="13"/>
  <c r="J1566" i="13"/>
  <c r="J1567" i="13"/>
  <c r="J1568" i="13"/>
  <c r="J1569" i="13"/>
  <c r="I1564" i="13"/>
  <c r="J1564" i="13"/>
  <c r="I1562" i="13"/>
  <c r="J1562" i="13"/>
  <c r="I1561" i="13"/>
  <c r="J1561" i="13"/>
  <c r="I1560" i="13"/>
  <c r="J1560" i="13"/>
  <c r="I1559" i="13"/>
  <c r="J1559" i="13"/>
  <c r="I1558" i="13"/>
  <c r="J1558" i="13"/>
  <c r="I1557" i="13"/>
  <c r="J1557" i="13"/>
  <c r="I1556" i="13"/>
  <c r="J1556" i="13"/>
  <c r="I1555" i="13"/>
  <c r="J1555" i="13"/>
  <c r="I1554" i="13"/>
  <c r="J1554" i="13"/>
  <c r="I1553" i="13"/>
  <c r="J1553" i="13"/>
  <c r="I1552" i="13"/>
  <c r="J1552" i="13"/>
  <c r="I1551" i="13"/>
  <c r="J1551" i="13"/>
  <c r="I1550" i="13"/>
  <c r="J1550" i="13"/>
  <c r="I1549" i="13"/>
  <c r="J1549" i="13"/>
  <c r="I1536" i="13"/>
  <c r="J1536" i="13"/>
  <c r="I1508" i="13"/>
  <c r="I1535" i="13"/>
  <c r="J1535" i="13"/>
  <c r="I1534" i="13"/>
  <c r="J1534" i="13"/>
  <c r="I1533" i="13"/>
  <c r="J1533" i="13"/>
  <c r="I1532" i="13"/>
  <c r="J1532" i="13"/>
  <c r="I1531" i="13"/>
  <c r="J1531" i="13"/>
  <c r="I1530" i="13"/>
  <c r="J1530" i="13"/>
  <c r="I1529" i="13"/>
  <c r="J1529" i="13"/>
  <c r="I1528" i="13"/>
  <c r="J1528" i="13"/>
  <c r="I1527" i="13"/>
  <c r="J1527" i="13"/>
  <c r="I1526" i="13"/>
  <c r="J1526" i="13"/>
  <c r="I1525" i="13"/>
  <c r="J1525" i="13"/>
  <c r="J1524" i="13"/>
  <c r="I1524" i="13"/>
  <c r="I1523" i="13"/>
  <c r="J1523" i="13"/>
  <c r="I1522" i="13"/>
  <c r="J1522" i="13"/>
  <c r="I1521" i="13"/>
  <c r="J1521" i="13"/>
  <c r="J1520" i="13"/>
  <c r="J1519" i="13"/>
  <c r="H1519" i="13"/>
  <c r="I1519" i="13" s="1"/>
  <c r="J1518" i="13"/>
  <c r="H1518" i="13"/>
  <c r="I1518" i="13" s="1"/>
  <c r="J1517" i="13"/>
  <c r="I1517" i="13"/>
  <c r="H1517" i="13"/>
  <c r="H1520" i="13" s="1"/>
  <c r="I1520" i="13" s="1"/>
  <c r="J1516" i="13"/>
  <c r="I1516" i="13"/>
  <c r="J1515" i="13"/>
  <c r="I1515" i="13"/>
  <c r="J1514" i="13"/>
  <c r="I1514" i="13"/>
  <c r="J1513" i="13"/>
  <c r="I1513" i="13"/>
  <c r="J1512" i="13"/>
  <c r="I1512" i="13"/>
  <c r="J1511" i="13"/>
  <c r="I1511" i="13"/>
  <c r="J1510" i="13"/>
  <c r="I1510" i="13"/>
  <c r="I1509" i="13"/>
  <c r="J1509" i="13"/>
  <c r="I1507" i="13"/>
  <c r="J1507" i="13"/>
  <c r="I1506" i="13"/>
  <c r="J1506" i="13"/>
  <c r="I1505" i="13"/>
  <c r="J1505" i="13"/>
  <c r="I1504" i="13"/>
  <c r="J1504" i="13"/>
  <c r="I1502" i="13"/>
  <c r="I1503" i="13"/>
  <c r="J1502" i="13"/>
  <c r="J1503" i="13"/>
  <c r="I1498" i="13"/>
  <c r="I1499" i="13"/>
  <c r="I1500" i="13"/>
  <c r="I1501" i="13"/>
  <c r="J1498" i="13"/>
  <c r="J1499" i="13"/>
  <c r="J1500" i="13"/>
  <c r="J1501" i="13"/>
  <c r="I1486" i="13"/>
  <c r="I1487" i="13"/>
  <c r="I1488" i="13"/>
  <c r="I1489" i="13"/>
  <c r="I1490" i="13"/>
  <c r="I1491" i="13"/>
  <c r="I1492" i="13"/>
  <c r="I1493" i="13"/>
  <c r="I1494" i="13"/>
  <c r="I1495" i="13"/>
  <c r="I1496" i="13"/>
  <c r="I1497" i="13"/>
  <c r="J1486" i="13"/>
  <c r="J1487" i="13"/>
  <c r="J1488" i="13"/>
  <c r="J1489" i="13"/>
  <c r="J1490" i="13"/>
  <c r="J1491" i="13"/>
  <c r="J1492" i="13"/>
  <c r="J1493" i="13"/>
  <c r="J1494" i="13"/>
  <c r="J1495" i="13"/>
  <c r="J1496" i="13"/>
  <c r="J1497" i="13"/>
  <c r="H41" i="22"/>
  <c r="I1483" i="13"/>
  <c r="J1483" i="13"/>
  <c r="I1481" i="13"/>
  <c r="J1482" i="13" s="1"/>
  <c r="J1481" i="13"/>
  <c r="I1480" i="13"/>
  <c r="J1480" i="13"/>
  <c r="I1479" i="13"/>
  <c r="J1479" i="13"/>
  <c r="I1478" i="13"/>
  <c r="J1478" i="13"/>
  <c r="I1477" i="13"/>
  <c r="J1477" i="13"/>
  <c r="I1476" i="13"/>
  <c r="J1476" i="13"/>
  <c r="I1475" i="13"/>
  <c r="J1475" i="13"/>
  <c r="I1474" i="13"/>
  <c r="J1474" i="13"/>
  <c r="I1473" i="13"/>
  <c r="J1473" i="13"/>
  <c r="I1472" i="13"/>
  <c r="J1472" i="13"/>
  <c r="I1471" i="13"/>
  <c r="J1471" i="13"/>
  <c r="I1470" i="13"/>
  <c r="J1470" i="13"/>
  <c r="I1469" i="13"/>
  <c r="J1469" i="13"/>
  <c r="I1468" i="13"/>
  <c r="J1468" i="13"/>
  <c r="I1467" i="13"/>
  <c r="J1467" i="13"/>
  <c r="I1466" i="13"/>
  <c r="J1466" i="13"/>
  <c r="I1465" i="13"/>
  <c r="J1465" i="13"/>
  <c r="J1464" i="13"/>
  <c r="J1463" i="13"/>
  <c r="H1463" i="13"/>
  <c r="I1463" i="13" s="1"/>
  <c r="J1462" i="13"/>
  <c r="H1462" i="13"/>
  <c r="I1462" i="13" s="1"/>
  <c r="J1461" i="13"/>
  <c r="H1461" i="13"/>
  <c r="I1460" i="13"/>
  <c r="J1460" i="13"/>
  <c r="I1459" i="13"/>
  <c r="J1459" i="13"/>
  <c r="I1458" i="13"/>
  <c r="J1458" i="13"/>
  <c r="I1457" i="13"/>
  <c r="J1457" i="13"/>
  <c r="I1456" i="13"/>
  <c r="J1456" i="13"/>
  <c r="I1455" i="13"/>
  <c r="J1455" i="13"/>
  <c r="I1454" i="13"/>
  <c r="J1454" i="13"/>
  <c r="I1453" i="13"/>
  <c r="J1453" i="13"/>
  <c r="I1452" i="13"/>
  <c r="J1452" i="13"/>
  <c r="I1451" i="13"/>
  <c r="J1451" i="13"/>
  <c r="I1450" i="13"/>
  <c r="J1450" i="13"/>
  <c r="I1449" i="13"/>
  <c r="J1449" i="13"/>
  <c r="I1448" i="13"/>
  <c r="J1448" i="13"/>
  <c r="I1447" i="13"/>
  <c r="J1447" i="13"/>
  <c r="I1446" i="13"/>
  <c r="J1446" i="13"/>
  <c r="I1445" i="13"/>
  <c r="J1445" i="13"/>
  <c r="I1444" i="13"/>
  <c r="J1444" i="13"/>
  <c r="I1443" i="13"/>
  <c r="J1443" i="13"/>
  <c r="I1442" i="13"/>
  <c r="J1442" i="13"/>
  <c r="I1441" i="13"/>
  <c r="J1441" i="13"/>
  <c r="I1440" i="13"/>
  <c r="J1440" i="13"/>
  <c r="I1439" i="13"/>
  <c r="J1439" i="13"/>
  <c r="I1438" i="13"/>
  <c r="J1438" i="13"/>
  <c r="I1437" i="13"/>
  <c r="J1437" i="13"/>
  <c r="I1435" i="13"/>
  <c r="J1435" i="13"/>
  <c r="I1434" i="13"/>
  <c r="J1434" i="13"/>
  <c r="I1433" i="13"/>
  <c r="J1433" i="13"/>
  <c r="I1432" i="13"/>
  <c r="J1432" i="13"/>
  <c r="I1430" i="13"/>
  <c r="J1430" i="13"/>
  <c r="I1429" i="13"/>
  <c r="J1429" i="13"/>
  <c r="I1428" i="13"/>
  <c r="J1428" i="13"/>
  <c r="I1427" i="13"/>
  <c r="J1427" i="13"/>
  <c r="I1426" i="13"/>
  <c r="J1426" i="13"/>
  <c r="I1425" i="13"/>
  <c r="J1425" i="13"/>
  <c r="I1424" i="13"/>
  <c r="J1424" i="13"/>
  <c r="I1423" i="13"/>
  <c r="J1423" i="13"/>
  <c r="I1422" i="13"/>
  <c r="J1422" i="13"/>
  <c r="I1421" i="13"/>
  <c r="J1421" i="13"/>
  <c r="I1420" i="13"/>
  <c r="J1420" i="13"/>
  <c r="I1419" i="13"/>
  <c r="J1419" i="13"/>
  <c r="I1406" i="13"/>
  <c r="J1406" i="13"/>
  <c r="I1404" i="13"/>
  <c r="J1404" i="13"/>
  <c r="I1403" i="13"/>
  <c r="J1403" i="13"/>
  <c r="I1402" i="13"/>
  <c r="J1402" i="13"/>
  <c r="I1401" i="13"/>
  <c r="J1401" i="13"/>
  <c r="I1400" i="13"/>
  <c r="J1400" i="13"/>
  <c r="I1399" i="13"/>
  <c r="J1399" i="13"/>
  <c r="I1398" i="13"/>
  <c r="J1398" i="13"/>
  <c r="J1397" i="13"/>
  <c r="J1396" i="13"/>
  <c r="H1396" i="13"/>
  <c r="I1396" i="13" s="1"/>
  <c r="J1395" i="13"/>
  <c r="I1395" i="13"/>
  <c r="H1395" i="13"/>
  <c r="J1394" i="13"/>
  <c r="I1394" i="13"/>
  <c r="H1394" i="13"/>
  <c r="H1397" i="13" s="1"/>
  <c r="I1397" i="13" s="1"/>
  <c r="H1315" i="13"/>
  <c r="H1314" i="13"/>
  <c r="H1313" i="13"/>
  <c r="H1077" i="13"/>
  <c r="H1079" i="13" s="1"/>
  <c r="H1076" i="13"/>
  <c r="H1078" i="13"/>
  <c r="I1393" i="13"/>
  <c r="J1393" i="13"/>
  <c r="I1392" i="13"/>
  <c r="I1391" i="13"/>
  <c r="J1391" i="13"/>
  <c r="J1390" i="13"/>
  <c r="I1390" i="13"/>
  <c r="J1389" i="13"/>
  <c r="I1389" i="13"/>
  <c r="J1388" i="13"/>
  <c r="I1388" i="13"/>
  <c r="J1387" i="13"/>
  <c r="I1387" i="13"/>
  <c r="J1386" i="13"/>
  <c r="I1386" i="13"/>
  <c r="J1385" i="13"/>
  <c r="I1385" i="13"/>
  <c r="J1384" i="13"/>
  <c r="I1384" i="13"/>
  <c r="J1383" i="13"/>
  <c r="I1383" i="13"/>
  <c r="J1382" i="13"/>
  <c r="I1382" i="13"/>
  <c r="J1381" i="13"/>
  <c r="I1381" i="13"/>
  <c r="J1380" i="13"/>
  <c r="I1380" i="13"/>
  <c r="J1379" i="13"/>
  <c r="I1379" i="13"/>
  <c r="J1378" i="13"/>
  <c r="I1378" i="13"/>
  <c r="J1377" i="13"/>
  <c r="I1377" i="13"/>
  <c r="J1376" i="13"/>
  <c r="I1376" i="13"/>
  <c r="J1375" i="13"/>
  <c r="I1375" i="13"/>
  <c r="J1374" i="13"/>
  <c r="I1374" i="13"/>
  <c r="J1373" i="13"/>
  <c r="I1373" i="13"/>
  <c r="J1372" i="13"/>
  <c r="I1372" i="13"/>
  <c r="J1371" i="13"/>
  <c r="I1371" i="13"/>
  <c r="J1370" i="13"/>
  <c r="I1370" i="13"/>
  <c r="J1369" i="13"/>
  <c r="I1369" i="13"/>
  <c r="J1368" i="13"/>
  <c r="I1368" i="13"/>
  <c r="J1367" i="13"/>
  <c r="I1367" i="13"/>
  <c r="J1366" i="13"/>
  <c r="I1366" i="13"/>
  <c r="J1365" i="13"/>
  <c r="I1365" i="13"/>
  <c r="J1364" i="13"/>
  <c r="I1364" i="13"/>
  <c r="J1363" i="13"/>
  <c r="I1363" i="13"/>
  <c r="J1362" i="13"/>
  <c r="I1362" i="13"/>
  <c r="J1361" i="13"/>
  <c r="I1361" i="13"/>
  <c r="J1360" i="13"/>
  <c r="I1360" i="13"/>
  <c r="J1359" i="13"/>
  <c r="I1359" i="13"/>
  <c r="J1358" i="13"/>
  <c r="I1358" i="13"/>
  <c r="J1357" i="13"/>
  <c r="I1357" i="13"/>
  <c r="J1356" i="13"/>
  <c r="I1356" i="13"/>
  <c r="J1355" i="13"/>
  <c r="I1355" i="13"/>
  <c r="I1354" i="13"/>
  <c r="J1354" i="13"/>
  <c r="I1353" i="13"/>
  <c r="J1353" i="13"/>
  <c r="I1352" i="13"/>
  <c r="J1352" i="13"/>
  <c r="I1351" i="13"/>
  <c r="J1351" i="13"/>
  <c r="I1350" i="13"/>
  <c r="J1350" i="13"/>
  <c r="I1349" i="13"/>
  <c r="J1349" i="13"/>
  <c r="I1337" i="13"/>
  <c r="I1338" i="13"/>
  <c r="I1339" i="13"/>
  <c r="I1340" i="13"/>
  <c r="I1341" i="13"/>
  <c r="I1342" i="13"/>
  <c r="I1343" i="13"/>
  <c r="I1344" i="13"/>
  <c r="I1345" i="13"/>
  <c r="I1346" i="13"/>
  <c r="I1347" i="13"/>
  <c r="I1348" i="13"/>
  <c r="J1337" i="13"/>
  <c r="J1338" i="13"/>
  <c r="J1339" i="13"/>
  <c r="J1340" i="13"/>
  <c r="J1341" i="13"/>
  <c r="J1342" i="13"/>
  <c r="J1343" i="13"/>
  <c r="J1344" i="13"/>
  <c r="J1345" i="13"/>
  <c r="J1346" i="13"/>
  <c r="J1347" i="13"/>
  <c r="J1348" i="13"/>
  <c r="I1336" i="13"/>
  <c r="J1336" i="13"/>
  <c r="I1335" i="13"/>
  <c r="J1335" i="13"/>
  <c r="I1334" i="13"/>
  <c r="J1334" i="13"/>
  <c r="I1333" i="13"/>
  <c r="J1333" i="13"/>
  <c r="I1332" i="13"/>
  <c r="J1332" i="13"/>
  <c r="I1331" i="13"/>
  <c r="J1331" i="13"/>
  <c r="I1330" i="13"/>
  <c r="J1330" i="13"/>
  <c r="I1329" i="13"/>
  <c r="J1329" i="13"/>
  <c r="I1328" i="13"/>
  <c r="J1328" i="13"/>
  <c r="I1327" i="13"/>
  <c r="J1327" i="13"/>
  <c r="I1326" i="13"/>
  <c r="J1326" i="13"/>
  <c r="I1325" i="13"/>
  <c r="J1325" i="13"/>
  <c r="I1324" i="13"/>
  <c r="J1324" i="13"/>
  <c r="I1323" i="13"/>
  <c r="J1323" i="13"/>
  <c r="I1322" i="13"/>
  <c r="J1322" i="13"/>
  <c r="I1321" i="13"/>
  <c r="J1321" i="13"/>
  <c r="I1320" i="13"/>
  <c r="J1320" i="13"/>
  <c r="J1319" i="13"/>
  <c r="I1319" i="13"/>
  <c r="J1318" i="13"/>
  <c r="I1318" i="13"/>
  <c r="I1317" i="13"/>
  <c r="J1317" i="13"/>
  <c r="J1316" i="13"/>
  <c r="J1315" i="13"/>
  <c r="I1315" i="13"/>
  <c r="J1314" i="13"/>
  <c r="I1314" i="13"/>
  <c r="J1313" i="13"/>
  <c r="I1313" i="13"/>
  <c r="H1316" i="13"/>
  <c r="I1316" i="13" s="1"/>
  <c r="H1071" i="13"/>
  <c r="J1310" i="13"/>
  <c r="I1310" i="13"/>
  <c r="I1312" i="13"/>
  <c r="J1312" i="13"/>
  <c r="I1311" i="13"/>
  <c r="J1311" i="13"/>
  <c r="I1309" i="13"/>
  <c r="J1309" i="13"/>
  <c r="I1308" i="13"/>
  <c r="J1308" i="13"/>
  <c r="I1307" i="13"/>
  <c r="J1307" i="13"/>
  <c r="I1306" i="13"/>
  <c r="J1306" i="13"/>
  <c r="I1305" i="13"/>
  <c r="J1305" i="13"/>
  <c r="I1304" i="13"/>
  <c r="J1304" i="13"/>
  <c r="I1303" i="13"/>
  <c r="J1303" i="13"/>
  <c r="I1302" i="13"/>
  <c r="J1302" i="13"/>
  <c r="I1301" i="13"/>
  <c r="J1301" i="13"/>
  <c r="I1300" i="13"/>
  <c r="J1300" i="13"/>
  <c r="I1299" i="13"/>
  <c r="J1299" i="13"/>
  <c r="I1298" i="13"/>
  <c r="J1298" i="13"/>
  <c r="J1288" i="13"/>
  <c r="I1284" i="13"/>
  <c r="J1284" i="13"/>
  <c r="H1072" i="13"/>
  <c r="H1073" i="13"/>
  <c r="H1074" i="13"/>
  <c r="I1074" i="13" s="1"/>
  <c r="H1070" i="13"/>
  <c r="I1070" i="13" s="1"/>
  <c r="I1078" i="13"/>
  <c r="H1067" i="13"/>
  <c r="I1283" i="13"/>
  <c r="J1283" i="13"/>
  <c r="I1282" i="13"/>
  <c r="J1282" i="13"/>
  <c r="I1281" i="13"/>
  <c r="J1281" i="13"/>
  <c r="I1280" i="13"/>
  <c r="J1280" i="13"/>
  <c r="H1069" i="13"/>
  <c r="I1069" i="13" s="1"/>
  <c r="H1065" i="13"/>
  <c r="I1065" i="13" s="1"/>
  <c r="H1061" i="13"/>
  <c r="H1063" i="13" s="1"/>
  <c r="I1278" i="13"/>
  <c r="J1278" i="13"/>
  <c r="I1277" i="13"/>
  <c r="J1277" i="13"/>
  <c r="H1059" i="13"/>
  <c r="I1276" i="13"/>
  <c r="J1276" i="13"/>
  <c r="I1275" i="13"/>
  <c r="J1275" i="13"/>
  <c r="I1274" i="13"/>
  <c r="J1274" i="13"/>
  <c r="I1273" i="13"/>
  <c r="J1273" i="13"/>
  <c r="I1272" i="13"/>
  <c r="J1272" i="13"/>
  <c r="I1271" i="13"/>
  <c r="J1271" i="13"/>
  <c r="I1270" i="13"/>
  <c r="J1270" i="13"/>
  <c r="I1269" i="13"/>
  <c r="J1269" i="13"/>
  <c r="I1268" i="13"/>
  <c r="J1268" i="13"/>
  <c r="I1266" i="13"/>
  <c r="J1266" i="13"/>
  <c r="I1265" i="13"/>
  <c r="J1265" i="13"/>
  <c r="I1264" i="13"/>
  <c r="J1264" i="13"/>
  <c r="I1263" i="13"/>
  <c r="J1263" i="13"/>
  <c r="I1262" i="13"/>
  <c r="J1262" i="13"/>
  <c r="I1261" i="13"/>
  <c r="J1261" i="13"/>
  <c r="I1260" i="13"/>
  <c r="J1260" i="13"/>
  <c r="I1259" i="13"/>
  <c r="J1259" i="13"/>
  <c r="I1258" i="13"/>
  <c r="J1258" i="13"/>
  <c r="I1257" i="13"/>
  <c r="J1257" i="13"/>
  <c r="I1256" i="13"/>
  <c r="J1256" i="13"/>
  <c r="I1255" i="13"/>
  <c r="J1255" i="13"/>
  <c r="J1254" i="13"/>
  <c r="I1254" i="13"/>
  <c r="I1253" i="13"/>
  <c r="J1253" i="13"/>
  <c r="I1252" i="13"/>
  <c r="J1252" i="13"/>
  <c r="I1251" i="13"/>
  <c r="J1251" i="13"/>
  <c r="I1250" i="13"/>
  <c r="J1250" i="13"/>
  <c r="I1249" i="13"/>
  <c r="J1249" i="13"/>
  <c r="I1248" i="13"/>
  <c r="J1248" i="13"/>
  <c r="I1247" i="13"/>
  <c r="J1247" i="13"/>
  <c r="I1246" i="13"/>
  <c r="J1246" i="13"/>
  <c r="I1245" i="13"/>
  <c r="J1245" i="13"/>
  <c r="I1244" i="13"/>
  <c r="J1244" i="13"/>
  <c r="I1243" i="13"/>
  <c r="J1243" i="13"/>
  <c r="I1242" i="13"/>
  <c r="J1242" i="13"/>
  <c r="I1238" i="13"/>
  <c r="I1239" i="13"/>
  <c r="I1240" i="13"/>
  <c r="I1241" i="13"/>
  <c r="J1238" i="13"/>
  <c r="J1239" i="13"/>
  <c r="J1240" i="13"/>
  <c r="J1241" i="13"/>
  <c r="I1237" i="13"/>
  <c r="J1237" i="13"/>
  <c r="I1236" i="13"/>
  <c r="J1236" i="13"/>
  <c r="I1076" i="13"/>
  <c r="H1068" i="13"/>
  <c r="H1064" i="13"/>
  <c r="H1060" i="13"/>
  <c r="H1056" i="13"/>
  <c r="H1052" i="13"/>
  <c r="H1048" i="13"/>
  <c r="I1048" i="13" s="1"/>
  <c r="H1044" i="13"/>
  <c r="I1044" i="13" s="1"/>
  <c r="H1057" i="13"/>
  <c r="H1050" i="13"/>
  <c r="I1050" i="13" s="1"/>
  <c r="I1235" i="13"/>
  <c r="J1235" i="13"/>
  <c r="I1234" i="13"/>
  <c r="J1234" i="13"/>
  <c r="I1233" i="13"/>
  <c r="J1233" i="13"/>
  <c r="I1232" i="13"/>
  <c r="J1232" i="13"/>
  <c r="I1230" i="13"/>
  <c r="J1230" i="13"/>
  <c r="I1229" i="13"/>
  <c r="J1229" i="13"/>
  <c r="I1228" i="13"/>
  <c r="J1228" i="13"/>
  <c r="I1227" i="13"/>
  <c r="J1227" i="13"/>
  <c r="I1226" i="13"/>
  <c r="J1226" i="13"/>
  <c r="I1225" i="13"/>
  <c r="J1225" i="13"/>
  <c r="I1224" i="13"/>
  <c r="J1224" i="13"/>
  <c r="I1223" i="13"/>
  <c r="J1223" i="13"/>
  <c r="I1222" i="13"/>
  <c r="J1222" i="13"/>
  <c r="H1054" i="13"/>
  <c r="I1054" i="13" s="1"/>
  <c r="H1046" i="13"/>
  <c r="I1046" i="13" s="1"/>
  <c r="I1221" i="13"/>
  <c r="J1221" i="13"/>
  <c r="I1220" i="13"/>
  <c r="J1220" i="13"/>
  <c r="I1219" i="13"/>
  <c r="J1219" i="13"/>
  <c r="I1218" i="13"/>
  <c r="J1218" i="13"/>
  <c r="I1217" i="13"/>
  <c r="J1217" i="13"/>
  <c r="I1216" i="13"/>
  <c r="J1216" i="13"/>
  <c r="I1215" i="13"/>
  <c r="J1215" i="13"/>
  <c r="J1214" i="13"/>
  <c r="I1213" i="13"/>
  <c r="J1213" i="13"/>
  <c r="I1212" i="13"/>
  <c r="J1212" i="13"/>
  <c r="I1210" i="13"/>
  <c r="J1210" i="13"/>
  <c r="I1209" i="13"/>
  <c r="J1209" i="13"/>
  <c r="I1193" i="13"/>
  <c r="J1193" i="13"/>
  <c r="J1192" i="13"/>
  <c r="I1192" i="13"/>
  <c r="J1191" i="13"/>
  <c r="I1191" i="13"/>
  <c r="J1190" i="13"/>
  <c r="I1190" i="13"/>
  <c r="J1189" i="13"/>
  <c r="I1189" i="13"/>
  <c r="J1188" i="13"/>
  <c r="I1188" i="13"/>
  <c r="I1187" i="13"/>
  <c r="J1187" i="13"/>
  <c r="I1186" i="13"/>
  <c r="J1186" i="13"/>
  <c r="I1185" i="13"/>
  <c r="J1185" i="13"/>
  <c r="I1184" i="13"/>
  <c r="J1184" i="13"/>
  <c r="I1183" i="13"/>
  <c r="J1183" i="13"/>
  <c r="I1182" i="13"/>
  <c r="J1182" i="13"/>
  <c r="I1181" i="13"/>
  <c r="J1181" i="13"/>
  <c r="I1180" i="13"/>
  <c r="J1180" i="13"/>
  <c r="I1179" i="13"/>
  <c r="J1179" i="13"/>
  <c r="I1178" i="13"/>
  <c r="J1178" i="13"/>
  <c r="I1177" i="13"/>
  <c r="J1177" i="13"/>
  <c r="I1176" i="13"/>
  <c r="J1176" i="13"/>
  <c r="I1175" i="13"/>
  <c r="J1175" i="13"/>
  <c r="I1174" i="13"/>
  <c r="J1174" i="13"/>
  <c r="I1173" i="13"/>
  <c r="J1173" i="13"/>
  <c r="I1172" i="13"/>
  <c r="J1172" i="13"/>
  <c r="I1171" i="13"/>
  <c r="J1171" i="13"/>
  <c r="I1170" i="13"/>
  <c r="J1170" i="13"/>
  <c r="H1042" i="13"/>
  <c r="I1042" i="13" s="1"/>
  <c r="H1066" i="13"/>
  <c r="I1066" i="13" s="1"/>
  <c r="H1058" i="13"/>
  <c r="I1058" i="13" s="1"/>
  <c r="I1169" i="13"/>
  <c r="J1169" i="13"/>
  <c r="I1168" i="13"/>
  <c r="J1168" i="13"/>
  <c r="J1167" i="13"/>
  <c r="I1167" i="13"/>
  <c r="I1166" i="13"/>
  <c r="J1166" i="13"/>
  <c r="I1165" i="13"/>
  <c r="J1165" i="13"/>
  <c r="I1164" i="13"/>
  <c r="J1164" i="13"/>
  <c r="I1162" i="13"/>
  <c r="J1162" i="13"/>
  <c r="I1161" i="13"/>
  <c r="J1161" i="13"/>
  <c r="I1156" i="13"/>
  <c r="I1157" i="13"/>
  <c r="I1158" i="13"/>
  <c r="I1159" i="13"/>
  <c r="I1160" i="13"/>
  <c r="J1156" i="13"/>
  <c r="J1157" i="13"/>
  <c r="J1158" i="13"/>
  <c r="J1159" i="13"/>
  <c r="J1160" i="13"/>
  <c r="I1155" i="13"/>
  <c r="J1155" i="13"/>
  <c r="I1154" i="13"/>
  <c r="J1154" i="13"/>
  <c r="I1153" i="13"/>
  <c r="J1153" i="13"/>
  <c r="I1152" i="13"/>
  <c r="J1152" i="13"/>
  <c r="I1151" i="13"/>
  <c r="J1151" i="13"/>
  <c r="I1150" i="13"/>
  <c r="J1150" i="13"/>
  <c r="I1149" i="13"/>
  <c r="J1149" i="13"/>
  <c r="I1148" i="13"/>
  <c r="J1148" i="13"/>
  <c r="I1147" i="13"/>
  <c r="J1147" i="13"/>
  <c r="I1146" i="13"/>
  <c r="J1146" i="13"/>
  <c r="I1145" i="13"/>
  <c r="J1145" i="13"/>
  <c r="I1144" i="13"/>
  <c r="J1144" i="13"/>
  <c r="I1130" i="13"/>
  <c r="J1130" i="13"/>
  <c r="I1129" i="13"/>
  <c r="J1129" i="13"/>
  <c r="I1128" i="13"/>
  <c r="J1128" i="13"/>
  <c r="I1127" i="13"/>
  <c r="J1127" i="13"/>
  <c r="I1126" i="13"/>
  <c r="J1126" i="13"/>
  <c r="I1125" i="13"/>
  <c r="J1125" i="13"/>
  <c r="I1124" i="13"/>
  <c r="J1124" i="13"/>
  <c r="I1123" i="13"/>
  <c r="J1123" i="13"/>
  <c r="I1122" i="13"/>
  <c r="J1122" i="13"/>
  <c r="I1121" i="13"/>
  <c r="J1121" i="13"/>
  <c r="I1120" i="13"/>
  <c r="J1120" i="13"/>
  <c r="I1119" i="13"/>
  <c r="J1119" i="13"/>
  <c r="I1118" i="13"/>
  <c r="J1118" i="13"/>
  <c r="I1117" i="13"/>
  <c r="J1117" i="13"/>
  <c r="I1116" i="13"/>
  <c r="J1116" i="13"/>
  <c r="I1092" i="13"/>
  <c r="I1093" i="13"/>
  <c r="I1094" i="13"/>
  <c r="I1095" i="13"/>
  <c r="I1096" i="13"/>
  <c r="I1097" i="13"/>
  <c r="I1098" i="13"/>
  <c r="J1092" i="13"/>
  <c r="J1093" i="13"/>
  <c r="J1094" i="13"/>
  <c r="J1095" i="13"/>
  <c r="J1096" i="13"/>
  <c r="J1097" i="13"/>
  <c r="J1098" i="13"/>
  <c r="I1099" i="13"/>
  <c r="I1100" i="13"/>
  <c r="I1101" i="13"/>
  <c r="I1102" i="13"/>
  <c r="I1103" i="13"/>
  <c r="I1104" i="13"/>
  <c r="I1105" i="13"/>
  <c r="I1106" i="13"/>
  <c r="I1107" i="13"/>
  <c r="I1108" i="13"/>
  <c r="I1109" i="13"/>
  <c r="I1110" i="13"/>
  <c r="I1111" i="13"/>
  <c r="I1112" i="13"/>
  <c r="I1113" i="13"/>
  <c r="I1114" i="13"/>
  <c r="I1115" i="13"/>
  <c r="J1099" i="13"/>
  <c r="J1100" i="13"/>
  <c r="J1101" i="13"/>
  <c r="J1102" i="13"/>
  <c r="J1103" i="13"/>
  <c r="J1104" i="13"/>
  <c r="J1105" i="13"/>
  <c r="J1106" i="13"/>
  <c r="J1107" i="13"/>
  <c r="J1108" i="13"/>
  <c r="J1109" i="13"/>
  <c r="J1110" i="13"/>
  <c r="J1111" i="13"/>
  <c r="J1112" i="13"/>
  <c r="J1113" i="13"/>
  <c r="J1114" i="13"/>
  <c r="J1115" i="13"/>
  <c r="J1091" i="13"/>
  <c r="I1091" i="13"/>
  <c r="J1090" i="13"/>
  <c r="I1090" i="13"/>
  <c r="J1089" i="13"/>
  <c r="I1089" i="13"/>
  <c r="J1088" i="13"/>
  <c r="I1088" i="13"/>
  <c r="J1087" i="13"/>
  <c r="I1087" i="13"/>
  <c r="J1086" i="13"/>
  <c r="I1086" i="13"/>
  <c r="J1085" i="13"/>
  <c r="I1085" i="13"/>
  <c r="J1084" i="13"/>
  <c r="I1084" i="13"/>
  <c r="J1083" i="13"/>
  <c r="I1083" i="13"/>
  <c r="J1082" i="13"/>
  <c r="I1082" i="13"/>
  <c r="J1081" i="13"/>
  <c r="I1081" i="13"/>
  <c r="I1080" i="13"/>
  <c r="J1080" i="13"/>
  <c r="J1079" i="13"/>
  <c r="J1078" i="13"/>
  <c r="J1077" i="13"/>
  <c r="J1076" i="13"/>
  <c r="J1075" i="13"/>
  <c r="J1074" i="13"/>
  <c r="J1073" i="13"/>
  <c r="J1072" i="13"/>
  <c r="I1072" i="13"/>
  <c r="J1071" i="13"/>
  <c r="J1070" i="13"/>
  <c r="J1069" i="13"/>
  <c r="J1068" i="13"/>
  <c r="I1068" i="13"/>
  <c r="J1067" i="13"/>
  <c r="J1066" i="13"/>
  <c r="J1065" i="13"/>
  <c r="J1064" i="13"/>
  <c r="I1064" i="13"/>
  <c r="J1063" i="13"/>
  <c r="J1062" i="13"/>
  <c r="I1062" i="13"/>
  <c r="J1061" i="13"/>
  <c r="J1060" i="13"/>
  <c r="J1059" i="13"/>
  <c r="J1058" i="13"/>
  <c r="J1057" i="13"/>
  <c r="J1056" i="13"/>
  <c r="I1056" i="13"/>
  <c r="J1055" i="13"/>
  <c r="J1054" i="13"/>
  <c r="J1053" i="13"/>
  <c r="H1053" i="13"/>
  <c r="I1053" i="13" s="1"/>
  <c r="J1052" i="13"/>
  <c r="I1052" i="13"/>
  <c r="J1051" i="13"/>
  <c r="J1050" i="13"/>
  <c r="J1049" i="13"/>
  <c r="H1049" i="13"/>
  <c r="I1049" i="13" s="1"/>
  <c r="J1048" i="13"/>
  <c r="J1047" i="13"/>
  <c r="J1046" i="13"/>
  <c r="J1045" i="13"/>
  <c r="H1045" i="13"/>
  <c r="J1044" i="13"/>
  <c r="J1043" i="13"/>
  <c r="J1042" i="13"/>
  <c r="J1041" i="13"/>
  <c r="H1041" i="13"/>
  <c r="J1040" i="13"/>
  <c r="I1040" i="13"/>
  <c r="J1039" i="13"/>
  <c r="J1038" i="13"/>
  <c r="H1038" i="13"/>
  <c r="I1038" i="13" s="1"/>
  <c r="J1037" i="13"/>
  <c r="H1037" i="13"/>
  <c r="I1037" i="13" s="1"/>
  <c r="J1036" i="13"/>
  <c r="I1036" i="13"/>
  <c r="J1035" i="13"/>
  <c r="I1035" i="13"/>
  <c r="J1034" i="13"/>
  <c r="I1034" i="13"/>
  <c r="J1033" i="13"/>
  <c r="I1033" i="13"/>
  <c r="J1031" i="13"/>
  <c r="I1031" i="13"/>
  <c r="J1032" i="13"/>
  <c r="I1032" i="13"/>
  <c r="I1030" i="13"/>
  <c r="J1030" i="13"/>
  <c r="I1029" i="13"/>
  <c r="J1029" i="13"/>
  <c r="J1028" i="13"/>
  <c r="I1028" i="13"/>
  <c r="J1027" i="13"/>
  <c r="I1027" i="13"/>
  <c r="I1026" i="13"/>
  <c r="J1026" i="13"/>
  <c r="I1025" i="13"/>
  <c r="J1025" i="13"/>
  <c r="H846" i="13"/>
  <c r="H842" i="13"/>
  <c r="I842" i="13" s="1"/>
  <c r="H838" i="13"/>
  <c r="I1024" i="13"/>
  <c r="J1024" i="13"/>
  <c r="I1023" i="13"/>
  <c r="J1023" i="13"/>
  <c r="I1022" i="13"/>
  <c r="J1022" i="13"/>
  <c r="I1021" i="13"/>
  <c r="J1021" i="13"/>
  <c r="J1020" i="13"/>
  <c r="I1020" i="13"/>
  <c r="J1019" i="13"/>
  <c r="I1019" i="13"/>
  <c r="J1018" i="13"/>
  <c r="I1018" i="13"/>
  <c r="J1017" i="13"/>
  <c r="I1017" i="13"/>
  <c r="J1016" i="13"/>
  <c r="I1016" i="13"/>
  <c r="I1015" i="13"/>
  <c r="J1015" i="13"/>
  <c r="I1011" i="13"/>
  <c r="J1011" i="13"/>
  <c r="I1010" i="13"/>
  <c r="J1010" i="13"/>
  <c r="I1009" i="13"/>
  <c r="J1009" i="13"/>
  <c r="I1008" i="13"/>
  <c r="J1008" i="13"/>
  <c r="I1006" i="13"/>
  <c r="J1006" i="13"/>
  <c r="I1004" i="13"/>
  <c r="I1005" i="13"/>
  <c r="J1004" i="13"/>
  <c r="J1005" i="13"/>
  <c r="J1003" i="13"/>
  <c r="I1003" i="13"/>
  <c r="I1002" i="13"/>
  <c r="J1002" i="13"/>
  <c r="I1001" i="13"/>
  <c r="J1001" i="13"/>
  <c r="H834" i="13"/>
  <c r="I834" i="13" s="1"/>
  <c r="J1000" i="13"/>
  <c r="I1000" i="13"/>
  <c r="J999" i="13"/>
  <c r="I999" i="13"/>
  <c r="J998" i="13"/>
  <c r="I998" i="13"/>
  <c r="J997" i="13"/>
  <c r="I997" i="13"/>
  <c r="J996" i="13"/>
  <c r="I996" i="13"/>
  <c r="J995" i="13"/>
  <c r="I995" i="13"/>
  <c r="J994" i="13"/>
  <c r="I994" i="13"/>
  <c r="J993" i="13"/>
  <c r="I993" i="13"/>
  <c r="J992" i="13"/>
  <c r="I992" i="13"/>
  <c r="J991" i="13"/>
  <c r="I991" i="13"/>
  <c r="J990" i="13"/>
  <c r="I990" i="13"/>
  <c r="J989" i="13"/>
  <c r="I989" i="13"/>
  <c r="J988" i="13"/>
  <c r="I988" i="13"/>
  <c r="J987" i="13"/>
  <c r="I987" i="13"/>
  <c r="I986" i="13"/>
  <c r="J986" i="13"/>
  <c r="I985" i="13"/>
  <c r="J985" i="13"/>
  <c r="I984" i="13"/>
  <c r="J984" i="13"/>
  <c r="I983" i="13"/>
  <c r="J983" i="13"/>
  <c r="I964" i="13"/>
  <c r="J964" i="13"/>
  <c r="I981" i="13"/>
  <c r="J981" i="13"/>
  <c r="I980" i="13"/>
  <c r="J980" i="13"/>
  <c r="I970" i="13"/>
  <c r="I971" i="13"/>
  <c r="I972" i="13"/>
  <c r="I973" i="13"/>
  <c r="I974" i="13"/>
  <c r="I975" i="13"/>
  <c r="I976" i="13"/>
  <c r="I977" i="13"/>
  <c r="I978" i="13"/>
  <c r="I979" i="13"/>
  <c r="J970" i="13"/>
  <c r="J971" i="13"/>
  <c r="J972" i="13"/>
  <c r="J973" i="13"/>
  <c r="J974" i="13"/>
  <c r="J975" i="13"/>
  <c r="J976" i="13"/>
  <c r="J977" i="13"/>
  <c r="J978" i="13"/>
  <c r="J979" i="13"/>
  <c r="I969" i="13"/>
  <c r="J969" i="13"/>
  <c r="I968" i="13"/>
  <c r="J968" i="13"/>
  <c r="I967" i="13"/>
  <c r="J967" i="13"/>
  <c r="I966" i="13"/>
  <c r="J966" i="13"/>
  <c r="I965" i="13"/>
  <c r="J965" i="13"/>
  <c r="I963" i="13"/>
  <c r="J963" i="13"/>
  <c r="I962" i="13"/>
  <c r="J962" i="13"/>
  <c r="I961" i="13"/>
  <c r="J961" i="13"/>
  <c r="I958" i="13"/>
  <c r="J958" i="13"/>
  <c r="I957" i="13"/>
  <c r="J957" i="13"/>
  <c r="H821" i="13"/>
  <c r="I821" i="13" s="1"/>
  <c r="H825" i="13"/>
  <c r="I825" i="13" s="1"/>
  <c r="J956" i="13"/>
  <c r="I956" i="13"/>
  <c r="J955" i="13"/>
  <c r="I955" i="13"/>
  <c r="J954" i="13"/>
  <c r="I954" i="13"/>
  <c r="I950" i="13"/>
  <c r="I951" i="13"/>
  <c r="I952" i="13"/>
  <c r="I953" i="13"/>
  <c r="J950" i="13"/>
  <c r="J951" i="13"/>
  <c r="J952" i="13"/>
  <c r="J953" i="13"/>
  <c r="I949" i="13"/>
  <c r="J949" i="13"/>
  <c r="I948" i="13"/>
  <c r="J948" i="13"/>
  <c r="I947" i="13"/>
  <c r="J947" i="13"/>
  <c r="I946" i="13"/>
  <c r="J946" i="13"/>
  <c r="I945" i="13"/>
  <c r="J945" i="13"/>
  <c r="I944" i="13"/>
  <c r="J944" i="13"/>
  <c r="I943" i="13"/>
  <c r="J943" i="13"/>
  <c r="I942" i="13"/>
  <c r="J942" i="13"/>
  <c r="I916" i="13"/>
  <c r="J916" i="13"/>
  <c r="I915" i="13"/>
  <c r="J915" i="13"/>
  <c r="I914" i="13"/>
  <c r="J914" i="13"/>
  <c r="I913" i="13"/>
  <c r="J913" i="13"/>
  <c r="I912" i="13"/>
  <c r="J912" i="13"/>
  <c r="I911" i="13"/>
  <c r="J911" i="13"/>
  <c r="I910" i="13"/>
  <c r="J910" i="13"/>
  <c r="I909" i="13"/>
  <c r="J909" i="13"/>
  <c r="I908" i="13"/>
  <c r="J908" i="13"/>
  <c r="I907" i="13"/>
  <c r="J907" i="13"/>
  <c r="I906" i="13"/>
  <c r="J906" i="13"/>
  <c r="I905" i="13"/>
  <c r="J905" i="13"/>
  <c r="I904" i="13"/>
  <c r="J904" i="13"/>
  <c r="I903" i="13"/>
  <c r="J903" i="13"/>
  <c r="I902" i="13"/>
  <c r="J902" i="13"/>
  <c r="I901" i="13"/>
  <c r="J901" i="13"/>
  <c r="I900" i="13"/>
  <c r="J900" i="13"/>
  <c r="I899" i="13"/>
  <c r="J899" i="13"/>
  <c r="I896" i="13"/>
  <c r="J896" i="13"/>
  <c r="I895" i="13"/>
  <c r="J895" i="13"/>
  <c r="I894" i="13"/>
  <c r="J894" i="13"/>
  <c r="I891" i="13"/>
  <c r="J891" i="13"/>
  <c r="I890" i="13"/>
  <c r="J890" i="13"/>
  <c r="I889" i="13"/>
  <c r="J889" i="13"/>
  <c r="I888" i="13"/>
  <c r="J888" i="13"/>
  <c r="I887" i="13"/>
  <c r="J887" i="13"/>
  <c r="I886" i="13"/>
  <c r="J886" i="13"/>
  <c r="J41" i="22"/>
  <c r="I40" i="22"/>
  <c r="I42" i="22" s="1"/>
  <c r="H40" i="22"/>
  <c r="H42" i="22" s="1"/>
  <c r="G40" i="22"/>
  <c r="G42" i="22" s="1"/>
  <c r="J39" i="22"/>
  <c r="J38" i="22"/>
  <c r="J37" i="22"/>
  <c r="J36" i="22"/>
  <c r="J35" i="22"/>
  <c r="J34" i="22"/>
  <c r="J33" i="22"/>
  <c r="J32" i="22"/>
  <c r="J31" i="22"/>
  <c r="J30" i="22"/>
  <c r="J29" i="22"/>
  <c r="J28" i="22"/>
  <c r="J27" i="22"/>
  <c r="J26" i="22"/>
  <c r="J25" i="22"/>
  <c r="J24" i="22"/>
  <c r="J23" i="22"/>
  <c r="J22" i="22"/>
  <c r="J21" i="22"/>
  <c r="J20" i="22"/>
  <c r="J19" i="22"/>
  <c r="J18" i="22"/>
  <c r="J17" i="22"/>
  <c r="J16" i="22"/>
  <c r="J15" i="22"/>
  <c r="J14" i="22"/>
  <c r="J13" i="22"/>
  <c r="J12" i="22"/>
  <c r="J11" i="22"/>
  <c r="J10" i="22"/>
  <c r="J9" i="22"/>
  <c r="J8" i="22"/>
  <c r="J7" i="22"/>
  <c r="J6" i="22"/>
  <c r="J5" i="22"/>
  <c r="J4" i="22"/>
  <c r="J3" i="22"/>
  <c r="J2" i="22"/>
  <c r="I880" i="13"/>
  <c r="J880" i="13"/>
  <c r="H793" i="13"/>
  <c r="H791" i="13"/>
  <c r="H789" i="13"/>
  <c r="H787" i="13"/>
  <c r="H785" i="13"/>
  <c r="H783" i="13"/>
  <c r="H781" i="13"/>
  <c r="H779" i="13"/>
  <c r="H777" i="13"/>
  <c r="H775" i="13"/>
  <c r="J879" i="13"/>
  <c r="H879" i="13"/>
  <c r="I879" i="13" s="1"/>
  <c r="J878" i="13"/>
  <c r="H878" i="13"/>
  <c r="I878" i="13" s="1"/>
  <c r="J877" i="13"/>
  <c r="H877" i="13"/>
  <c r="I877" i="13" s="1"/>
  <c r="J876" i="13"/>
  <c r="H876" i="13"/>
  <c r="I876" i="13" s="1"/>
  <c r="H875" i="13"/>
  <c r="I875" i="13" s="1"/>
  <c r="J875" i="13"/>
  <c r="I874" i="13"/>
  <c r="J874" i="13"/>
  <c r="I863" i="13"/>
  <c r="J863" i="13"/>
  <c r="I862" i="13"/>
  <c r="J862" i="13"/>
  <c r="I861" i="13"/>
  <c r="J861" i="13"/>
  <c r="I859" i="13"/>
  <c r="J859" i="13"/>
  <c r="I858" i="13"/>
  <c r="J858" i="13"/>
  <c r="I857" i="13"/>
  <c r="J857" i="13"/>
  <c r="I856" i="13"/>
  <c r="J856" i="13"/>
  <c r="I855" i="13"/>
  <c r="J855" i="13"/>
  <c r="I854" i="13"/>
  <c r="J854" i="13"/>
  <c r="I853" i="13"/>
  <c r="J853" i="13"/>
  <c r="I852" i="13"/>
  <c r="J852" i="13"/>
  <c r="I851" i="13"/>
  <c r="J851" i="13"/>
  <c r="I850" i="13"/>
  <c r="J850" i="13"/>
  <c r="I849" i="13"/>
  <c r="J849" i="13"/>
  <c r="H847" i="13"/>
  <c r="I847" i="13" s="1"/>
  <c r="H843" i="13"/>
  <c r="I843" i="13" s="1"/>
  <c r="H839" i="13"/>
  <c r="I839" i="13" s="1"/>
  <c r="H835" i="13"/>
  <c r="I835" i="13" s="1"/>
  <c r="H831" i="13"/>
  <c r="H832" i="13" s="1"/>
  <c r="I832" i="13" s="1"/>
  <c r="H827" i="13"/>
  <c r="I827" i="13" s="1"/>
  <c r="H823" i="13"/>
  <c r="I823" i="13" s="1"/>
  <c r="H819" i="13"/>
  <c r="I819" i="13" s="1"/>
  <c r="H815" i="13"/>
  <c r="I815" i="13" s="1"/>
  <c r="H811" i="13"/>
  <c r="I811" i="13" s="1"/>
  <c r="H807" i="13"/>
  <c r="H808" i="13" s="1"/>
  <c r="I845" i="13"/>
  <c r="J845" i="13"/>
  <c r="J846" i="13"/>
  <c r="J847" i="13"/>
  <c r="J848" i="13"/>
  <c r="I841" i="13"/>
  <c r="J841" i="13"/>
  <c r="J842" i="13"/>
  <c r="J843" i="13"/>
  <c r="J844" i="13"/>
  <c r="I837" i="13"/>
  <c r="J837" i="13"/>
  <c r="J838" i="13"/>
  <c r="J839" i="13"/>
  <c r="J840" i="13"/>
  <c r="I833" i="13"/>
  <c r="J833" i="13"/>
  <c r="J834" i="13"/>
  <c r="J835" i="13"/>
  <c r="J836" i="13"/>
  <c r="I829" i="13"/>
  <c r="I830" i="13"/>
  <c r="J829" i="13"/>
  <c r="J830" i="13"/>
  <c r="J831" i="13"/>
  <c r="J832" i="13"/>
  <c r="I826" i="13"/>
  <c r="J825" i="13"/>
  <c r="J826" i="13"/>
  <c r="J827" i="13"/>
  <c r="J828" i="13"/>
  <c r="I822" i="13"/>
  <c r="J821" i="13"/>
  <c r="J822" i="13"/>
  <c r="J823" i="13"/>
  <c r="J824" i="13"/>
  <c r="I817" i="13"/>
  <c r="I818" i="13"/>
  <c r="J817" i="13"/>
  <c r="J818" i="13"/>
  <c r="J819" i="13"/>
  <c r="J820" i="13"/>
  <c r="I813" i="13"/>
  <c r="I814" i="13"/>
  <c r="J813" i="13"/>
  <c r="J814" i="13"/>
  <c r="J815" i="13"/>
  <c r="J816" i="13"/>
  <c r="I809" i="13"/>
  <c r="I810" i="13"/>
  <c r="J809" i="13"/>
  <c r="J810" i="13"/>
  <c r="J811" i="13"/>
  <c r="J812" i="13"/>
  <c r="I805" i="13"/>
  <c r="I806" i="13"/>
  <c r="J805" i="13"/>
  <c r="J806" i="13"/>
  <c r="J807" i="13"/>
  <c r="J808" i="13"/>
  <c r="J804" i="13"/>
  <c r="J803" i="13"/>
  <c r="H803" i="13"/>
  <c r="I803" i="13" s="1"/>
  <c r="J802" i="13"/>
  <c r="I802" i="13"/>
  <c r="J801" i="13"/>
  <c r="I801" i="13"/>
  <c r="I800" i="13"/>
  <c r="J800" i="13"/>
  <c r="I799" i="13"/>
  <c r="J799" i="13"/>
  <c r="I798" i="13"/>
  <c r="J798" i="13"/>
  <c r="I797" i="13"/>
  <c r="J797" i="13"/>
  <c r="I796" i="13"/>
  <c r="J796" i="13"/>
  <c r="I795" i="13"/>
  <c r="J795" i="13"/>
  <c r="I794" i="13"/>
  <c r="J794" i="13"/>
  <c r="I792" i="13"/>
  <c r="J792" i="13"/>
  <c r="I790" i="13"/>
  <c r="J790" i="13"/>
  <c r="I788" i="13"/>
  <c r="J788" i="13"/>
  <c r="I786" i="13"/>
  <c r="J786" i="13"/>
  <c r="I784" i="13"/>
  <c r="J784" i="13"/>
  <c r="I782" i="13"/>
  <c r="J782" i="13"/>
  <c r="I780" i="13"/>
  <c r="J780" i="13"/>
  <c r="I778" i="13"/>
  <c r="J778" i="13"/>
  <c r="I776" i="13"/>
  <c r="J776" i="13"/>
  <c r="I774" i="13"/>
  <c r="J774" i="13"/>
  <c r="I772" i="13"/>
  <c r="J772" i="13"/>
  <c r="I771" i="13"/>
  <c r="J771" i="13"/>
  <c r="I770" i="13"/>
  <c r="J770" i="13"/>
  <c r="E41" i="22"/>
  <c r="I768" i="13"/>
  <c r="J768" i="13"/>
  <c r="I766" i="13"/>
  <c r="J766" i="13"/>
  <c r="I765" i="13"/>
  <c r="J765" i="13"/>
  <c r="I764" i="13"/>
  <c r="J764" i="13"/>
  <c r="I763" i="13"/>
  <c r="J763" i="13"/>
  <c r="I762" i="13"/>
  <c r="J762" i="13"/>
  <c r="I761" i="13"/>
  <c r="J761" i="13"/>
  <c r="I760" i="13"/>
  <c r="J760" i="13"/>
  <c r="I759" i="13"/>
  <c r="J759" i="13"/>
  <c r="I758" i="13"/>
  <c r="J758" i="13"/>
  <c r="I757" i="13"/>
  <c r="J757" i="13"/>
  <c r="J744" i="13"/>
  <c r="I755" i="13"/>
  <c r="I744" i="13"/>
  <c r="J754" i="13"/>
  <c r="I754" i="13"/>
  <c r="I753" i="13"/>
  <c r="J753" i="13"/>
  <c r="I752" i="13"/>
  <c r="J752" i="13"/>
  <c r="I751" i="13"/>
  <c r="J751" i="13"/>
  <c r="I749" i="13"/>
  <c r="J749" i="13"/>
  <c r="I747" i="13"/>
  <c r="J747" i="13"/>
  <c r="I746" i="13"/>
  <c r="J746" i="13"/>
  <c r="I745" i="13"/>
  <c r="J745" i="13"/>
  <c r="I743" i="13"/>
  <c r="J743" i="13"/>
  <c r="I742" i="13"/>
  <c r="J742" i="13"/>
  <c r="I741" i="13"/>
  <c r="J741" i="13"/>
  <c r="I740" i="13"/>
  <c r="J740" i="13"/>
  <c r="I739" i="13"/>
  <c r="J739" i="13"/>
  <c r="J733" i="13"/>
  <c r="I733" i="13"/>
  <c r="I738" i="13"/>
  <c r="J738" i="13"/>
  <c r="I737" i="13"/>
  <c r="J737" i="13"/>
  <c r="I736" i="13"/>
  <c r="J736" i="13"/>
  <c r="I735" i="13"/>
  <c r="J735" i="13"/>
  <c r="I734" i="13"/>
  <c r="J734" i="13"/>
  <c r="I732" i="13"/>
  <c r="J732" i="13"/>
  <c r="I731" i="13"/>
  <c r="J731" i="13"/>
  <c r="I727" i="13"/>
  <c r="I728" i="13"/>
  <c r="I729" i="13"/>
  <c r="I730" i="13"/>
  <c r="J727" i="13"/>
  <c r="J728" i="13"/>
  <c r="J729" i="13"/>
  <c r="J730" i="13"/>
  <c r="I707" i="13"/>
  <c r="I708" i="13"/>
  <c r="I709" i="13"/>
  <c r="I710" i="13"/>
  <c r="I711" i="13"/>
  <c r="I712" i="13"/>
  <c r="I713" i="13"/>
  <c r="I714" i="13"/>
  <c r="I715" i="13"/>
  <c r="I716" i="13"/>
  <c r="I717" i="13"/>
  <c r="I718" i="13"/>
  <c r="I719" i="13"/>
  <c r="I720" i="13"/>
  <c r="I721" i="13"/>
  <c r="I722" i="13"/>
  <c r="I723" i="13"/>
  <c r="I724" i="13"/>
  <c r="I725" i="13"/>
  <c r="I726" i="13"/>
  <c r="J707" i="13"/>
  <c r="J708" i="13"/>
  <c r="J709" i="13"/>
  <c r="J710" i="13"/>
  <c r="J711" i="13"/>
  <c r="J712" i="13"/>
  <c r="J713" i="13"/>
  <c r="J714" i="13"/>
  <c r="J715" i="13"/>
  <c r="J716" i="13"/>
  <c r="J717" i="13"/>
  <c r="J718" i="13"/>
  <c r="J719" i="13"/>
  <c r="J720" i="13"/>
  <c r="J721" i="13"/>
  <c r="J722" i="13"/>
  <c r="J723" i="13"/>
  <c r="J724" i="13"/>
  <c r="J725" i="13"/>
  <c r="J726" i="13"/>
  <c r="I706" i="13"/>
  <c r="J706" i="13"/>
  <c r="E3" i="22"/>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2" i="22"/>
  <c r="D40" i="22"/>
  <c r="D42" i="22" s="1"/>
  <c r="C40" i="22"/>
  <c r="C42" i="22" s="1"/>
  <c r="B40" i="22"/>
  <c r="B42" i="22" s="1"/>
  <c r="I704" i="13"/>
  <c r="J704" i="13"/>
  <c r="I703" i="13"/>
  <c r="J703" i="13"/>
  <c r="I702" i="13"/>
  <c r="J702" i="13"/>
  <c r="I701" i="13"/>
  <c r="J701" i="13"/>
  <c r="I700" i="13"/>
  <c r="J700" i="13"/>
  <c r="I699" i="13"/>
  <c r="J699" i="13"/>
  <c r="J686" i="13"/>
  <c r="I686" i="13"/>
  <c r="I697" i="13"/>
  <c r="J697" i="13"/>
  <c r="I696" i="13"/>
  <c r="J696" i="13"/>
  <c r="J695" i="13"/>
  <c r="I695" i="13"/>
  <c r="I694" i="13"/>
  <c r="J694" i="13"/>
  <c r="I693" i="13"/>
  <c r="J693" i="13"/>
  <c r="I692" i="13"/>
  <c r="J692" i="13"/>
  <c r="I691" i="13"/>
  <c r="J691" i="13"/>
  <c r="H564" i="13"/>
  <c r="I564" i="13" s="1"/>
  <c r="I690" i="13"/>
  <c r="J690" i="13"/>
  <c r="I689" i="13"/>
  <c r="J689" i="13"/>
  <c r="I688" i="13"/>
  <c r="J688" i="13"/>
  <c r="I687" i="13"/>
  <c r="J687" i="13"/>
  <c r="I685" i="13"/>
  <c r="J685" i="13"/>
  <c r="I684" i="13"/>
  <c r="J684" i="13"/>
  <c r="I683" i="13"/>
  <c r="J683" i="13"/>
  <c r="J679" i="13"/>
  <c r="I679" i="13"/>
  <c r="J678" i="13"/>
  <c r="I678" i="13"/>
  <c r="J677" i="13"/>
  <c r="I677" i="13"/>
  <c r="H560" i="13"/>
  <c r="I560" i="13" s="1"/>
  <c r="H591" i="13"/>
  <c r="I591" i="13" s="1"/>
  <c r="H587" i="13"/>
  <c r="I587" i="13" s="1"/>
  <c r="H583" i="13"/>
  <c r="I583" i="13" s="1"/>
  <c r="H579" i="13"/>
  <c r="I579" i="13" s="1"/>
  <c r="H575" i="13"/>
  <c r="I575" i="13" s="1"/>
  <c r="H571" i="13"/>
  <c r="I571" i="13" s="1"/>
  <c r="H567" i="13"/>
  <c r="I567" i="13" s="1"/>
  <c r="J676" i="13"/>
  <c r="I676" i="13"/>
  <c r="J675" i="13"/>
  <c r="I675" i="13"/>
  <c r="J674" i="13"/>
  <c r="I674" i="13"/>
  <c r="J673" i="13"/>
  <c r="I673" i="13"/>
  <c r="J671" i="13"/>
  <c r="I671" i="13"/>
  <c r="J670" i="13"/>
  <c r="I670" i="13"/>
  <c r="J669" i="13"/>
  <c r="I669" i="13"/>
  <c r="J668" i="13"/>
  <c r="I668" i="13"/>
  <c r="J667" i="13"/>
  <c r="I667" i="13"/>
  <c r="I664" i="13"/>
  <c r="J664" i="13"/>
  <c r="I663" i="13"/>
  <c r="J663" i="13"/>
  <c r="I662" i="13"/>
  <c r="J662" i="13"/>
  <c r="I661" i="13"/>
  <c r="J661" i="13"/>
  <c r="I660" i="13"/>
  <c r="J660" i="13"/>
  <c r="I659" i="13"/>
  <c r="J659" i="13"/>
  <c r="I658" i="13"/>
  <c r="J658" i="13"/>
  <c r="I657" i="13"/>
  <c r="J657" i="13"/>
  <c r="I656" i="13"/>
  <c r="J656" i="13"/>
  <c r="I655" i="13"/>
  <c r="J655" i="13"/>
  <c r="J654" i="13"/>
  <c r="I654" i="13"/>
  <c r="J653" i="13"/>
  <c r="I653" i="13"/>
  <c r="J652" i="13"/>
  <c r="I652" i="13"/>
  <c r="I651" i="13"/>
  <c r="J651" i="13"/>
  <c r="J650" i="13"/>
  <c r="I650" i="13"/>
  <c r="J649" i="13"/>
  <c r="I649" i="13"/>
  <c r="J648" i="13"/>
  <c r="I648" i="13"/>
  <c r="J647" i="13"/>
  <c r="I647" i="13"/>
  <c r="J646" i="13"/>
  <c r="I646" i="13"/>
  <c r="J645" i="13"/>
  <c r="I645" i="13"/>
  <c r="J644" i="13"/>
  <c r="I644" i="13"/>
  <c r="J643" i="13"/>
  <c r="I643" i="13"/>
  <c r="J642" i="13"/>
  <c r="I642" i="13"/>
  <c r="I641" i="13"/>
  <c r="J641" i="13"/>
  <c r="I640" i="13"/>
  <c r="J640" i="13"/>
  <c r="J639" i="13"/>
  <c r="I639" i="13"/>
  <c r="J638" i="13"/>
  <c r="I638" i="13"/>
  <c r="I637" i="13"/>
  <c r="J637"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I612" i="13"/>
  <c r="J612" i="13"/>
  <c r="I611" i="13"/>
  <c r="J611" i="13"/>
  <c r="I610" i="13"/>
  <c r="J610" i="13"/>
  <c r="J609" i="13"/>
  <c r="I609" i="13"/>
  <c r="J608" i="13"/>
  <c r="I608" i="13"/>
  <c r="J607" i="13"/>
  <c r="I607" i="13"/>
  <c r="I606" i="13"/>
  <c r="I604" i="13"/>
  <c r="J604" i="13"/>
  <c r="I603" i="13"/>
  <c r="J603" i="13"/>
  <c r="I602" i="13"/>
  <c r="J602" i="13"/>
  <c r="I601" i="13"/>
  <c r="J601" i="13"/>
  <c r="I600" i="13"/>
  <c r="J600" i="13"/>
  <c r="I599" i="13"/>
  <c r="J599" i="13"/>
  <c r="I598" i="13"/>
  <c r="J598" i="13"/>
  <c r="I597" i="13"/>
  <c r="J597" i="13"/>
  <c r="I596" i="13"/>
  <c r="J596" i="13"/>
  <c r="I594" i="13"/>
  <c r="J594" i="13"/>
  <c r="I593" i="13"/>
  <c r="J593" i="13"/>
  <c r="I589" i="13"/>
  <c r="I590" i="13"/>
  <c r="J589" i="13"/>
  <c r="J590" i="13"/>
  <c r="J591" i="13"/>
  <c r="J592" i="13"/>
  <c r="I585" i="13"/>
  <c r="I586" i="13"/>
  <c r="J585" i="13"/>
  <c r="J586" i="13"/>
  <c r="J587" i="13"/>
  <c r="J588" i="13"/>
  <c r="I581" i="13"/>
  <c r="I582" i="13"/>
  <c r="J581" i="13"/>
  <c r="J582" i="13"/>
  <c r="J583" i="13"/>
  <c r="J584" i="13"/>
  <c r="J580" i="13"/>
  <c r="J579" i="13"/>
  <c r="J578" i="13"/>
  <c r="I578" i="13"/>
  <c r="J577" i="13"/>
  <c r="I577" i="13"/>
  <c r="J576" i="13"/>
  <c r="J575" i="13"/>
  <c r="J574" i="13"/>
  <c r="I574" i="13"/>
  <c r="J573" i="13"/>
  <c r="I573" i="13"/>
  <c r="J572" i="13"/>
  <c r="J571" i="13"/>
  <c r="J570" i="13"/>
  <c r="I570" i="13"/>
  <c r="J569" i="13"/>
  <c r="I569" i="13"/>
  <c r="J568" i="13"/>
  <c r="J567" i="13"/>
  <c r="J566" i="13"/>
  <c r="I566" i="13"/>
  <c r="J565" i="13"/>
  <c r="I565" i="13"/>
  <c r="J564" i="13"/>
  <c r="J563" i="13"/>
  <c r="I563" i="13"/>
  <c r="J562" i="13"/>
  <c r="I562" i="13"/>
  <c r="J561" i="13"/>
  <c r="I561" i="13"/>
  <c r="J560" i="13"/>
  <c r="J559" i="13"/>
  <c r="I559" i="13"/>
  <c r="J558" i="13"/>
  <c r="I558" i="13"/>
  <c r="J557" i="13"/>
  <c r="I557" i="13"/>
  <c r="J556" i="13"/>
  <c r="I556" i="13"/>
  <c r="J555" i="13"/>
  <c r="I555" i="13"/>
  <c r="J554" i="13"/>
  <c r="I554" i="13"/>
  <c r="J553" i="13"/>
  <c r="I553" i="13"/>
  <c r="I552" i="13"/>
  <c r="J552" i="13"/>
  <c r="I551" i="13"/>
  <c r="J551" i="13"/>
  <c r="J550" i="13"/>
  <c r="I550" i="13"/>
  <c r="J549" i="13"/>
  <c r="I549" i="13"/>
  <c r="J548" i="13"/>
  <c r="I548" i="13"/>
  <c r="J547" i="13"/>
  <c r="I547" i="13"/>
  <c r="J546" i="13"/>
  <c r="I546" i="13"/>
  <c r="J545" i="13"/>
  <c r="I545" i="13"/>
  <c r="J544" i="13"/>
  <c r="I544" i="13"/>
  <c r="J543" i="13"/>
  <c r="I543" i="13"/>
  <c r="J542" i="13"/>
  <c r="J541" i="13"/>
  <c r="I541" i="13" s="1"/>
  <c r="I540" i="13"/>
  <c r="J540" i="13"/>
  <c r="I539" i="13"/>
  <c r="J539" i="13"/>
  <c r="I538" i="13"/>
  <c r="J538" i="13"/>
  <c r="I537" i="13"/>
  <c r="J537" i="13"/>
  <c r="I536" i="13"/>
  <c r="J536" i="13"/>
  <c r="I535" i="13"/>
  <c r="J535" i="13"/>
  <c r="I534" i="13"/>
  <c r="J534" i="13"/>
  <c r="I533" i="13"/>
  <c r="J533" i="13"/>
  <c r="I532" i="13"/>
  <c r="J532" i="13"/>
  <c r="I531" i="13"/>
  <c r="J531" i="13"/>
  <c r="I530" i="13"/>
  <c r="J530" i="13"/>
  <c r="I529" i="13"/>
  <c r="J529" i="13"/>
  <c r="I528" i="13"/>
  <c r="J528" i="13"/>
  <c r="I527" i="13"/>
  <c r="J527" i="13"/>
  <c r="I526" i="13"/>
  <c r="J526" i="13"/>
  <c r="I525" i="13"/>
  <c r="J525" i="13"/>
  <c r="I521" i="13"/>
  <c r="I522" i="13"/>
  <c r="I523" i="13"/>
  <c r="I524" i="13"/>
  <c r="J521" i="13"/>
  <c r="J522" i="13"/>
  <c r="J523" i="13"/>
  <c r="J524" i="13"/>
  <c r="I514" i="13"/>
  <c r="I520" i="13"/>
  <c r="J520" i="13"/>
  <c r="I519" i="13"/>
  <c r="J519" i="13"/>
  <c r="I518" i="13"/>
  <c r="J518" i="13"/>
  <c r="I517" i="13"/>
  <c r="J517" i="13"/>
  <c r="I516" i="13"/>
  <c r="J516" i="13"/>
  <c r="I515" i="13"/>
  <c r="J515" i="13"/>
  <c r="J458" i="13"/>
  <c r="I513" i="13"/>
  <c r="J513" i="13"/>
  <c r="I512" i="13"/>
  <c r="J512" i="13"/>
  <c r="I511" i="13"/>
  <c r="J511" i="13"/>
  <c r="I510" i="13"/>
  <c r="J510" i="13"/>
  <c r="I509" i="13"/>
  <c r="J509" i="13"/>
  <c r="I508" i="13"/>
  <c r="J508" i="13"/>
  <c r="I507" i="13"/>
  <c r="J507" i="13"/>
  <c r="I506" i="13"/>
  <c r="J506" i="13"/>
  <c r="J505" i="13"/>
  <c r="J504" i="13"/>
  <c r="J503" i="13"/>
  <c r="I503" i="13" s="1"/>
  <c r="I1581" i="13" l="1"/>
  <c r="I1577" i="13"/>
  <c r="H1464" i="13"/>
  <c r="I1464" i="13" s="1"/>
  <c r="I1461" i="13"/>
  <c r="I1077" i="13"/>
  <c r="I542" i="13"/>
  <c r="I504" i="13"/>
  <c r="I808" i="13"/>
  <c r="I505" i="13"/>
  <c r="I1063" i="13"/>
  <c r="I1060" i="13"/>
  <c r="H1047" i="13"/>
  <c r="H848" i="13"/>
  <c r="I1059" i="13"/>
  <c r="I846" i="13"/>
  <c r="I807" i="13"/>
  <c r="H1075" i="13"/>
  <c r="H1043" i="13"/>
  <c r="H840" i="13"/>
  <c r="I840" i="13" s="1"/>
  <c r="I838" i="13"/>
  <c r="H844" i="13"/>
  <c r="H828" i="13"/>
  <c r="I828" i="13" s="1"/>
  <c r="H836" i="13"/>
  <c r="I831" i="13"/>
  <c r="H824" i="13"/>
  <c r="I1061" i="13"/>
  <c r="H572" i="13"/>
  <c r="H580" i="13"/>
  <c r="H584" i="13"/>
  <c r="H576" i="13"/>
  <c r="I1067" i="13"/>
  <c r="I1073" i="13"/>
  <c r="I1057" i="13"/>
  <c r="H1055" i="13"/>
  <c r="H1051" i="13"/>
  <c r="I1045" i="13"/>
  <c r="I1041" i="13"/>
  <c r="H1039" i="13"/>
  <c r="H43" i="22"/>
  <c r="J40" i="22"/>
  <c r="J42" i="22" s="1"/>
  <c r="H820" i="13"/>
  <c r="H812" i="13"/>
  <c r="H816" i="13"/>
  <c r="H804" i="13"/>
  <c r="H588" i="13"/>
  <c r="H592" i="13"/>
  <c r="E40" i="22"/>
  <c r="E42" i="22" s="1"/>
  <c r="C43" i="22"/>
  <c r="H568" i="13"/>
  <c r="J502" i="13"/>
  <c r="I502" i="13"/>
  <c r="J501" i="13"/>
  <c r="I501" i="13"/>
  <c r="J500" i="13"/>
  <c r="I500" i="13"/>
  <c r="J499" i="13"/>
  <c r="I499" i="13"/>
  <c r="J498" i="13"/>
  <c r="I498" i="13"/>
  <c r="J497" i="13"/>
  <c r="I497" i="13"/>
  <c r="J496" i="13"/>
  <c r="I496" i="13"/>
  <c r="J495" i="13"/>
  <c r="I495" i="13"/>
  <c r="J494" i="13"/>
  <c r="I494" i="13"/>
  <c r="I493" i="13"/>
  <c r="J493" i="13"/>
  <c r="I492" i="13"/>
  <c r="J492" i="13"/>
  <c r="J491" i="13"/>
  <c r="I491" i="13"/>
  <c r="J490" i="13"/>
  <c r="I490" i="13"/>
  <c r="J489" i="13"/>
  <c r="I489" i="13"/>
  <c r="J488" i="13"/>
  <c r="I488" i="13"/>
  <c r="J487" i="13"/>
  <c r="I487" i="13"/>
  <c r="J486" i="13"/>
  <c r="I486" i="13"/>
  <c r="J485" i="13"/>
  <c r="I485" i="13"/>
  <c r="J484" i="13"/>
  <c r="I484" i="13"/>
  <c r="J483" i="13"/>
  <c r="I483" i="13"/>
  <c r="J482" i="13"/>
  <c r="I482" i="13"/>
  <c r="J481" i="13"/>
  <c r="I481" i="13"/>
  <c r="J480" i="13"/>
  <c r="I480" i="13"/>
  <c r="J479" i="13"/>
  <c r="I479" i="13"/>
  <c r="J478" i="13"/>
  <c r="I478" i="13"/>
  <c r="I477" i="13"/>
  <c r="J477" i="13"/>
  <c r="I476" i="13"/>
  <c r="J476" i="13"/>
  <c r="J475" i="13"/>
  <c r="I473" i="13"/>
  <c r="J473" i="13" s="1"/>
  <c r="I472" i="13"/>
  <c r="J472" i="13"/>
  <c r="I471" i="13"/>
  <c r="J471" i="13"/>
  <c r="I470" i="13"/>
  <c r="J470" i="13"/>
  <c r="I469" i="13"/>
  <c r="J469" i="13"/>
  <c r="I468" i="13"/>
  <c r="J468" i="13"/>
  <c r="I467" i="13"/>
  <c r="J467" i="13"/>
  <c r="I466" i="13"/>
  <c r="J466" i="13"/>
  <c r="I465" i="13"/>
  <c r="J465" i="13" s="1"/>
  <c r="J435" i="13"/>
  <c r="I464" i="13"/>
  <c r="J464" i="13"/>
  <c r="I463" i="13"/>
  <c r="J463" i="13"/>
  <c r="I462" i="13"/>
  <c r="J462" i="13"/>
  <c r="I461" i="13"/>
  <c r="J461" i="13"/>
  <c r="I848" i="13" l="1"/>
  <c r="I1047" i="13"/>
  <c r="I568" i="13"/>
  <c r="I584" i="13"/>
  <c r="I836" i="13"/>
  <c r="I1051" i="13"/>
  <c r="I1079" i="13"/>
  <c r="I576" i="13"/>
  <c r="I592" i="13"/>
  <c r="I588" i="13"/>
  <c r="I804" i="13"/>
  <c r="I1071" i="13"/>
  <c r="I812" i="13"/>
  <c r="I844" i="13"/>
  <c r="I1039" i="13"/>
  <c r="I1075" i="13"/>
  <c r="I1055" i="13"/>
  <c r="I580" i="13"/>
  <c r="I475" i="13"/>
  <c r="I572" i="13"/>
  <c r="I816" i="13"/>
  <c r="I824" i="13"/>
  <c r="I820" i="13"/>
  <c r="I1043" i="13"/>
  <c r="I43" i="22"/>
  <c r="I44" i="22" s="1"/>
  <c r="G43" i="22"/>
  <c r="H44" i="22"/>
  <c r="B43" i="22"/>
  <c r="D43" i="22"/>
  <c r="D44" i="22" s="1"/>
  <c r="C44" i="22"/>
  <c r="I460" i="13"/>
  <c r="J460" i="13"/>
  <c r="I459" i="13"/>
  <c r="J459" i="13"/>
  <c r="I457" i="13"/>
  <c r="J457" i="13"/>
  <c r="I456" i="13"/>
  <c r="J456" i="13"/>
  <c r="I435" i="13"/>
  <c r="I454" i="13"/>
  <c r="J454" i="13"/>
  <c r="I453" i="13"/>
  <c r="J453" i="13"/>
  <c r="I452" i="13"/>
  <c r="J452" i="13"/>
  <c r="I451" i="13"/>
  <c r="J451" i="13"/>
  <c r="I450" i="13"/>
  <c r="J450" i="13"/>
  <c r="I449" i="13"/>
  <c r="J449" i="13"/>
  <c r="I448" i="13"/>
  <c r="J448" i="13"/>
  <c r="J447" i="13"/>
  <c r="I447" i="13"/>
  <c r="J446" i="13"/>
  <c r="I446" i="13"/>
  <c r="J445" i="13"/>
  <c r="I445" i="13"/>
  <c r="I444" i="13"/>
  <c r="J444" i="13"/>
  <c r="I443" i="13"/>
  <c r="J443" i="13"/>
  <c r="I442" i="13"/>
  <c r="J442" i="13"/>
  <c r="I441" i="13"/>
  <c r="J441" i="13"/>
  <c r="I440" i="13"/>
  <c r="J440" i="13"/>
  <c r="I439" i="13"/>
  <c r="J439" i="13"/>
  <c r="I438" i="13"/>
  <c r="J438" i="13"/>
  <c r="I437" i="13"/>
  <c r="J437" i="13"/>
  <c r="J43" i="22" l="1"/>
  <c r="G44" i="22"/>
  <c r="J44" i="22" s="1"/>
  <c r="E43" i="22"/>
  <c r="B44" i="22"/>
  <c r="E44" i="22" s="1"/>
  <c r="I436" i="13"/>
  <c r="J436" i="13"/>
  <c r="I433" i="13"/>
  <c r="I434" i="13"/>
  <c r="J433" i="13"/>
  <c r="J434" i="13"/>
  <c r="I70" i="13"/>
  <c r="I71" i="13"/>
  <c r="I72" i="13"/>
  <c r="J70" i="13"/>
  <c r="J71" i="13"/>
  <c r="J72" i="13"/>
  <c r="I69" i="13"/>
  <c r="J69" i="13"/>
  <c r="I61" i="13"/>
  <c r="I62" i="13"/>
  <c r="I63" i="13"/>
  <c r="I64" i="13"/>
  <c r="I65" i="13"/>
  <c r="I66" i="13"/>
  <c r="I67" i="13"/>
  <c r="I68" i="13"/>
  <c r="J61" i="13"/>
  <c r="J62" i="13"/>
  <c r="J63" i="13"/>
  <c r="J64" i="13"/>
  <c r="J65" i="13"/>
  <c r="J66" i="13"/>
  <c r="J67" i="13"/>
  <c r="J68" i="13"/>
  <c r="I53" i="13"/>
  <c r="I54" i="13"/>
  <c r="I55" i="13"/>
  <c r="I56" i="13"/>
  <c r="I57" i="13"/>
  <c r="I58" i="13"/>
  <c r="I59" i="13"/>
  <c r="J53" i="13"/>
  <c r="J54" i="13"/>
  <c r="J55" i="13"/>
  <c r="J56" i="13"/>
  <c r="J57" i="13"/>
  <c r="J58" i="13"/>
  <c r="J59" i="13"/>
  <c r="I52" i="13"/>
  <c r="J52" i="13"/>
  <c r="I47" i="13"/>
  <c r="I48" i="13"/>
  <c r="I49" i="13"/>
  <c r="I51" i="13"/>
  <c r="J47" i="13"/>
  <c r="J48" i="13"/>
  <c r="J49" i="13"/>
  <c r="J51" i="13"/>
  <c r="I42" i="13"/>
  <c r="I43" i="13"/>
  <c r="I44" i="13"/>
  <c r="I45" i="13"/>
  <c r="I46" i="13"/>
  <c r="J42" i="13"/>
  <c r="J43" i="13"/>
  <c r="J44" i="13"/>
  <c r="J45" i="13"/>
  <c r="J46" i="13"/>
  <c r="I29" i="13"/>
  <c r="I30" i="13"/>
  <c r="I31" i="13"/>
  <c r="I32" i="13"/>
  <c r="I33" i="13"/>
  <c r="I34" i="13"/>
  <c r="I35" i="13"/>
  <c r="I36" i="13"/>
  <c r="I37" i="13"/>
  <c r="I38" i="13"/>
  <c r="I39" i="13"/>
  <c r="I40" i="13"/>
  <c r="I41" i="13"/>
  <c r="J29" i="13"/>
  <c r="J30" i="13"/>
  <c r="J31" i="13"/>
  <c r="J32" i="13"/>
  <c r="J33" i="13"/>
  <c r="J34" i="13"/>
  <c r="J35" i="13"/>
  <c r="J36" i="13"/>
  <c r="J37" i="13"/>
  <c r="J38" i="13"/>
  <c r="J39" i="13"/>
  <c r="J40" i="13"/>
  <c r="J41" i="13"/>
  <c r="I28" i="13"/>
  <c r="J28" i="13"/>
  <c r="I271" i="13"/>
  <c r="I272" i="13"/>
  <c r="I273" i="13"/>
  <c r="I274" i="13"/>
  <c r="I275" i="13"/>
  <c r="I276" i="13"/>
  <c r="I277" i="13"/>
  <c r="I278" i="13"/>
  <c r="I279" i="13"/>
  <c r="J271" i="13"/>
  <c r="J272" i="13"/>
  <c r="J273" i="13"/>
  <c r="J274" i="13"/>
  <c r="J275" i="13"/>
  <c r="J276" i="13"/>
  <c r="J277" i="13"/>
  <c r="J278" i="13"/>
  <c r="J279" i="13"/>
  <c r="I270" i="13"/>
  <c r="J270" i="13"/>
  <c r="I393" i="13"/>
  <c r="I394" i="13"/>
  <c r="J393" i="13"/>
  <c r="J394" i="13"/>
  <c r="I392" i="13"/>
  <c r="J392" i="13"/>
  <c r="I391" i="13"/>
  <c r="J391" i="13"/>
  <c r="I389" i="13"/>
  <c r="I390" i="13"/>
  <c r="J389" i="13"/>
  <c r="J390" i="13"/>
  <c r="I388" i="13"/>
  <c r="J388" i="13"/>
  <c r="I395" i="13"/>
  <c r="I396" i="13"/>
  <c r="I397" i="13"/>
  <c r="I398" i="13"/>
  <c r="I399" i="13"/>
  <c r="I400" i="13"/>
  <c r="I401" i="13"/>
  <c r="J395" i="13"/>
  <c r="J396" i="13"/>
  <c r="J397" i="13"/>
  <c r="J398" i="13"/>
  <c r="J399" i="13"/>
  <c r="J400" i="13"/>
  <c r="J401" i="13"/>
  <c r="I428" i="13"/>
  <c r="I429" i="13"/>
  <c r="I430" i="13"/>
  <c r="I431" i="13"/>
  <c r="I432" i="13"/>
  <c r="J428" i="13"/>
  <c r="J429" i="13"/>
  <c r="J430" i="13"/>
  <c r="J431" i="13"/>
  <c r="J432" i="13"/>
  <c r="I427" i="13"/>
  <c r="J427" i="13"/>
  <c r="I424" i="13"/>
  <c r="I425" i="13"/>
  <c r="I426" i="13"/>
  <c r="J424" i="13"/>
  <c r="J425" i="13"/>
  <c r="J426" i="13"/>
  <c r="I423" i="13"/>
  <c r="J423" i="13"/>
  <c r="I418" i="13"/>
  <c r="I419" i="13"/>
  <c r="I420" i="13"/>
  <c r="I421" i="13"/>
  <c r="I422" i="13"/>
  <c r="J418" i="13"/>
  <c r="J419" i="13"/>
  <c r="J420" i="13"/>
  <c r="J421" i="13"/>
  <c r="J422" i="13"/>
  <c r="I417" i="13"/>
  <c r="J417" i="13"/>
  <c r="I416" i="13"/>
  <c r="J416" i="13"/>
  <c r="I414" i="13"/>
  <c r="I415" i="13"/>
  <c r="J414" i="13"/>
  <c r="J415" i="13"/>
  <c r="I413" i="13"/>
  <c r="J413" i="13"/>
  <c r="I412" i="13"/>
  <c r="J412" i="13"/>
  <c r="I409" i="13"/>
  <c r="I410" i="13"/>
  <c r="I411" i="13"/>
  <c r="J409" i="13"/>
  <c r="J410" i="13"/>
  <c r="J411" i="13"/>
  <c r="I403" i="13"/>
  <c r="I404" i="13"/>
  <c r="I405" i="13"/>
  <c r="I406" i="13"/>
  <c r="I407" i="13"/>
  <c r="I408" i="13"/>
  <c r="J403" i="13"/>
  <c r="J404" i="13"/>
  <c r="J405" i="13"/>
  <c r="J406" i="13"/>
  <c r="J407" i="13"/>
  <c r="J408" i="13"/>
  <c r="I402" i="13"/>
  <c r="J402" i="13"/>
  <c r="I193" i="13"/>
  <c r="J193" i="13"/>
  <c r="I192" i="13"/>
  <c r="J192" i="13"/>
  <c r="J191" i="13"/>
  <c r="I191" i="13"/>
  <c r="J190" i="13"/>
  <c r="I190" i="13"/>
  <c r="J189" i="13"/>
  <c r="I189" i="13"/>
  <c r="J188" i="13"/>
  <c r="I188" i="13"/>
  <c r="J187" i="13"/>
  <c r="I187" i="13"/>
  <c r="J186" i="13"/>
  <c r="I186" i="13"/>
  <c r="J185" i="13"/>
  <c r="I185" i="13"/>
  <c r="J184" i="13"/>
  <c r="I184" i="13"/>
  <c r="J183" i="13"/>
  <c r="I183" i="13"/>
  <c r="J182" i="13"/>
  <c r="I182" i="13"/>
  <c r="J181" i="13"/>
  <c r="I181" i="13"/>
  <c r="J180" i="13"/>
  <c r="I180" i="13"/>
  <c r="J179" i="13"/>
  <c r="I179" i="13"/>
  <c r="J178" i="13"/>
  <c r="I178" i="13"/>
  <c r="J177" i="13"/>
  <c r="I177" i="13"/>
  <c r="J176" i="13"/>
  <c r="I176" i="13"/>
  <c r="J175" i="13"/>
  <c r="I175" i="13"/>
  <c r="J174" i="13"/>
  <c r="I174" i="13"/>
  <c r="J173" i="13"/>
  <c r="I173" i="13"/>
  <c r="J172" i="13"/>
  <c r="I172" i="13"/>
  <c r="J171" i="13"/>
  <c r="I171" i="13"/>
  <c r="J170" i="13"/>
  <c r="I170" i="13"/>
  <c r="J169" i="13"/>
  <c r="I169" i="13"/>
  <c r="J168" i="13"/>
  <c r="I168" i="13"/>
  <c r="J167" i="13"/>
  <c r="I167" i="13"/>
  <c r="J166" i="13"/>
  <c r="I166" i="13"/>
  <c r="J165" i="13"/>
  <c r="I165" i="13"/>
  <c r="J164" i="13"/>
  <c r="I164" i="13"/>
  <c r="J163" i="13"/>
  <c r="I163" i="13"/>
  <c r="J162" i="13"/>
  <c r="I162" i="13"/>
  <c r="J161" i="13"/>
  <c r="I161" i="13"/>
  <c r="J160" i="13"/>
  <c r="I160" i="13"/>
  <c r="J159" i="13"/>
  <c r="I159" i="13"/>
  <c r="J158" i="13"/>
  <c r="I158" i="13"/>
  <c r="J157" i="13"/>
  <c r="I157" i="13"/>
  <c r="J156" i="13"/>
  <c r="I156" i="13"/>
  <c r="J155" i="13"/>
  <c r="I155" i="13"/>
  <c r="J154" i="13"/>
  <c r="I154" i="13"/>
  <c r="J153" i="13"/>
  <c r="I153" i="13"/>
  <c r="J152" i="13"/>
  <c r="I152" i="13"/>
  <c r="J151" i="13"/>
  <c r="I151" i="13"/>
  <c r="J150" i="13"/>
  <c r="I150" i="13"/>
  <c r="J149" i="13"/>
  <c r="I149" i="13"/>
  <c r="J148" i="13"/>
  <c r="I148" i="13"/>
  <c r="J147" i="13"/>
  <c r="I147" i="13"/>
  <c r="J146" i="13"/>
  <c r="I146" i="13"/>
  <c r="J145" i="13"/>
  <c r="I145" i="13"/>
  <c r="J144" i="13"/>
  <c r="I144"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20" i="13"/>
  <c r="I120" i="13"/>
  <c r="J49" i="4"/>
  <c r="J48" i="4"/>
  <c r="J47" i="4"/>
  <c r="K57" i="4"/>
  <c r="I97" i="13"/>
  <c r="I98" i="13"/>
  <c r="I99" i="13"/>
  <c r="I100" i="13"/>
  <c r="I101" i="13"/>
  <c r="I102" i="13"/>
  <c r="I103" i="13"/>
  <c r="I104" i="13"/>
  <c r="I105" i="13"/>
  <c r="I106" i="13"/>
  <c r="I107" i="13"/>
  <c r="I108" i="13"/>
  <c r="I109" i="13"/>
  <c r="I110" i="13"/>
  <c r="I111" i="13"/>
  <c r="I112" i="13"/>
  <c r="I113" i="13"/>
  <c r="I114" i="13"/>
  <c r="I115" i="13"/>
  <c r="I116" i="13"/>
  <c r="I117" i="13"/>
  <c r="I118" i="13"/>
  <c r="I119"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I96" i="13"/>
  <c r="J96" i="13"/>
  <c r="I77" i="13"/>
  <c r="I78" i="13"/>
  <c r="I79" i="13"/>
  <c r="I80" i="13"/>
  <c r="I81" i="13"/>
  <c r="I82" i="13"/>
  <c r="I83" i="13"/>
  <c r="I84" i="13"/>
  <c r="I85" i="13"/>
  <c r="I86" i="13"/>
  <c r="I87" i="13"/>
  <c r="I88" i="13"/>
  <c r="I89" i="13"/>
  <c r="I90" i="13"/>
  <c r="I91" i="13"/>
  <c r="I92" i="13"/>
  <c r="I93" i="13"/>
  <c r="I94" i="13"/>
  <c r="I95" i="13"/>
  <c r="J77" i="13"/>
  <c r="J78" i="13"/>
  <c r="J79" i="13"/>
  <c r="J80" i="13"/>
  <c r="J81" i="13"/>
  <c r="J82" i="13"/>
  <c r="J83" i="13"/>
  <c r="J84" i="13"/>
  <c r="J85" i="13"/>
  <c r="J86" i="13"/>
  <c r="J87" i="13"/>
  <c r="J88" i="13"/>
  <c r="J89" i="13"/>
  <c r="J90" i="13"/>
  <c r="J91" i="13"/>
  <c r="J92" i="13"/>
  <c r="J93" i="13"/>
  <c r="J94" i="13"/>
  <c r="J95" i="13"/>
  <c r="J76" i="13"/>
  <c r="I76" i="13"/>
  <c r="J75" i="13"/>
  <c r="I75" i="13"/>
  <c r="J74" i="13"/>
  <c r="I74" i="13"/>
  <c r="I73" i="13" l="1"/>
  <c r="J73" i="13"/>
  <c r="I24" i="13"/>
  <c r="I27" i="13"/>
  <c r="J24" i="13"/>
  <c r="J27" i="13"/>
  <c r="I22" i="13"/>
  <c r="J22" i="13"/>
  <c r="I20" i="13"/>
  <c r="I21" i="13"/>
  <c r="J20" i="13"/>
  <c r="J21" i="13"/>
  <c r="I16" i="13"/>
  <c r="I17" i="13"/>
  <c r="J16" i="13"/>
  <c r="J17" i="13"/>
  <c r="I14" i="13"/>
  <c r="I15" i="13"/>
  <c r="I26" i="13"/>
  <c r="J14" i="13"/>
  <c r="J15" i="13"/>
  <c r="J26" i="13"/>
  <c r="I10" i="13"/>
  <c r="I11" i="13"/>
  <c r="I12" i="13"/>
  <c r="J10" i="13"/>
  <c r="J11" i="13"/>
  <c r="J12" i="13"/>
  <c r="I9" i="13"/>
  <c r="J9" i="13"/>
  <c r="I6" i="13"/>
  <c r="J6" i="13"/>
  <c r="I5" i="13"/>
  <c r="J5" i="13"/>
  <c r="I4" i="13"/>
  <c r="J4" i="13"/>
  <c r="I333" i="13"/>
  <c r="J333" i="13"/>
  <c r="I332" i="13"/>
  <c r="J332" i="13"/>
  <c r="I331" i="13"/>
  <c r="J331" i="13"/>
  <c r="I330" i="13"/>
  <c r="J330" i="13"/>
  <c r="I329" i="13"/>
  <c r="J329" i="13"/>
  <c r="I328" i="13"/>
  <c r="J328" i="13"/>
  <c r="I325" i="13"/>
  <c r="I326" i="13"/>
  <c r="I327" i="13"/>
  <c r="J325" i="13"/>
  <c r="J326" i="13"/>
  <c r="J327" i="13"/>
  <c r="I322" i="13"/>
  <c r="I323" i="13"/>
  <c r="I324" i="13"/>
  <c r="J322" i="13"/>
  <c r="J323" i="13"/>
  <c r="J324" i="13"/>
  <c r="I319" i="13"/>
  <c r="I320" i="13"/>
  <c r="I321" i="13"/>
  <c r="J319" i="13"/>
  <c r="J320" i="13"/>
  <c r="J321" i="13"/>
  <c r="I316" i="13"/>
  <c r="I317" i="13"/>
  <c r="I318" i="13"/>
  <c r="J316" i="13"/>
  <c r="J317" i="13"/>
  <c r="J318" i="13"/>
  <c r="I313" i="13"/>
  <c r="I314" i="13"/>
  <c r="I315" i="13"/>
  <c r="J313" i="13"/>
  <c r="J314" i="13"/>
  <c r="J315" i="13"/>
  <c r="I310" i="13"/>
  <c r="I311" i="13"/>
  <c r="I312" i="13"/>
  <c r="J310" i="13"/>
  <c r="J311" i="13"/>
  <c r="J312" i="13"/>
  <c r="I307" i="13"/>
  <c r="I308" i="13"/>
  <c r="I309" i="13"/>
  <c r="J307" i="13"/>
  <c r="J308" i="13"/>
  <c r="J309" i="13"/>
  <c r="I304" i="13"/>
  <c r="I305" i="13"/>
  <c r="I306" i="13"/>
  <c r="J304" i="13"/>
  <c r="J305" i="13"/>
  <c r="J306" i="13"/>
  <c r="I302" i="13"/>
  <c r="I303" i="13"/>
  <c r="J302" i="13"/>
  <c r="J303" i="13"/>
  <c r="I299" i="13"/>
  <c r="I300" i="13"/>
  <c r="J299" i="13"/>
  <c r="J300" i="13"/>
  <c r="I301" i="13"/>
  <c r="J301" i="13"/>
  <c r="I298" i="13"/>
  <c r="J298" i="13"/>
  <c r="I297" i="13"/>
  <c r="J297" i="13"/>
  <c r="I296" i="13"/>
  <c r="J296" i="13"/>
  <c r="I295" i="13"/>
  <c r="J295" i="13"/>
  <c r="I294" i="13"/>
  <c r="J294" i="13"/>
  <c r="I293" i="13"/>
  <c r="J293" i="13"/>
  <c r="I292" i="13"/>
  <c r="J292" i="13"/>
  <c r="I289" i="13"/>
  <c r="I290" i="13"/>
  <c r="I291" i="13"/>
  <c r="J289" i="13"/>
  <c r="J290" i="13"/>
  <c r="J291" i="13"/>
  <c r="I286" i="13"/>
  <c r="I287" i="13"/>
  <c r="I288" i="13"/>
  <c r="J286" i="13"/>
  <c r="J287" i="13"/>
  <c r="J288" i="13"/>
  <c r="I283" i="13"/>
  <c r="I284" i="13"/>
  <c r="I285" i="13"/>
  <c r="J283" i="13"/>
  <c r="J284" i="13"/>
  <c r="J285" i="13"/>
  <c r="I282" i="13"/>
  <c r="J282" i="13"/>
  <c r="I281" i="13"/>
  <c r="J281" i="13"/>
  <c r="I280" i="13"/>
  <c r="J280" i="13"/>
  <c r="I386" i="13"/>
  <c r="I387" i="13"/>
  <c r="J386" i="13"/>
  <c r="J387" i="13"/>
  <c r="I385" i="13"/>
  <c r="J385" i="13"/>
  <c r="I384" i="13"/>
  <c r="J384" i="13"/>
  <c r="I383" i="13"/>
  <c r="J383" i="13"/>
  <c r="I382" i="13"/>
  <c r="J382" i="13"/>
  <c r="I381" i="13"/>
  <c r="J381" i="13"/>
  <c r="I380" i="13"/>
  <c r="J380" i="13"/>
  <c r="I379" i="13"/>
  <c r="J379" i="13"/>
  <c r="I378" i="13"/>
  <c r="J378" i="13"/>
  <c r="J377" i="13"/>
  <c r="I377" i="13"/>
  <c r="J339" i="13"/>
  <c r="I339" i="13"/>
  <c r="I336" i="13"/>
  <c r="J336" i="13"/>
  <c r="I369" i="13"/>
  <c r="I370" i="13"/>
  <c r="I371" i="13"/>
  <c r="I372" i="13"/>
  <c r="I373" i="13"/>
  <c r="I374" i="13"/>
  <c r="I375" i="13"/>
  <c r="I376" i="13"/>
  <c r="J369" i="13"/>
  <c r="J370" i="13"/>
  <c r="J371" i="13"/>
  <c r="J372" i="13"/>
  <c r="J373" i="13"/>
  <c r="J374" i="13"/>
  <c r="J375" i="13"/>
  <c r="J376" i="13"/>
  <c r="I368" i="13"/>
  <c r="J368" i="13"/>
  <c r="I367" i="13"/>
  <c r="J367" i="13"/>
  <c r="I366" i="13"/>
  <c r="J366" i="13"/>
  <c r="I365" i="13"/>
  <c r="J365" i="13"/>
  <c r="I364" i="13"/>
  <c r="J364" i="13"/>
  <c r="I360" i="13"/>
  <c r="I361" i="13"/>
  <c r="I362" i="13"/>
  <c r="J360" i="13"/>
  <c r="J361" i="13"/>
  <c r="J362" i="13"/>
  <c r="I363" i="13"/>
  <c r="J363" i="13"/>
  <c r="I357" i="13"/>
  <c r="I358" i="13"/>
  <c r="I359" i="13"/>
  <c r="J357" i="13"/>
  <c r="J358" i="13"/>
  <c r="J359" i="13"/>
  <c r="I354" i="13"/>
  <c r="I355" i="13"/>
  <c r="I356" i="13"/>
  <c r="J354" i="13"/>
  <c r="J355" i="13"/>
  <c r="J356" i="13"/>
  <c r="I351" i="13"/>
  <c r="I352" i="13"/>
  <c r="I353" i="13"/>
  <c r="J351" i="13"/>
  <c r="J352" i="13"/>
  <c r="J353" i="13"/>
  <c r="I349" i="13"/>
  <c r="I350" i="13"/>
  <c r="J349" i="13"/>
  <c r="J350" i="13"/>
  <c r="J342" i="13"/>
  <c r="I342" i="13"/>
  <c r="I343" i="13"/>
  <c r="I344" i="13"/>
  <c r="I345" i="13"/>
  <c r="I346" i="13"/>
  <c r="I347" i="13"/>
  <c r="I348" i="13"/>
  <c r="J343" i="13"/>
  <c r="J344" i="13"/>
  <c r="J345" i="13"/>
  <c r="J346" i="13"/>
  <c r="J347" i="13"/>
  <c r="J348" i="13"/>
  <c r="I268" i="13"/>
  <c r="I269" i="13"/>
  <c r="J268" i="13"/>
  <c r="J269" i="13"/>
  <c r="I266" i="13"/>
  <c r="I267" i="13"/>
  <c r="J266" i="13"/>
  <c r="J267" i="13"/>
  <c r="I261" i="13"/>
  <c r="I263" i="13"/>
  <c r="I264" i="13"/>
  <c r="I265" i="13"/>
  <c r="J261" i="13"/>
  <c r="J263" i="13"/>
  <c r="J264" i="13"/>
  <c r="J265" i="13"/>
  <c r="I256" i="13"/>
  <c r="I257" i="13"/>
  <c r="I258" i="13"/>
  <c r="I259" i="13"/>
  <c r="I260" i="13"/>
  <c r="J256" i="13"/>
  <c r="J257" i="13"/>
  <c r="J258" i="13"/>
  <c r="J259" i="13"/>
  <c r="J260" i="13"/>
  <c r="I253" i="13"/>
  <c r="I254" i="13"/>
  <c r="I255" i="13"/>
  <c r="J253" i="13"/>
  <c r="J254" i="13"/>
  <c r="J255" i="13"/>
  <c r="I249" i="13"/>
  <c r="I250" i="13"/>
  <c r="I251" i="13"/>
  <c r="J249" i="13"/>
  <c r="J250" i="13"/>
  <c r="J251" i="13"/>
  <c r="I240" i="13"/>
  <c r="I241" i="13"/>
  <c r="I242" i="13"/>
  <c r="I243" i="13"/>
  <c r="I244" i="13"/>
  <c r="I245" i="13"/>
  <c r="I246" i="13"/>
  <c r="I247" i="13"/>
  <c r="I248" i="13"/>
  <c r="J240" i="13"/>
  <c r="J241" i="13"/>
  <c r="J242" i="13"/>
  <c r="J243" i="13"/>
  <c r="J244" i="13"/>
  <c r="J245" i="13"/>
  <c r="J246" i="13"/>
  <c r="J247" i="13"/>
  <c r="J248"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5" i="13"/>
  <c r="J228" i="13"/>
  <c r="J231" i="13"/>
  <c r="J232" i="13"/>
  <c r="J233" i="13"/>
  <c r="J234" i="13"/>
  <c r="J235" i="13"/>
  <c r="J236" i="13"/>
  <c r="J237" i="13"/>
  <c r="J238" i="13"/>
  <c r="J239" i="13"/>
  <c r="J334" i="13"/>
  <c r="J335" i="13"/>
  <c r="J337" i="13"/>
  <c r="J338" i="13"/>
  <c r="J340" i="13"/>
  <c r="J341"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5" i="13"/>
  <c r="I228" i="13"/>
  <c r="I231" i="13"/>
  <c r="I232" i="13"/>
  <c r="I233" i="13"/>
  <c r="I234" i="13"/>
  <c r="I235" i="13"/>
  <c r="I236" i="13"/>
  <c r="I237" i="13"/>
  <c r="I238" i="13"/>
  <c r="I239" i="13"/>
  <c r="I334" i="13"/>
  <c r="I335" i="13"/>
  <c r="I337" i="13"/>
  <c r="I338" i="13"/>
  <c r="I340" i="13"/>
  <c r="I341" i="13"/>
  <c r="Q26" i="7" l="1"/>
  <c r="Q25" i="7"/>
  <c r="Q24" i="7"/>
  <c r="Q23" i="7"/>
  <c r="Q22" i="7"/>
  <c r="Q21" i="7"/>
  <c r="Q20" i="7"/>
  <c r="Q19" i="7"/>
  <c r="B56" i="11"/>
  <c r="A50" i="11"/>
  <c r="B38" i="11"/>
  <c r="B48" i="11" s="1"/>
  <c r="B30" i="11"/>
  <c r="A25" i="11"/>
  <c r="A18" i="11"/>
  <c r="D3" i="11"/>
  <c r="E3" i="11" s="1"/>
  <c r="M81" i="11"/>
  <c r="F79" i="11"/>
  <c r="D79" i="11"/>
  <c r="E76" i="11"/>
  <c r="E79" i="11" s="1"/>
  <c r="O79" i="11" s="1"/>
  <c r="D72" i="11"/>
  <c r="N72" i="11" s="1"/>
  <c r="E72" i="11"/>
  <c r="E65" i="11"/>
  <c r="F62" i="11"/>
  <c r="D62" i="11"/>
  <c r="E62" i="11"/>
  <c r="O62" i="11" s="1"/>
  <c r="F54" i="11"/>
  <c r="E54" i="11"/>
  <c r="O54" i="11" s="1"/>
  <c r="D54" i="11"/>
  <c r="F46" i="11"/>
  <c r="I43" i="11"/>
  <c r="I42" i="11"/>
  <c r="D42" i="11" s="1"/>
  <c r="C42" i="11"/>
  <c r="C43" i="11" s="1"/>
  <c r="I41" i="11"/>
  <c r="D41" i="11"/>
  <c r="E41" i="11" s="1"/>
  <c r="I40" i="11"/>
  <c r="E40" i="11"/>
  <c r="A40" i="11"/>
  <c r="A41" i="11" s="1"/>
  <c r="A42" i="11" s="1"/>
  <c r="A43" i="11" s="1"/>
  <c r="D36" i="11"/>
  <c r="L36" i="11" s="1"/>
  <c r="F28" i="11"/>
  <c r="D28" i="11"/>
  <c r="O28" i="11" s="1"/>
  <c r="E25" i="11"/>
  <c r="E24" i="11"/>
  <c r="E23" i="11"/>
  <c r="E28" i="11" s="1"/>
  <c r="F20" i="11"/>
  <c r="D20" i="11"/>
  <c r="L20" i="11" s="1"/>
  <c r="E18" i="11"/>
  <c r="E16" i="11"/>
  <c r="E15" i="11"/>
  <c r="E14" i="11"/>
  <c r="F11" i="11"/>
  <c r="F66" i="10"/>
  <c r="E66" i="10"/>
  <c r="E58" i="10"/>
  <c r="E34" i="10"/>
  <c r="E32" i="10"/>
  <c r="F33" i="10"/>
  <c r="E33" i="10"/>
  <c r="F31" i="10"/>
  <c r="E31" i="10"/>
  <c r="E6" i="10"/>
  <c r="F5" i="10"/>
  <c r="E5" i="10"/>
  <c r="AP15" i="7"/>
  <c r="AC15" i="7"/>
  <c r="X15" i="7"/>
  <c r="W15" i="7"/>
  <c r="V15" i="7"/>
  <c r="U15" i="7"/>
  <c r="T15" i="7"/>
  <c r="S15" i="7"/>
  <c r="R15" i="7"/>
  <c r="Q15" i="7"/>
  <c r="P15" i="7"/>
  <c r="O15" i="7"/>
  <c r="N15" i="7"/>
  <c r="B15" i="7"/>
  <c r="F31" i="9"/>
  <c r="E31" i="9"/>
  <c r="F79" i="10"/>
  <c r="D79" i="10"/>
  <c r="E76" i="10"/>
  <c r="E79" i="10" s="1"/>
  <c r="O79" i="10" s="1"/>
  <c r="F79" i="9"/>
  <c r="D79" i="9"/>
  <c r="E76" i="9"/>
  <c r="E79" i="9" s="1"/>
  <c r="O79" i="9" s="1"/>
  <c r="E52" i="9"/>
  <c r="E51" i="9"/>
  <c r="E54" i="9" s="1"/>
  <c r="E50" i="9"/>
  <c r="O46" i="9"/>
  <c r="O28" i="9"/>
  <c r="R16" i="7"/>
  <c r="AP16" i="7"/>
  <c r="E25" i="10"/>
  <c r="E24" i="10"/>
  <c r="E25" i="9"/>
  <c r="E24" i="9"/>
  <c r="E6" i="9"/>
  <c r="Q28" i="7" l="1"/>
  <c r="F72" i="11"/>
  <c r="L81" i="11"/>
  <c r="E36" i="11"/>
  <c r="E20" i="11"/>
  <c r="D11" i="11"/>
  <c r="N11" i="11" s="1"/>
  <c r="N81" i="11" s="1"/>
  <c r="E11" i="11"/>
  <c r="E42" i="11"/>
  <c r="D46" i="11"/>
  <c r="E46" i="11"/>
  <c r="O46" i="11" s="1"/>
  <c r="O81" i="11" s="1"/>
  <c r="F36" i="11"/>
  <c r="F74" i="11" s="1"/>
  <c r="S16" i="7"/>
  <c r="T16" i="7"/>
  <c r="Q16" i="7"/>
  <c r="O16" i="7"/>
  <c r="P16" i="7" s="1"/>
  <c r="O83" i="11" l="1"/>
  <c r="E74" i="11"/>
  <c r="AC16" i="7"/>
  <c r="J42" i="9"/>
  <c r="J41" i="9"/>
  <c r="J40" i="9"/>
  <c r="K86" i="8"/>
  <c r="E66" i="8"/>
  <c r="F32" i="8"/>
  <c r="F31" i="8"/>
  <c r="E32" i="8"/>
  <c r="E31" i="8"/>
  <c r="O81" i="8"/>
  <c r="M81" i="8"/>
  <c r="L81" i="8"/>
  <c r="O79" i="8"/>
  <c r="O62" i="8"/>
  <c r="O54" i="8"/>
  <c r="O46" i="8"/>
  <c r="M21" i="7"/>
  <c r="O28" i="8"/>
  <c r="F74" i="8" l="1"/>
  <c r="E62" i="10"/>
  <c r="O62" i="10" s="1"/>
  <c r="E59" i="8"/>
  <c r="E58" i="8"/>
  <c r="E57" i="8"/>
  <c r="F62" i="9"/>
  <c r="E62" i="9"/>
  <c r="O62" i="9" s="1"/>
  <c r="D62" i="9"/>
  <c r="N21" i="7" s="1"/>
  <c r="F62" i="10"/>
  <c r="D62" i="10"/>
  <c r="O21" i="7" s="1"/>
  <c r="F62" i="8"/>
  <c r="D62" i="8"/>
  <c r="E62" i="8"/>
  <c r="B56" i="8"/>
  <c r="E9" i="8"/>
  <c r="E8" i="8"/>
  <c r="E10" i="8"/>
  <c r="F10" i="8" s="1"/>
  <c r="F11" i="8" s="1"/>
  <c r="D8" i="8"/>
  <c r="F7" i="8"/>
  <c r="E6" i="8"/>
  <c r="F6" i="8" s="1"/>
  <c r="F79" i="8"/>
  <c r="D79" i="8"/>
  <c r="E76" i="8"/>
  <c r="E79" i="8" s="1"/>
  <c r="E50" i="8"/>
  <c r="E44" i="8"/>
  <c r="V13" i="7"/>
  <c r="K19" i="7"/>
  <c r="E33" i="6"/>
  <c r="E34" i="6"/>
  <c r="F32" i="6"/>
  <c r="E32" i="6"/>
  <c r="E32" i="5"/>
  <c r="F32" i="5"/>
  <c r="F31" i="6"/>
  <c r="E31" i="6"/>
  <c r="F71" i="6"/>
  <c r="D71" i="6"/>
  <c r="E68" i="6"/>
  <c r="E71" i="6"/>
  <c r="E50" i="6"/>
  <c r="E54" i="6"/>
  <c r="L14" i="7"/>
  <c r="M14" i="7"/>
  <c r="N14" i="7"/>
  <c r="O14" i="7"/>
  <c r="Q14" i="7"/>
  <c r="R14" i="7"/>
  <c r="S14" i="7"/>
  <c r="T14" i="7"/>
  <c r="U14" i="7"/>
  <c r="V14" i="7"/>
  <c r="E10" i="6"/>
  <c r="F10" i="6"/>
  <c r="U13" i="7"/>
  <c r="T13" i="7"/>
  <c r="S13" i="7"/>
  <c r="R13" i="7"/>
  <c r="Q13" i="7"/>
  <c r="O13" i="7"/>
  <c r="N13" i="7"/>
  <c r="M13" i="7"/>
  <c r="L13" i="7"/>
  <c r="E34" i="5"/>
  <c r="F34" i="5"/>
  <c r="F33" i="5"/>
  <c r="E33" i="5"/>
  <c r="F9" i="6"/>
  <c r="E9" i="6"/>
  <c r="F59" i="5"/>
  <c r="E59" i="5"/>
  <c r="E51" i="5"/>
  <c r="D42" i="10"/>
  <c r="E42" i="10" s="1"/>
  <c r="D42" i="6"/>
  <c r="D43" i="5"/>
  <c r="E16" i="10"/>
  <c r="E16" i="9"/>
  <c r="E16" i="6"/>
  <c r="E17" i="5"/>
  <c r="F9" i="5"/>
  <c r="E8" i="5"/>
  <c r="F7" i="5"/>
  <c r="E7" i="5"/>
  <c r="I5" i="5"/>
  <c r="F72" i="5"/>
  <c r="E72" i="5"/>
  <c r="D72" i="5"/>
  <c r="F5" i="6"/>
  <c r="E5" i="6"/>
  <c r="F5" i="5"/>
  <c r="E5" i="5"/>
  <c r="D4" i="10"/>
  <c r="E4" i="10" s="1"/>
  <c r="E11" i="10" s="1"/>
  <c r="O19" i="7" s="1"/>
  <c r="D4" i="9"/>
  <c r="D4" i="8"/>
  <c r="D4" i="6"/>
  <c r="D4" i="5"/>
  <c r="K73" i="4"/>
  <c r="E6" i="5"/>
  <c r="D14" i="4"/>
  <c r="D17" i="4"/>
  <c r="F12" i="4"/>
  <c r="AP14" i="7"/>
  <c r="AP13" i="7"/>
  <c r="L22" i="7"/>
  <c r="E60" i="3"/>
  <c r="I25" i="7"/>
  <c r="I24" i="7"/>
  <c r="I23" i="7"/>
  <c r="I22" i="7"/>
  <c r="I20" i="7"/>
  <c r="I19" i="7"/>
  <c r="H26" i="7"/>
  <c r="H25" i="7"/>
  <c r="H24" i="7"/>
  <c r="H23" i="7"/>
  <c r="H22" i="7"/>
  <c r="H20" i="7"/>
  <c r="H19" i="7"/>
  <c r="G20" i="7"/>
  <c r="G22" i="7"/>
  <c r="G23" i="7"/>
  <c r="G26" i="7"/>
  <c r="G19" i="7"/>
  <c r="M81" i="10"/>
  <c r="F72" i="10"/>
  <c r="D72" i="10"/>
  <c r="N72" i="10" s="1"/>
  <c r="E65" i="10"/>
  <c r="E72" i="10" s="1"/>
  <c r="F54" i="10"/>
  <c r="E54" i="10"/>
  <c r="D54" i="10"/>
  <c r="F46" i="10"/>
  <c r="I43" i="10"/>
  <c r="I42" i="10"/>
  <c r="C42" i="10"/>
  <c r="C43" i="10" s="1"/>
  <c r="I41" i="10"/>
  <c r="D41" i="10" s="1"/>
  <c r="I40" i="10"/>
  <c r="E40" i="10"/>
  <c r="A40" i="10"/>
  <c r="A41" i="10" s="1"/>
  <c r="A42" i="10" s="1"/>
  <c r="A43" i="10" s="1"/>
  <c r="F36" i="10"/>
  <c r="E36" i="10"/>
  <c r="O23" i="7" s="1"/>
  <c r="D36" i="10"/>
  <c r="L36" i="10" s="1"/>
  <c r="F28" i="10"/>
  <c r="F74" i="10" s="1"/>
  <c r="D28" i="10"/>
  <c r="O28" i="10" s="1"/>
  <c r="E23" i="10"/>
  <c r="E28" i="10" s="1"/>
  <c r="O22" i="7" s="1"/>
  <c r="B48" i="10"/>
  <c r="F20" i="10"/>
  <c r="D20" i="10"/>
  <c r="L20" i="10" s="1"/>
  <c r="E18" i="10"/>
  <c r="A18" i="10"/>
  <c r="E17" i="10"/>
  <c r="E15" i="10"/>
  <c r="A15" i="10"/>
  <c r="E14" i="10"/>
  <c r="F11" i="10"/>
  <c r="D11" i="10"/>
  <c r="N11" i="10" s="1"/>
  <c r="A4" i="10"/>
  <c r="A4" i="9"/>
  <c r="M81" i="9"/>
  <c r="F72" i="9"/>
  <c r="D72" i="9"/>
  <c r="N72" i="9" s="1"/>
  <c r="E65" i="9"/>
  <c r="E72" i="9" s="1"/>
  <c r="F54" i="9"/>
  <c r="O54" i="9"/>
  <c r="O81" i="9" s="1"/>
  <c r="O83" i="9" s="1"/>
  <c r="N25" i="7"/>
  <c r="D54" i="9"/>
  <c r="F46" i="9"/>
  <c r="I43" i="9"/>
  <c r="I42" i="9"/>
  <c r="D42" i="9" s="1"/>
  <c r="C42" i="9"/>
  <c r="C43" i="9" s="1"/>
  <c r="I41" i="9"/>
  <c r="D41" i="9"/>
  <c r="E41" i="9" s="1"/>
  <c r="I40" i="9"/>
  <c r="E40" i="9"/>
  <c r="A40" i="9"/>
  <c r="A41" i="9" s="1"/>
  <c r="A42" i="9" s="1"/>
  <c r="A43" i="9" s="1"/>
  <c r="L36" i="9"/>
  <c r="F36" i="9"/>
  <c r="E36" i="9"/>
  <c r="N23" i="7" s="1"/>
  <c r="D36" i="9"/>
  <c r="F28" i="9"/>
  <c r="E28" i="9"/>
  <c r="N22" i="7" s="1"/>
  <c r="D28" i="9"/>
  <c r="E23" i="9"/>
  <c r="B22" i="9"/>
  <c r="B30" i="9" s="1"/>
  <c r="B48" i="9" s="1"/>
  <c r="F20" i="9"/>
  <c r="D20" i="9"/>
  <c r="L20" i="9" s="1"/>
  <c r="E18" i="9"/>
  <c r="A18" i="9"/>
  <c r="E17" i="9"/>
  <c r="E15" i="9"/>
  <c r="A15" i="9"/>
  <c r="E14" i="9"/>
  <c r="F11" i="9"/>
  <c r="F74" i="9" s="1"/>
  <c r="D11" i="9"/>
  <c r="N11" i="9" s="1"/>
  <c r="E4" i="9"/>
  <c r="E11" i="9" s="1"/>
  <c r="N19" i="7" s="1"/>
  <c r="A18" i="8"/>
  <c r="F72" i="8"/>
  <c r="D72" i="8"/>
  <c r="N72" i="8" s="1"/>
  <c r="N81" i="8" s="1"/>
  <c r="O83" i="8" s="1"/>
  <c r="E65" i="8"/>
  <c r="E72" i="8" s="1"/>
  <c r="M26" i="7" s="1"/>
  <c r="F54" i="8"/>
  <c r="E54" i="8"/>
  <c r="M25" i="7" s="1"/>
  <c r="D54" i="8"/>
  <c r="F46" i="8"/>
  <c r="I43" i="8"/>
  <c r="I42" i="8"/>
  <c r="D42" i="8" s="1"/>
  <c r="E42" i="8" s="1"/>
  <c r="C42" i="8"/>
  <c r="C43" i="8" s="1"/>
  <c r="I41" i="8"/>
  <c r="D41" i="8" s="1"/>
  <c r="I40" i="8"/>
  <c r="E40" i="8"/>
  <c r="A40" i="8"/>
  <c r="A41" i="8" s="1"/>
  <c r="A42" i="8" s="1"/>
  <c r="A43" i="8" s="1"/>
  <c r="F36" i="8"/>
  <c r="E36" i="8"/>
  <c r="M23" i="7" s="1"/>
  <c r="D36" i="8"/>
  <c r="L36" i="8" s="1"/>
  <c r="F28" i="8"/>
  <c r="D28" i="8"/>
  <c r="E23" i="8"/>
  <c r="E28" i="8" s="1"/>
  <c r="M22" i="7" s="1"/>
  <c r="B22" i="8"/>
  <c r="B48" i="8" s="1"/>
  <c r="F20" i="8"/>
  <c r="D20" i="8"/>
  <c r="L20" i="8" s="1"/>
  <c r="E18" i="8"/>
  <c r="E17" i="8"/>
  <c r="E14" i="8"/>
  <c r="D11" i="8"/>
  <c r="N11" i="8" s="1"/>
  <c r="A43" i="6"/>
  <c r="A42" i="6"/>
  <c r="A41" i="6"/>
  <c r="A40" i="6"/>
  <c r="I43" i="6"/>
  <c r="I42" i="6"/>
  <c r="E42" i="6"/>
  <c r="C42" i="6"/>
  <c r="C43" i="6"/>
  <c r="I41" i="6"/>
  <c r="D41" i="6"/>
  <c r="E41" i="6"/>
  <c r="I40" i="6"/>
  <c r="E40" i="6"/>
  <c r="I44" i="5"/>
  <c r="I43" i="5"/>
  <c r="E43" i="5"/>
  <c r="I42" i="5"/>
  <c r="D42" i="5"/>
  <c r="E42" i="5"/>
  <c r="I41" i="5"/>
  <c r="C43" i="5"/>
  <c r="C44" i="5"/>
  <c r="E41" i="5"/>
  <c r="M74" i="5"/>
  <c r="M73" i="6"/>
  <c r="E57" i="4"/>
  <c r="E50" i="5"/>
  <c r="E50" i="4"/>
  <c r="F51" i="4"/>
  <c r="E63" i="4"/>
  <c r="F63" i="4"/>
  <c r="F20" i="6"/>
  <c r="D20" i="6"/>
  <c r="L20" i="6"/>
  <c r="F21" i="5"/>
  <c r="D21" i="5"/>
  <c r="L21" i="5"/>
  <c r="M73" i="4"/>
  <c r="E66" i="4"/>
  <c r="E64" i="4"/>
  <c r="E57" i="6"/>
  <c r="E58" i="5"/>
  <c r="E62" i="4"/>
  <c r="E4" i="6"/>
  <c r="E4" i="5"/>
  <c r="E11" i="4"/>
  <c r="E10" i="4"/>
  <c r="E5" i="3"/>
  <c r="F5" i="3"/>
  <c r="I49" i="4"/>
  <c r="E4" i="8"/>
  <c r="I48" i="4"/>
  <c r="I47" i="4"/>
  <c r="D47" i="4" s="1"/>
  <c r="AI12" i="7"/>
  <c r="AI11" i="7"/>
  <c r="AI17" i="7"/>
  <c r="J11" i="7"/>
  <c r="K11" i="7"/>
  <c r="L11" i="7"/>
  <c r="M11" i="7"/>
  <c r="N11" i="7"/>
  <c r="O11" i="7"/>
  <c r="Q11" i="7"/>
  <c r="R11" i="7"/>
  <c r="S11" i="7"/>
  <c r="T11" i="7"/>
  <c r="U11" i="7"/>
  <c r="V11" i="7"/>
  <c r="V17" i="7" s="1"/>
  <c r="W11" i="7"/>
  <c r="W17" i="7" s="1"/>
  <c r="X11" i="7"/>
  <c r="X17" i="7" s="1"/>
  <c r="Y11" i="7"/>
  <c r="Z11" i="7"/>
  <c r="Z17" i="7" s="1"/>
  <c r="AA11" i="7"/>
  <c r="AB11" i="7"/>
  <c r="AD11" i="7"/>
  <c r="AE11" i="7"/>
  <c r="AF11" i="7"/>
  <c r="AG11" i="7"/>
  <c r="AH11" i="7"/>
  <c r="J12" i="7"/>
  <c r="K12" i="7"/>
  <c r="L12" i="7"/>
  <c r="M12" i="7"/>
  <c r="N12" i="7"/>
  <c r="O12" i="7"/>
  <c r="Q12" i="7"/>
  <c r="R12" i="7"/>
  <c r="S12" i="7"/>
  <c r="T12" i="7"/>
  <c r="U12" i="7"/>
  <c r="V12" i="7"/>
  <c r="W12" i="7"/>
  <c r="X12" i="7"/>
  <c r="Y12" i="7"/>
  <c r="Z12" i="7"/>
  <c r="AA12" i="7"/>
  <c r="AA17" i="7" s="1"/>
  <c r="AB12" i="7"/>
  <c r="AD12" i="7"/>
  <c r="AD17" i="7" s="1"/>
  <c r="AE12" i="7"/>
  <c r="AE17" i="7" s="1"/>
  <c r="AF12" i="7"/>
  <c r="AF17" i="7" s="1"/>
  <c r="AG12" i="7"/>
  <c r="AH12" i="7"/>
  <c r="N70" i="3"/>
  <c r="M70" i="3"/>
  <c r="L70" i="3"/>
  <c r="L39" i="3"/>
  <c r="E55" i="4"/>
  <c r="K10" i="7"/>
  <c r="J10" i="7"/>
  <c r="AP10" i="7"/>
  <c r="AC10" i="7"/>
  <c r="D56" i="3"/>
  <c r="E54" i="3"/>
  <c r="E53" i="3"/>
  <c r="E51" i="3"/>
  <c r="E52" i="3"/>
  <c r="E46" i="4"/>
  <c r="E39" i="4"/>
  <c r="F39" i="4"/>
  <c r="E38" i="4"/>
  <c r="F38" i="4"/>
  <c r="E37" i="4"/>
  <c r="E35" i="3"/>
  <c r="F35" i="3"/>
  <c r="E34" i="3"/>
  <c r="M68" i="3"/>
  <c r="D60" i="3"/>
  <c r="E64" i="3"/>
  <c r="E63" i="3"/>
  <c r="E61" i="3"/>
  <c r="E59" i="3"/>
  <c r="F59" i="3"/>
  <c r="E7" i="4"/>
  <c r="E6" i="4"/>
  <c r="E19" i="3"/>
  <c r="E11" i="3"/>
  <c r="I11" i="3"/>
  <c r="I12" i="3"/>
  <c r="I13" i="3"/>
  <c r="E7" i="3"/>
  <c r="E6" i="3"/>
  <c r="AO17" i="7"/>
  <c r="AN17" i="7"/>
  <c r="AM17" i="7"/>
  <c r="AL17" i="7"/>
  <c r="AK17" i="7"/>
  <c r="AJ17" i="7"/>
  <c r="P2" i="7"/>
  <c r="AC2" i="7"/>
  <c r="AP2" i="7"/>
  <c r="O9" i="7"/>
  <c r="N9" i="7"/>
  <c r="M9" i="7"/>
  <c r="L9" i="7"/>
  <c r="K9" i="7"/>
  <c r="J9" i="7"/>
  <c r="F9" i="7"/>
  <c r="G9" i="7"/>
  <c r="H9" i="7"/>
  <c r="I9" i="7"/>
  <c r="AC9" i="7"/>
  <c r="AP9" i="7"/>
  <c r="D8" i="7"/>
  <c r="D17" i="7" s="1"/>
  <c r="E8" i="7"/>
  <c r="F8" i="7"/>
  <c r="G8" i="7"/>
  <c r="H8" i="7"/>
  <c r="I8" i="7"/>
  <c r="J8" i="7"/>
  <c r="AC8" i="7"/>
  <c r="AP8" i="7"/>
  <c r="G7" i="7"/>
  <c r="H7" i="7"/>
  <c r="I7" i="7"/>
  <c r="P7" i="7" s="1"/>
  <c r="AC7" i="7"/>
  <c r="AP7" i="7"/>
  <c r="B4" i="7"/>
  <c r="E4" i="7" s="1"/>
  <c r="S6" i="7"/>
  <c r="S17" i="7" s="1"/>
  <c r="R6" i="7"/>
  <c r="Q6" i="7"/>
  <c r="Q17" i="7" s="1"/>
  <c r="O6" i="7"/>
  <c r="N6" i="7"/>
  <c r="M6" i="7"/>
  <c r="L6" i="7"/>
  <c r="K6" i="7"/>
  <c r="J6" i="7"/>
  <c r="I6" i="7"/>
  <c r="D10" i="3"/>
  <c r="AP6" i="7"/>
  <c r="O5" i="7"/>
  <c r="N5" i="7"/>
  <c r="M5" i="7"/>
  <c r="L5" i="7"/>
  <c r="K5" i="7"/>
  <c r="K17" i="7" s="1"/>
  <c r="J5" i="7"/>
  <c r="I5" i="7"/>
  <c r="I17" i="7" s="1"/>
  <c r="H5" i="7"/>
  <c r="G5" i="7"/>
  <c r="F5" i="7"/>
  <c r="AC5" i="7"/>
  <c r="AP5" i="7"/>
  <c r="D48" i="4"/>
  <c r="P10" i="7"/>
  <c r="I4" i="7"/>
  <c r="G4" i="7"/>
  <c r="AC3" i="7"/>
  <c r="AP4" i="7"/>
  <c r="AC4" i="7"/>
  <c r="P3" i="7"/>
  <c r="AH3" i="7" s="1"/>
  <c r="AP3" i="7" s="1"/>
  <c r="D11" i="6"/>
  <c r="N11" i="6"/>
  <c r="E14" i="4"/>
  <c r="E10" i="3"/>
  <c r="F60" i="2"/>
  <c r="F65" i="2"/>
  <c r="F67" i="2"/>
  <c r="F64" i="2"/>
  <c r="E64" i="2"/>
  <c r="E65" i="2"/>
  <c r="D65" i="2"/>
  <c r="E29" i="1"/>
  <c r="E32" i="2"/>
  <c r="F32" i="2"/>
  <c r="F37" i="2"/>
  <c r="E39" i="3"/>
  <c r="E6" i="2"/>
  <c r="F6" i="2"/>
  <c r="E17" i="2"/>
  <c r="D64" i="6"/>
  <c r="N64" i="6"/>
  <c r="D54" i="6"/>
  <c r="E46" i="6"/>
  <c r="L24" i="7"/>
  <c r="F36" i="6"/>
  <c r="D36" i="6"/>
  <c r="L36" i="6"/>
  <c r="L73" i="6"/>
  <c r="E36" i="6"/>
  <c r="L23" i="7"/>
  <c r="F28" i="6"/>
  <c r="D28" i="6"/>
  <c r="E23" i="6"/>
  <c r="B22" i="6"/>
  <c r="B30" i="6"/>
  <c r="B38" i="6"/>
  <c r="B48" i="6"/>
  <c r="E18" i="6"/>
  <c r="E17" i="6"/>
  <c r="E15" i="6"/>
  <c r="E14" i="6"/>
  <c r="F11" i="6"/>
  <c r="B23" i="5"/>
  <c r="B31" i="5"/>
  <c r="B39" i="5"/>
  <c r="B49" i="5"/>
  <c r="D65" i="5"/>
  <c r="N65" i="5"/>
  <c r="E65" i="5"/>
  <c r="K26" i="7"/>
  <c r="D55" i="5"/>
  <c r="E54" i="5"/>
  <c r="E53" i="5"/>
  <c r="F53" i="5"/>
  <c r="F55" i="5"/>
  <c r="F47" i="5"/>
  <c r="D47" i="5"/>
  <c r="F37" i="5"/>
  <c r="D37" i="5"/>
  <c r="L37" i="5"/>
  <c r="L74" i="5"/>
  <c r="K74" i="5"/>
  <c r="E37" i="5"/>
  <c r="K23" i="7"/>
  <c r="F29" i="5"/>
  <c r="D29" i="5"/>
  <c r="E28" i="5"/>
  <c r="H26" i="5"/>
  <c r="E26" i="5"/>
  <c r="H25" i="5"/>
  <c r="E25" i="5"/>
  <c r="E24" i="5"/>
  <c r="E19" i="5"/>
  <c r="E18" i="5"/>
  <c r="E16" i="5"/>
  <c r="E15" i="5"/>
  <c r="D12" i="5"/>
  <c r="N12" i="5"/>
  <c r="I46" i="4"/>
  <c r="D59" i="4"/>
  <c r="D69" i="4"/>
  <c r="D66" i="3"/>
  <c r="N66" i="3"/>
  <c r="N68" i="3"/>
  <c r="I42" i="3"/>
  <c r="E42" i="3"/>
  <c r="E65" i="4"/>
  <c r="E58" i="4"/>
  <c r="F59" i="4"/>
  <c r="E54" i="4"/>
  <c r="F42" i="4"/>
  <c r="D42" i="4"/>
  <c r="L42" i="4"/>
  <c r="E42" i="4"/>
  <c r="J23" i="7"/>
  <c r="F34" i="4"/>
  <c r="D34" i="4"/>
  <c r="E33" i="4"/>
  <c r="H31" i="4"/>
  <c r="E31" i="4"/>
  <c r="H30" i="4"/>
  <c r="E30" i="4"/>
  <c r="E29" i="4"/>
  <c r="F26" i="4"/>
  <c r="D26" i="4"/>
  <c r="L26" i="4"/>
  <c r="E25" i="4"/>
  <c r="E24" i="4"/>
  <c r="E23" i="4"/>
  <c r="E21" i="4"/>
  <c r="E20" i="4"/>
  <c r="E12" i="4"/>
  <c r="F17" i="4"/>
  <c r="E4" i="4"/>
  <c r="E62" i="3"/>
  <c r="E55" i="3"/>
  <c r="E50" i="3"/>
  <c r="E46" i="3"/>
  <c r="E45" i="3"/>
  <c r="F45" i="3"/>
  <c r="E44" i="3"/>
  <c r="F44" i="3"/>
  <c r="F39" i="3"/>
  <c r="D39" i="3"/>
  <c r="F31" i="3"/>
  <c r="D31" i="3"/>
  <c r="E30" i="3"/>
  <c r="H28" i="3"/>
  <c r="E28" i="3"/>
  <c r="H27" i="3"/>
  <c r="E27" i="3"/>
  <c r="E26" i="3"/>
  <c r="F23" i="3"/>
  <c r="D23" i="3"/>
  <c r="L23" i="3"/>
  <c r="L68" i="3"/>
  <c r="E22" i="3"/>
  <c r="E21" i="3"/>
  <c r="E20" i="3"/>
  <c r="E18" i="3"/>
  <c r="E17" i="3"/>
  <c r="D14" i="3"/>
  <c r="N14" i="3"/>
  <c r="J13" i="3"/>
  <c r="E13" i="3"/>
  <c r="F13" i="3"/>
  <c r="J12" i="3"/>
  <c r="E12" i="3"/>
  <c r="F12" i="3"/>
  <c r="J11" i="3"/>
  <c r="E8" i="3"/>
  <c r="F8" i="3"/>
  <c r="E3" i="3"/>
  <c r="F21" i="2"/>
  <c r="F29" i="2"/>
  <c r="E37" i="2"/>
  <c r="D53" i="2"/>
  <c r="E52" i="2"/>
  <c r="E51" i="2"/>
  <c r="F51" i="2"/>
  <c r="E50" i="2"/>
  <c r="F50" i="2"/>
  <c r="E48" i="2"/>
  <c r="D21" i="2"/>
  <c r="E4" i="2"/>
  <c r="E61" i="2"/>
  <c r="F61" i="2"/>
  <c r="E59" i="2"/>
  <c r="E58" i="2"/>
  <c r="F58" i="2"/>
  <c r="E3" i="2"/>
  <c r="D45" i="2"/>
  <c r="E44" i="2"/>
  <c r="E43" i="2"/>
  <c r="F43" i="2"/>
  <c r="E42" i="2"/>
  <c r="F42" i="2"/>
  <c r="F45" i="2"/>
  <c r="E40" i="2"/>
  <c r="E56" i="2"/>
  <c r="D37" i="2"/>
  <c r="D29" i="2"/>
  <c r="E28" i="2"/>
  <c r="H26" i="2"/>
  <c r="E26" i="2"/>
  <c r="H25" i="2"/>
  <c r="E25" i="2"/>
  <c r="E24" i="2"/>
  <c r="E20" i="2"/>
  <c r="E19" i="2"/>
  <c r="E18" i="2"/>
  <c r="E16" i="2"/>
  <c r="E15" i="2"/>
  <c r="D12" i="2"/>
  <c r="I11" i="2"/>
  <c r="J11" i="2"/>
  <c r="E11" i="2"/>
  <c r="F11" i="2"/>
  <c r="I10" i="2"/>
  <c r="J10" i="2"/>
  <c r="E10" i="2"/>
  <c r="F10" i="2"/>
  <c r="I9" i="2"/>
  <c r="J9" i="2"/>
  <c r="E7" i="2"/>
  <c r="F7" i="2"/>
  <c r="E5" i="2"/>
  <c r="F5" i="2"/>
  <c r="F44" i="1"/>
  <c r="E41" i="1"/>
  <c r="F40" i="1"/>
  <c r="F42" i="1"/>
  <c r="E40" i="1"/>
  <c r="F39" i="1"/>
  <c r="E39" i="1"/>
  <c r="E37" i="1"/>
  <c r="D42" i="1"/>
  <c r="F34" i="1"/>
  <c r="D34" i="1"/>
  <c r="H23" i="1"/>
  <c r="H22" i="1"/>
  <c r="D26" i="1"/>
  <c r="F26" i="1"/>
  <c r="E25" i="1"/>
  <c r="E23" i="1"/>
  <c r="E22" i="1"/>
  <c r="E21" i="1"/>
  <c r="E17" i="1"/>
  <c r="E16" i="1"/>
  <c r="E15" i="1"/>
  <c r="E14" i="1"/>
  <c r="E13" i="1"/>
  <c r="F18" i="1"/>
  <c r="D18" i="1"/>
  <c r="F10" i="1"/>
  <c r="E10" i="1"/>
  <c r="F4" i="1"/>
  <c r="E4" i="1"/>
  <c r="D10" i="1"/>
  <c r="F3" i="1"/>
  <c r="E3" i="1"/>
  <c r="I7" i="1"/>
  <c r="J7" i="1"/>
  <c r="I9" i="1"/>
  <c r="J9" i="1"/>
  <c r="E9" i="1"/>
  <c r="F9" i="1"/>
  <c r="I8" i="1"/>
  <c r="J8" i="1"/>
  <c r="E8" i="1"/>
  <c r="F8" i="1"/>
  <c r="E5" i="1"/>
  <c r="F5" i="1"/>
  <c r="F12" i="2"/>
  <c r="E12" i="2"/>
  <c r="E29" i="2"/>
  <c r="F53" i="2"/>
  <c r="E21" i="2"/>
  <c r="E45" i="2"/>
  <c r="D46" i="6"/>
  <c r="E42" i="1"/>
  <c r="E34" i="1"/>
  <c r="E44" i="1"/>
  <c r="E26" i="1"/>
  <c r="E18" i="1"/>
  <c r="E53" i="2"/>
  <c r="E67" i="2"/>
  <c r="E20" i="6"/>
  <c r="L20" i="7"/>
  <c r="N74" i="5"/>
  <c r="L73" i="4"/>
  <c r="E48" i="4"/>
  <c r="N73" i="6"/>
  <c r="E28" i="6"/>
  <c r="E29" i="5"/>
  <c r="K22" i="7"/>
  <c r="E55" i="5"/>
  <c r="K25" i="7"/>
  <c r="E21" i="5"/>
  <c r="K20" i="7"/>
  <c r="N69" i="4"/>
  <c r="E64" i="6"/>
  <c r="L26" i="7"/>
  <c r="F64" i="6"/>
  <c r="E47" i="5"/>
  <c r="K24" i="7"/>
  <c r="F12" i="5"/>
  <c r="F54" i="6"/>
  <c r="L25" i="7"/>
  <c r="N17" i="4"/>
  <c r="N73" i="4"/>
  <c r="E26" i="4"/>
  <c r="J20" i="7"/>
  <c r="E59" i="4"/>
  <c r="J25" i="7"/>
  <c r="F46" i="6"/>
  <c r="F66" i="6"/>
  <c r="F65" i="5"/>
  <c r="E12" i="5"/>
  <c r="E69" i="4"/>
  <c r="J26" i="7"/>
  <c r="F69" i="4"/>
  <c r="E31" i="3"/>
  <c r="E34" i="4"/>
  <c r="J22" i="7"/>
  <c r="E17" i="4"/>
  <c r="J19" i="7" s="1"/>
  <c r="E66" i="3"/>
  <c r="I26" i="7"/>
  <c r="F66" i="3"/>
  <c r="E47" i="3"/>
  <c r="E23" i="3"/>
  <c r="F47" i="3"/>
  <c r="E56" i="3"/>
  <c r="F56" i="3"/>
  <c r="E11" i="6"/>
  <c r="L19" i="7"/>
  <c r="F14" i="3"/>
  <c r="D47" i="3"/>
  <c r="E14" i="3"/>
  <c r="E67" i="5"/>
  <c r="F67" i="5"/>
  <c r="E66" i="6"/>
  <c r="F73" i="4"/>
  <c r="E68" i="3"/>
  <c r="F68" i="3"/>
  <c r="D68" i="3"/>
  <c r="E47" i="4" l="1"/>
  <c r="E51" i="4" s="1"/>
  <c r="D51" i="4"/>
  <c r="D73" i="4" s="1"/>
  <c r="E20" i="10"/>
  <c r="O20" i="7" s="1"/>
  <c r="O25" i="7"/>
  <c r="O54" i="10"/>
  <c r="P13" i="7"/>
  <c r="AC14" i="7"/>
  <c r="AC13" i="7"/>
  <c r="G28" i="7"/>
  <c r="P5" i="7"/>
  <c r="M17" i="7"/>
  <c r="P8" i="7"/>
  <c r="P9" i="7"/>
  <c r="AC12" i="7"/>
  <c r="Y17" i="7"/>
  <c r="AP11" i="7"/>
  <c r="N17" i="7"/>
  <c r="O17" i="7"/>
  <c r="AG17" i="7"/>
  <c r="P12" i="7"/>
  <c r="L28" i="7"/>
  <c r="U17" i="7"/>
  <c r="L17" i="7"/>
  <c r="AB17" i="7"/>
  <c r="G17" i="7"/>
  <c r="L81" i="10"/>
  <c r="P11" i="7"/>
  <c r="P6" i="7"/>
  <c r="P14" i="7"/>
  <c r="K28" i="7"/>
  <c r="AC11" i="7"/>
  <c r="H28" i="7"/>
  <c r="T17" i="7"/>
  <c r="I28" i="7"/>
  <c r="E74" i="10"/>
  <c r="L81" i="9"/>
  <c r="N81" i="9"/>
  <c r="E20" i="9"/>
  <c r="E74" i="8"/>
  <c r="E17" i="7"/>
  <c r="R17" i="7"/>
  <c r="AP12" i="7"/>
  <c r="AH17" i="7"/>
  <c r="AP17" i="7"/>
  <c r="H4" i="7"/>
  <c r="H17" i="7" s="1"/>
  <c r="AC6" i="7"/>
  <c r="AC17" i="7" s="1"/>
  <c r="F4" i="7"/>
  <c r="F17" i="7" s="1"/>
  <c r="J4" i="7"/>
  <c r="J17" i="7" s="1"/>
  <c r="B17" i="7"/>
  <c r="N81" i="10"/>
  <c r="E46" i="9"/>
  <c r="N24" i="7" s="1"/>
  <c r="E42" i="9"/>
  <c r="D46" i="9"/>
  <c r="D46" i="10"/>
  <c r="E41" i="10"/>
  <c r="E46" i="10" s="1"/>
  <c r="N26" i="7"/>
  <c r="O26" i="7"/>
  <c r="E20" i="8"/>
  <c r="M20" i="7" s="1"/>
  <c r="E41" i="8"/>
  <c r="E46" i="8" s="1"/>
  <c r="M24" i="7" s="1"/>
  <c r="D46" i="8"/>
  <c r="E11" i="8"/>
  <c r="M19" i="7" s="1"/>
  <c r="O24" i="7" l="1"/>
  <c r="O46" i="10"/>
  <c r="O81" i="10"/>
  <c r="J24" i="7"/>
  <c r="J28" i="7" s="1"/>
  <c r="E73" i="4"/>
  <c r="O83" i="10"/>
  <c r="O28" i="7"/>
  <c r="N20" i="7"/>
  <c r="N28" i="7" s="1"/>
  <c r="E74" i="9"/>
  <c r="P4" i="7"/>
  <c r="P17" i="7" s="1"/>
  <c r="M2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BA4DE4-C5DF-4161-898F-AE98FE2F7CE3}" name="Query - My_Payment" description="Connection to the 'My_Payment' query in the workbook." type="100" refreshedVersion="8" minRefreshableVersion="5">
    <extLst>
      <ext xmlns:x15="http://schemas.microsoft.com/office/spreadsheetml/2010/11/main" uri="{DE250136-89BD-433C-8126-D09CA5730AF9}">
        <x15:connection id="a9f55e29-09b9-40b1-8de5-70ac49bf5ddf"/>
      </ext>
    </extLst>
  </connection>
  <connection id="2" xr16:uid="{8C54FBC5-927F-4D9A-B1C4-E58F648B2B0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y_Payment].[Inst.Period].&amp;[001/002],[My_Payment].[Inst.Period].&amp;[002/001],[My_Payment].[Inst.Period].&amp;[002/002],[My_Payment].[Inst.Period].&amp;[003/001],[My_Payment].[Inst.Period].&amp;[003/002],[My_Payment].[Inst.Period].&amp;[003/003],[My_Payment].[Inst.Period].&amp;[004/001],[My_Payment].[Inst.Period].&amp;[004/002],[My_Payment].[Inst.Period].&amp;[004/003],[My_Payment].[Inst.Period].&amp;[004/004],[My_Payment].[Inst.Period].&amp;[005/001],[My_Payment].[Inst.Period].&amp;[005/002],[My_Payment].[Inst.Period].&amp;[005/003],[My_Payment].[Inst.Period].&amp;[005/004],[My_Payment].[Inst.Period].&amp;[005/005],[My_Payment].[Inst.Period].&amp;[006/001],[My_Payment].[Inst.Period].&amp;[006/002],[My_Payment].[Inst.Period].&amp;[006/003],[My_Payment].[Inst.Period].&amp;[006/004],[My_Payment].[Inst.Period].&amp;[006/005],[My_Payment].[Inst.Period].&amp;[006/006],[My_Payment].[Inst.Period].&amp;[010/001],[My_Payment].[Inst.Period].&amp;[010/002],[My_Payment].[Inst.Period].&amp;[010/003],[My_Payment].[Inst.Period].&amp;[010/004],[My_Payment].[Inst.Period].&amp;[010/005],[My_Payment].[Inst.Period].&amp;[010/006],[My_Payment].[Inst.Period].&amp;[010/007],[My_Payment].[Inst.Period].&amp;[010/008],[My_Payment].[Inst.Period].&amp;[010/009],[My_Payment].[Inst.Period].&amp;[010/010],[My_Payment].[Inst.Period].&amp;[012/001],[My_Payment].[Inst.Period].&amp;[012/002],[My_Payment].[Inst.Period].&amp;[012/003],[My_Payment].[Inst.Period].&amp;[012/004],[My_Payment].[Inst.Period].&amp;[012/005],[My_Payment].[Inst.Period].&amp;[012/006],[My_Payment].[Inst.Period].&amp;[012/007],[My_Payment].[Inst.Period].&amp;[012/008],[My_Payment].[Inst.Period].&amp;[012/009],[My_Payment].[Inst.Period].&amp;[012/010],[My_Payment].[Inst.Period].&amp;[012/011],[My_Payment].[Inst.Period].&amp;[012/012],[My_Payment].[Inst.Period].&amp;[024/001],[My_Payment].[Inst.Period].&amp;[024/002],[My_Payment].[Inst.Period].&amp;[024/003],[My_Payment].[Inst.Period].&amp;[024/004],[My_Payment].[Inst.Period].&amp;[024/005],[My_Payment].[Inst.Period].&amp;[024/006],[My_Payment].[Inst.Period].&amp;[024/007],[My_Payment].[Inst.Period].&amp;[024/008],[My_Payment].[Inst.Period].&amp;[024/009],[My_Payment].[Inst.Period].&amp;[024/010],[My_Payment].[Inst.Period].&amp;[024/011],[My_Payment].[Inst.Period].&amp;[024/012],[My_Payment].[Inst.Period].&amp;[024/013],[My_Payment].[Inst.Period].&amp;[024/014],[My_Payment].[Inst.Period].&amp;[024/015],[My_Payment].[Inst.Period].&amp;[024/016],[My_Payment].[Inst.Period].&amp;[024/017],[My_Payment].[Inst.Period].&amp;[024/018],[My_Payment].[Inst.Period].&amp;[024/019],[My_Payment].[Inst.Period].&amp;[024/020],[My_Payment].[Inst.Period].&amp;[024/021],[My_Payment].[Inst.Period].&amp;[024/022],[My_Payment].[Inst.Period].&amp;[024/023],[My_Payment].[Inst.Period].&amp;[024/024],[My_Payment].[Inst.Period].&amp;[030/009],[My_Payment].[Inst.Period].&amp;[030/010],[My_Payment].[Inst.Period].&amp;[030/011],[My_Payment].[Inst.Period].&amp;[030/012],[My_Payment].[Inst.Period].&amp;[030/013],[My_Payment].[Inst.Period].&amp;[030/014],[My_Payment].[Inst.Period].&amp;[030/015],[My_Payment].[Inst.Period].&amp;[030/016],[My_Payment].[Inst.Period].&amp;[030/017],[My_Payment].[Inst.Period].&amp;[030/018],[My_Payment].[Inst.Period].&amp;[030/019],[My_Payment].[Inst.Period].&amp;[030/020],[My_Payment].[Inst.Period].&amp;[030/021],[My_Payment].[Inst.Period].&amp;[030/022],[My_Payment].[Inst.Period].&amp;[030/023],[My_Payment].[Inst.Period].&amp;[030/024],[My_Payment].[Inst.Period].&amp;[030/025],[My_Payment].[Inst.Period].&amp;[030/026],[My_Payment].[Inst.Period].&amp;[030/027],[My_Payment].[Inst.Period].&amp;[030/028],[My_Payment].[Inst.Period].&amp;[030/029],[My_Payment].[Inst.Period].&amp;[030/030],[My_Payment].[Inst.Period].&amp;[036/001],[My_Payment].[Inst.Period].&amp;[036/002],[My_Payment].[Inst.Period].&amp;[036/003],[My_Payment].[Inst.Period].&amp;[036/004],[My_Payment].[Inst.Period].&amp;[036/005],[My_Payment].[Inst.Period].&amp;[036/006],[My_Payment].[Inst.Period].&amp;[036/007],[My_Payment].[Inst.Period].&amp;[036/008],[My_Payment].[Inst.Period].&amp;[036/009],[My_Payment].[Inst.Period].&amp;[036/010],[My_Payment].[Inst.Period].&amp;[036/011],[My_Payment].[Inst.Period].&amp;[036/012],[My_Payment].[Inst.Period].&amp;[036/013],[My_Payment].[Inst.Period].&amp;[036/014],[My_Payment].[Inst.Period].&amp;[036/015],[My_Payment].[Inst.Period].&amp;[036/016],[My_Payment].[Inst.Period].&amp;[036/017],[My_Payment].[Inst.Period].&amp;[036/018],[My_Payment].[Inst.Period].&amp;[036/019],[My_Payment].[Inst.Period].&amp;[036/020],[My_Payment].[Inst.Period].&amp;[036/021],[My_Payment].[Inst.Period].&amp;[036/022],[My_Payment].[Inst.Period].&amp;[036/023],[My_Payment].[Inst.Period].&amp;[036/024],[My_Payment].[Inst.Period].&amp;[036/025],[My_Payment].[Inst.Period].&amp;[036/026],[My_Payment].[Inst.Period].&amp;[036/027],[My_Payment].[Inst.Period].&amp;[036/028],[My_Payment].[Inst.Period].&amp;[036/029],[My_Payment].[Inst.Period].&amp;[036/030],[My_Payment].[Inst.Period].&amp;[036/031],[My_Payment].[Inst.Period].&amp;[036/032],[My_Payment].[Inst.Period].&amp;[036/033],[My_Payment].[Inst.Period].&amp;[036/034],[My_Payment].[Inst.Period].&amp;[036/035],[My_Payment].[Inst.Period].&amp;[036/036]}"/>
  </metadataStrings>
  <mdxMetadata count="1">
    <mdx n="0" f="s">
      <ms ns="1" c="0"/>
    </mdx>
  </mdxMetadata>
  <valueMetadata count="1">
    <bk>
      <rc t="1" v="0"/>
    </bk>
  </valueMetadata>
</metadata>
</file>

<file path=xl/sharedStrings.xml><?xml version="1.0" encoding="utf-8"?>
<sst xmlns="http://schemas.openxmlformats.org/spreadsheetml/2006/main" count="9321" uniqueCount="738">
  <si>
    <t>Homepro</t>
  </si>
  <si>
    <t>Total</t>
  </si>
  <si>
    <t>G</t>
  </si>
  <si>
    <t>N</t>
  </si>
  <si>
    <t>F Amount</t>
  </si>
  <si>
    <t>Per Month</t>
  </si>
  <si>
    <t>Dif INT</t>
  </si>
  <si>
    <t>HOME PRODUCT CENTER - PETCHKASEM</t>
  </si>
  <si>
    <t>BONCHON CHICKEN-SP001 BANGKOK TH</t>
  </si>
  <si>
    <t>RENTOKIL INITIAL</t>
  </si>
  <si>
    <t>003/006</t>
  </si>
  <si>
    <t>Shoppee Pay</t>
  </si>
  <si>
    <t>002/010</t>
  </si>
  <si>
    <t>ODP-SEACON</t>
  </si>
  <si>
    <t>001/003</t>
  </si>
  <si>
    <t>MI-SHOP SEACON</t>
  </si>
  <si>
    <t>Total HomePro</t>
  </si>
  <si>
    <t>K-Credit</t>
  </si>
  <si>
    <t>True I Service</t>
  </si>
  <si>
    <t>007/010</t>
  </si>
  <si>
    <t>Cash Back</t>
  </si>
  <si>
    <t>Total K-Credit</t>
  </si>
  <si>
    <t>KTC-Credit</t>
  </si>
  <si>
    <t>KTAXA Insurance</t>
  </si>
  <si>
    <t>KT AXA PG</t>
  </si>
  <si>
    <t>006/006</t>
  </si>
  <si>
    <t>KT AXA PG-INT-0.74%</t>
  </si>
  <si>
    <t>Total KTC-Credit</t>
  </si>
  <si>
    <t>AEON-Big C Credit</t>
  </si>
  <si>
    <t>BIG C- Petkasem</t>
  </si>
  <si>
    <t>MINI BIG C- BCP Kanlapap</t>
  </si>
  <si>
    <t>Total AEON-Big C-Credit</t>
  </si>
  <si>
    <t>The1-Credit</t>
  </si>
  <si>
    <t>Steam Purchase</t>
  </si>
  <si>
    <t>NetFLIX</t>
  </si>
  <si>
    <t>Sizler-Seacon</t>
  </si>
  <si>
    <t>DLT E-PAY ภาษีรถยนต์</t>
  </si>
  <si>
    <t>Steamgame.com 4259522</t>
  </si>
  <si>
    <t>Total The1-Credit</t>
  </si>
  <si>
    <t>Bill Cut 18</t>
  </si>
  <si>
    <t>KASOSHOPPING.COM-KASPAKEY Renew</t>
  </si>
  <si>
    <t>ROBINSON-BANGKAE</t>
  </si>
  <si>
    <t>BAR BQ PLAZA-SEACON</t>
  </si>
  <si>
    <t>PIZZA Company</t>
  </si>
  <si>
    <t>004/006</t>
  </si>
  <si>
    <t>003/010</t>
  </si>
  <si>
    <t>002/003</t>
  </si>
  <si>
    <t>Bill Cut 17</t>
  </si>
  <si>
    <t>True Online-9605716975</t>
  </si>
  <si>
    <t>True Vision-139380656</t>
  </si>
  <si>
    <t>Shoppee-Sketcher</t>
  </si>
  <si>
    <t>008/010</t>
  </si>
  <si>
    <t>Bill Cut 10</t>
  </si>
  <si>
    <t>BIG C- Bangbon</t>
  </si>
  <si>
    <t>CITY BANK</t>
  </si>
  <si>
    <t>Bill Cut 7</t>
  </si>
  <si>
    <t>Total CITYBANK</t>
  </si>
  <si>
    <t>SHOPPY PAY</t>
  </si>
  <si>
    <t>Bill Cut 24</t>
  </si>
  <si>
    <t>Intex ผ้าคลุมสระ</t>
  </si>
  <si>
    <t>Total Spaylater</t>
  </si>
  <si>
    <t>Bill Cut 2</t>
  </si>
  <si>
    <t>FoodLAND SUP.</t>
  </si>
  <si>
    <t>SMM PLUS-หนังสือ</t>
  </si>
  <si>
    <t>LUCK PIM-J</t>
  </si>
  <si>
    <t>The Mall Dept.Bangkae-Sukishi</t>
  </si>
  <si>
    <t>TOPs-Bangkae</t>
  </si>
  <si>
    <t xml:space="preserve">St. Louis </t>
  </si>
  <si>
    <t>Bata deacon bangkae</t>
  </si>
  <si>
    <t>K-Bank</t>
  </si>
  <si>
    <t>SCB</t>
  </si>
  <si>
    <t>BAY</t>
  </si>
  <si>
    <t>PTTST. ปั้มชิงช้า</t>
  </si>
  <si>
    <t>Foodland</t>
  </si>
  <si>
    <t>ST.Louis</t>
  </si>
  <si>
    <t>Vichaivej</t>
  </si>
  <si>
    <t>005/006</t>
  </si>
  <si>
    <t>004/010</t>
  </si>
  <si>
    <t>Garmin Venu2 Plus</t>
  </si>
  <si>
    <t>001/010</t>
  </si>
  <si>
    <t>003/003</t>
  </si>
  <si>
    <t>True MoveH-0838806238</t>
  </si>
  <si>
    <t>Shoppee Pay-Mouse</t>
  </si>
  <si>
    <t>009/010</t>
  </si>
  <si>
    <t>Shoppee Pay-Alpinestar</t>
  </si>
  <si>
    <t>PTTST.</t>
  </si>
  <si>
    <t>Sukishi BQ</t>
  </si>
  <si>
    <t>BIG C- Petkasem 2</t>
  </si>
  <si>
    <t>MINI BIG C- Bangbon 5</t>
  </si>
  <si>
    <t xml:space="preserve">BIG C- Petkasem </t>
  </si>
  <si>
    <t>COM7-Ipad Pro 11</t>
  </si>
  <si>
    <t>001/024</t>
  </si>
  <si>
    <t>Spaylater</t>
  </si>
  <si>
    <t>ผ้าคลุมสระว่ายน้ำ</t>
  </si>
  <si>
    <t>ADDA 2density</t>
  </si>
  <si>
    <t>Ucam แก้วเก็บอุณหภูมิ</t>
  </si>
  <si>
    <t>เครื่องวัดออกซิเจน</t>
  </si>
  <si>
    <t xml:space="preserve">ฟิล์มกระจก </t>
  </si>
  <si>
    <t>เคสไอโฟน</t>
  </si>
  <si>
    <t>SZ-The Mall Bangkae</t>
  </si>
  <si>
    <t>Bangchak-Saisunsoon kal</t>
  </si>
  <si>
    <t>SMM Plus</t>
  </si>
  <si>
    <t>Update 28/06/22</t>
  </si>
  <si>
    <t>The Match Run 2022</t>
  </si>
  <si>
    <t>Shoppee Pay-เสื้อกันฝนเด็ก</t>
  </si>
  <si>
    <t>Food Land</t>
  </si>
  <si>
    <t>Line Man-สี</t>
  </si>
  <si>
    <t xml:space="preserve">Lazada-Speedo </t>
  </si>
  <si>
    <t>425 Degree Case Ipad pro</t>
  </si>
  <si>
    <t>Shoppee Pay-Anda Seat</t>
  </si>
  <si>
    <t>005/010</t>
  </si>
  <si>
    <t>True MoveH-0838806238-จ่าย TrueWallet</t>
  </si>
  <si>
    <t>010/010</t>
  </si>
  <si>
    <t>Shoppee Pay-ถุงมือ</t>
  </si>
  <si>
    <t>SSP SPN West Gate-ชุดว่ายน้ำ</t>
  </si>
  <si>
    <t>MK - CTWG</t>
  </si>
  <si>
    <t>ยอดเต็ม</t>
  </si>
  <si>
    <t>ผ่อน/เดือน</t>
  </si>
  <si>
    <t>AIS SHOP-P'TIM</t>
  </si>
  <si>
    <t>015/030</t>
  </si>
  <si>
    <t>COM7-Ipad Pro 11"</t>
  </si>
  <si>
    <t>002/024</t>
  </si>
  <si>
    <t>COM7-Magic Keyborad</t>
  </si>
  <si>
    <t>COM7-Apple Pencil2</t>
  </si>
  <si>
    <t>COM7-Iphone 13-P'TIM</t>
  </si>
  <si>
    <t>Skechers Good Year Gorun</t>
  </si>
  <si>
    <t>001/002</t>
  </si>
  <si>
    <t>กระเป๋าคาดเอววิ่งแบบสวม</t>
  </si>
  <si>
    <t>ข้าวไดโนเสาร์</t>
  </si>
  <si>
    <t>สายคล้องเมส</t>
  </si>
  <si>
    <t>NetFLIX-Ipad</t>
  </si>
  <si>
    <t>M.K- CTWG  Jay nink golf</t>
  </si>
  <si>
    <t>Shoppee-กางเกงวิ่ง 2 ตัว</t>
  </si>
  <si>
    <t>Shoppee-เสื้อกันฝน</t>
  </si>
  <si>
    <t>Shoppee-ถุงเท้ากันฝน</t>
  </si>
  <si>
    <t>006/010</t>
  </si>
  <si>
    <t>D Four Carcity</t>
  </si>
  <si>
    <t>Santa Fe Steak</t>
  </si>
  <si>
    <t>BOOT-Seacon bangkae</t>
  </si>
  <si>
    <t>KTB</t>
  </si>
  <si>
    <t>MINI BIG C</t>
  </si>
  <si>
    <t>MAJOR CINEPLEX</t>
  </si>
  <si>
    <t>016/030</t>
  </si>
  <si>
    <t>003/024</t>
  </si>
  <si>
    <t>002/002</t>
  </si>
  <si>
    <t>GMM USB</t>
  </si>
  <si>
    <t>Domino</t>
  </si>
  <si>
    <t>PTT-MAHACHAI</t>
  </si>
  <si>
    <t>NINK</t>
  </si>
  <si>
    <t>Samsung G5 Monitor</t>
  </si>
  <si>
    <t>Total NINK</t>
  </si>
  <si>
    <t>BBQ -Plaza</t>
  </si>
  <si>
    <t>DOOKKI KOREAN</t>
  </si>
  <si>
    <t>BIG-C Petkaseam</t>
  </si>
  <si>
    <t>BIG-C Petkaseam 2</t>
  </si>
  <si>
    <t>017/030</t>
  </si>
  <si>
    <t>004/024</t>
  </si>
  <si>
    <t>Masterkool Fan</t>
  </si>
  <si>
    <t>001/006</t>
  </si>
  <si>
    <t>Mototech BlueTooth</t>
  </si>
  <si>
    <t>NetFLIX หัก Ipad</t>
  </si>
  <si>
    <t>Top Silom</t>
  </si>
  <si>
    <t>Orental Princess</t>
  </si>
  <si>
    <t>You and I</t>
  </si>
  <si>
    <t>7-11 Online Saiya</t>
  </si>
  <si>
    <t>Haborland</t>
  </si>
  <si>
    <t>Mini Big C</t>
  </si>
  <si>
    <t>018/030</t>
  </si>
  <si>
    <t>005/024</t>
  </si>
  <si>
    <t>002/006</t>
  </si>
  <si>
    <t>Trinity Seven</t>
  </si>
  <si>
    <t>Play next</t>
  </si>
  <si>
    <t>OF</t>
  </si>
  <si>
    <t>REC</t>
  </si>
  <si>
    <t>MengNur</t>
  </si>
  <si>
    <t>KT-AXA PG Odinary</t>
  </si>
  <si>
    <t>KT-AXA PG INT00.74%</t>
  </si>
  <si>
    <t>คงเหลือ</t>
  </si>
  <si>
    <t>019/030</t>
  </si>
  <si>
    <t>006/024</t>
  </si>
  <si>
    <t>Yes's Delight</t>
  </si>
  <si>
    <t>Hello Kitty เสื้อกันฝนเด็ก</t>
  </si>
  <si>
    <t>เสื้อกันฝนผู้ใหญ่</t>
  </si>
  <si>
    <t>HARBOR LAND</t>
  </si>
  <si>
    <t>ST.Louis HOSPITAL</t>
  </si>
  <si>
    <t>MK -WestG</t>
  </si>
  <si>
    <t xml:space="preserve">PTTST.D </t>
  </si>
  <si>
    <t>BIG-C Petkasem2</t>
  </si>
  <si>
    <t>ANNual Fee</t>
  </si>
  <si>
    <t>020/030</t>
  </si>
  <si>
    <t>007/024</t>
  </si>
  <si>
    <t>Jabra Elite 7 Active</t>
  </si>
  <si>
    <t>Bill Cut 15</t>
  </si>
  <si>
    <t>Google Asia Pasific</t>
  </si>
  <si>
    <t>7-11</t>
  </si>
  <si>
    <t>You &amp; I</t>
  </si>
  <si>
    <t>021/030</t>
  </si>
  <si>
    <t>008/024</t>
  </si>
  <si>
    <t>Date</t>
  </si>
  <si>
    <t>Credit Card</t>
  </si>
  <si>
    <t>App Payment</t>
  </si>
  <si>
    <t>Detail</t>
  </si>
  <si>
    <t>Inst.Period</t>
  </si>
  <si>
    <t>Due Date</t>
  </si>
  <si>
    <t>Payment_Code</t>
  </si>
  <si>
    <t>Total AMT</t>
  </si>
  <si>
    <t>PK_AMT</t>
  </si>
  <si>
    <t>NC_AMT</t>
  </si>
  <si>
    <t>Aeon Big C Platinum Visa</t>
  </si>
  <si>
    <t>K PLUS</t>
  </si>
  <si>
    <t>BIG C-PETCHKASEM</t>
  </si>
  <si>
    <t>000/000</t>
  </si>
  <si>
    <t>S</t>
  </si>
  <si>
    <t>BIG C-BANGBON</t>
  </si>
  <si>
    <t>Fuel-Susuki Ciaz</t>
  </si>
  <si>
    <t>P</t>
  </si>
  <si>
    <t>Sukishi BQ-Central Westgate</t>
  </si>
  <si>
    <t>BIG C-PETCHKASEM 2</t>
  </si>
  <si>
    <t>ST.Louis Hotpital</t>
  </si>
  <si>
    <t>Super Sports-Central Westgate-ชุดว่ายน้ำ</t>
  </si>
  <si>
    <t>MK Restaurant-Central Westgate</t>
  </si>
  <si>
    <t>DOOKKI KOREAN-Seacon Bangkae</t>
  </si>
  <si>
    <t>Aeon M GEN Visa</t>
  </si>
  <si>
    <t>MAJOR CINEPLEX-Jurassic World</t>
  </si>
  <si>
    <t xml:space="preserve">Annual Fee </t>
  </si>
  <si>
    <t>Central The 1 REDZ Credit Card</t>
  </si>
  <si>
    <t>KMA</t>
  </si>
  <si>
    <t>NETFLIX</t>
  </si>
  <si>
    <t>IKANO (Thailand)-IKIA Nontaburi</t>
  </si>
  <si>
    <t>THE MALL THAPHRA</t>
  </si>
  <si>
    <t>Shoppee Pay-Mask ปีใหม่</t>
  </si>
  <si>
    <t>A002-AIIZ Central Pinklao</t>
  </si>
  <si>
    <t>ROBINSON-Bangkae</t>
  </si>
  <si>
    <t>Sizler-Seacon Bangkae</t>
  </si>
  <si>
    <t>Foodland-Victoria Garden</t>
  </si>
  <si>
    <t>SMM PLUS-หนังสือการ์ตูน</t>
  </si>
  <si>
    <t>LUCK PIM-หนังสือการ์ตูน</t>
  </si>
  <si>
    <t>Sukishi BQ-The Mall Bangkae</t>
  </si>
  <si>
    <t>TOP Supermarket-Seacon Bangkae</t>
  </si>
  <si>
    <t>BATA-Seacon bangkae</t>
  </si>
  <si>
    <t>Shoppee Pay-เสื้อกล้ามเด็กหญิง</t>
  </si>
  <si>
    <t>Shoppee Pay-กางเกงวิ่ง 2 ตัว</t>
  </si>
  <si>
    <t>Shoppee Pay-เสื้อกันฝน</t>
  </si>
  <si>
    <t>Shoppee Pay-ถุงเท้ากันฝน</t>
  </si>
  <si>
    <t>TOP Supermarket-Silom</t>
  </si>
  <si>
    <t>OF Subscribtion</t>
  </si>
  <si>
    <t>Harborland-THE MALL THAPHRA</t>
  </si>
  <si>
    <t>City Bank Ready Credit</t>
  </si>
  <si>
    <t>Krungthai Next</t>
  </si>
  <si>
    <t>AIS SHOP-Iphone 11 ProMax P'TIM</t>
  </si>
  <si>
    <t>030/009</t>
  </si>
  <si>
    <t>AIS SHOP-Iphone 11  P'TIM</t>
  </si>
  <si>
    <t>024/024</t>
  </si>
  <si>
    <t>030/010</t>
  </si>
  <si>
    <t>030/011</t>
  </si>
  <si>
    <t>030/012</t>
  </si>
  <si>
    <t>030/013</t>
  </si>
  <si>
    <t>030/014</t>
  </si>
  <si>
    <t>030/015</t>
  </si>
  <si>
    <t>030/016</t>
  </si>
  <si>
    <t>030/017</t>
  </si>
  <si>
    <t>030/018</t>
  </si>
  <si>
    <t>030/019</t>
  </si>
  <si>
    <t>030/020</t>
  </si>
  <si>
    <t>030/021</t>
  </si>
  <si>
    <t>030/022</t>
  </si>
  <si>
    <t>030/023</t>
  </si>
  <si>
    <t>030/024</t>
  </si>
  <si>
    <t>030/025</t>
  </si>
  <si>
    <t>030/026</t>
  </si>
  <si>
    <t>030/027</t>
  </si>
  <si>
    <t>030/028</t>
  </si>
  <si>
    <t>030/029</t>
  </si>
  <si>
    <t>030/030</t>
  </si>
  <si>
    <t>COM7 PLC-Ipad Pro 11 M1</t>
  </si>
  <si>
    <t>024/001</t>
  </si>
  <si>
    <t>024/002</t>
  </si>
  <si>
    <t>024/003</t>
  </si>
  <si>
    <t>024/004</t>
  </si>
  <si>
    <t>024/005</t>
  </si>
  <si>
    <t>024/006</t>
  </si>
  <si>
    <t>024/007</t>
  </si>
  <si>
    <t>024/008</t>
  </si>
  <si>
    <t>024/009</t>
  </si>
  <si>
    <t>024/010</t>
  </si>
  <si>
    <t>024/011</t>
  </si>
  <si>
    <t>024/012</t>
  </si>
  <si>
    <t>024/013</t>
  </si>
  <si>
    <t>024/014</t>
  </si>
  <si>
    <t>024/015</t>
  </si>
  <si>
    <t>024/016</t>
  </si>
  <si>
    <t>024/017</t>
  </si>
  <si>
    <t>024/018</t>
  </si>
  <si>
    <t>024/019</t>
  </si>
  <si>
    <t>024/020</t>
  </si>
  <si>
    <t>024/021</t>
  </si>
  <si>
    <t>024/022</t>
  </si>
  <si>
    <t>024/023</t>
  </si>
  <si>
    <t>UOB Cash Plus</t>
  </si>
  <si>
    <t>UOB TRW</t>
  </si>
  <si>
    <t>COM7 PLC-Apple Magic Keyboard</t>
  </si>
  <si>
    <t>COM7 PLC-Apple Pencil 2</t>
  </si>
  <si>
    <t>AIS SHOP-Iphone 13 P'TIM</t>
  </si>
  <si>
    <t>Gadget Q1/22-TCCB10</t>
  </si>
  <si>
    <t>Gadget Q2/22-TCCB10</t>
  </si>
  <si>
    <t>Hompro Visa Platinum</t>
  </si>
  <si>
    <t>010/001</t>
  </si>
  <si>
    <t>010/002</t>
  </si>
  <si>
    <t>010/003</t>
  </si>
  <si>
    <t>010/004</t>
  </si>
  <si>
    <t>010/005</t>
  </si>
  <si>
    <t>010/006</t>
  </si>
  <si>
    <t>010/007</t>
  </si>
  <si>
    <t>010/008</t>
  </si>
  <si>
    <t>010/009</t>
  </si>
  <si>
    <t>HOME PRO-PETCHKASEM</t>
  </si>
  <si>
    <t>BONCHON -Seacon Bangkae</t>
  </si>
  <si>
    <t>006/001</t>
  </si>
  <si>
    <t>006/002</t>
  </si>
  <si>
    <t>006/003</t>
  </si>
  <si>
    <t>006/004</t>
  </si>
  <si>
    <t>006/005</t>
  </si>
  <si>
    <t>Anda-Seat Kaiser Series</t>
  </si>
  <si>
    <t>Casio JS140</t>
  </si>
  <si>
    <t>003/001</t>
  </si>
  <si>
    <t>Casio Calculater</t>
  </si>
  <si>
    <t>MI SHOP-Seacon Bangkae</t>
  </si>
  <si>
    <t>003/002</t>
  </si>
  <si>
    <t>Kaspersky Renew 1 Year</t>
  </si>
  <si>
    <t>GIORDANO-Seacon Bangkae</t>
  </si>
  <si>
    <t>BBQ PLAZA-Seacon Bangkae</t>
  </si>
  <si>
    <t>THE PIZZA Company-Seacon Bangkae</t>
  </si>
  <si>
    <t>Vichaivej International Bangkok</t>
  </si>
  <si>
    <t xml:space="preserve">Line Man-สี </t>
  </si>
  <si>
    <t>Lazada-Speedo กางเกงว่ายน้ำ</t>
  </si>
  <si>
    <t>425 Degree-Case Ipad pro M1</t>
  </si>
  <si>
    <t>Santa Fe Steak-Seacon Bangkae</t>
  </si>
  <si>
    <t>BOOTS-Seacon Bangkae</t>
  </si>
  <si>
    <t>Suzuki D Four Car</t>
  </si>
  <si>
    <t>BBQ PLAZA-BIG C PETCHKASEM</t>
  </si>
  <si>
    <t>Orental Princess-The Mall Bangkae</t>
  </si>
  <si>
    <t>You&amp;I-The Mall Bankgae</t>
  </si>
  <si>
    <t>MengNur-Seacon Bangkae</t>
  </si>
  <si>
    <t>KKP Start Saving</t>
  </si>
  <si>
    <t>Samsung Odyssey G5</t>
  </si>
  <si>
    <t>KTC-ROP Platinum Master Card</t>
  </si>
  <si>
    <t>KTAXA Smart Pro 508-2296236</t>
  </si>
  <si>
    <t>KT-AXA PG I Pro85 508-2240564</t>
  </si>
  <si>
    <t>KBANK Master Card Titanium</t>
  </si>
  <si>
    <t>Steelseries Rival 710 RGB</t>
  </si>
  <si>
    <t>Alpinestars MM93 RIO AIR GLOVE</t>
  </si>
  <si>
    <t>Skechers Track Sport</t>
  </si>
  <si>
    <t>7-11 Online Odenya Saint Saiya</t>
  </si>
  <si>
    <t>Harborland Ticket</t>
  </si>
  <si>
    <t>Pay Next</t>
  </si>
  <si>
    <t>Youtube-Carizassy Vlogs Subscribtion</t>
  </si>
  <si>
    <t>7-11 Pay</t>
  </si>
  <si>
    <t>SpayLeter</t>
  </si>
  <si>
    <t>CoDo ซื้อ 2 แถม 1</t>
  </si>
  <si>
    <t>ตัวต่อแม่เหล็ก</t>
  </si>
  <si>
    <t>หมวกอาบน้ำเด็ก</t>
  </si>
  <si>
    <t>Case Ipad mini2</t>
  </si>
  <si>
    <t>Jim Nim</t>
  </si>
  <si>
    <t>CALSO Bush saw เครื่องตัดแต่งกิ่งไม้</t>
  </si>
  <si>
    <t>ฟองน้ำ SteelSeries Arctis 3</t>
  </si>
  <si>
    <t>002/001</t>
  </si>
  <si>
    <t>Trinity Seven No.24-25</t>
  </si>
  <si>
    <t>Youtube-White Pony TH Subscribtion</t>
  </si>
  <si>
    <t>EGV Bangkae-Waganda Forever</t>
  </si>
  <si>
    <t>Panda Suki Noodle-Seacon Bangkae</t>
  </si>
  <si>
    <t>You&amp;I-Terminal 21 Rama III</t>
  </si>
  <si>
    <t>Harborland-Terminal 21 Rama III</t>
  </si>
  <si>
    <t>Harborland-Seacon Bangkae</t>
  </si>
  <si>
    <t>KBANK Shoppe Credit Card</t>
  </si>
  <si>
    <t>Shoppee-Tom Shop Center</t>
  </si>
  <si>
    <t>ลูกปัดไอน้ำ  รีฟิล</t>
  </si>
  <si>
    <t>Case Iphone Xs Max</t>
  </si>
  <si>
    <t>MR.DIY-Seacon Bangkae</t>
  </si>
  <si>
    <t>Shinkanzen-Seacon Bangkae</t>
  </si>
  <si>
    <t>Line Man-Wongnai-น้ำเกลือ 2 ขวด</t>
  </si>
  <si>
    <t>THE PIZZA Company-Victoria Gardens</t>
  </si>
  <si>
    <t>Shoppee-Skechers Thailand</t>
  </si>
  <si>
    <t>Shoppee-Nykidshop</t>
  </si>
  <si>
    <t>Shoppee-JT-Shop</t>
  </si>
  <si>
    <t>Shoppee-Kidshop.</t>
  </si>
  <si>
    <t>Shoppee-d0dl0uxb7d</t>
  </si>
  <si>
    <t>Warrix เสื้อโปโล</t>
  </si>
  <si>
    <t>Krua Samorn Bangkok</t>
  </si>
  <si>
    <t>Gigabyte RTX 3060 Ti Vision OC 8G</t>
  </si>
  <si>
    <t>FoodPanda</t>
  </si>
  <si>
    <t>Shoppee-CPU Intel Core i5 13500</t>
  </si>
  <si>
    <t xml:space="preserve">BIG C-PETCHKASEM </t>
  </si>
  <si>
    <t>Spotify</t>
  </si>
  <si>
    <t>USB ติดตั้ง Window 10</t>
  </si>
  <si>
    <t>Be Quiet Fan Light Wings 140mm PWM Hight Speed</t>
  </si>
  <si>
    <t>แผ่นซิลิโคน ระบายความร้อน Cooler Master</t>
  </si>
  <si>
    <t>สายจัดระเบียบสายเคเบิล สายรัดไนลอน</t>
  </si>
  <si>
    <t>Thermal Grease Cooler Master</t>
  </si>
  <si>
    <t>PNY XLR8 RGB 16GB x2</t>
  </si>
  <si>
    <t>CDKEYS.COM-Resident Evill Village</t>
  </si>
  <si>
    <t>OISHI BUFFET-Seacon Bangkae</t>
  </si>
  <si>
    <t>CDKEYS.COM-Devill May Cry 5</t>
  </si>
  <si>
    <t>Toshino เพิ่มสายดิน</t>
  </si>
  <si>
    <t>LAZADA-Microsoft Xbox Controller</t>
  </si>
  <si>
    <t>LAZADA-Jack Russel Jeans</t>
  </si>
  <si>
    <t>MK Restaurant-Central Salaya</t>
  </si>
  <si>
    <t>Power Buy-Air Mitsubishi 9000 BTU</t>
  </si>
  <si>
    <t>Kaspersky Renew 2 Year</t>
  </si>
  <si>
    <t>Steam Purchase-Horizon Zero Down</t>
  </si>
  <si>
    <t>Shoppee-Liverpool Polo</t>
  </si>
  <si>
    <t>Shoppee-SteelSeries Keybord Apex 5</t>
  </si>
  <si>
    <t>เกมส์บันไดงู+เกมส์เรียงตัวเลข</t>
  </si>
  <si>
    <t>Liar Game เกมส์หลอกคนลวง</t>
  </si>
  <si>
    <t>SIGNO E-Sport Gaming Table ELEMENT รุ่น GT-100</t>
  </si>
  <si>
    <t>Electrolux-Vecum</t>
  </si>
  <si>
    <t>004/001</t>
  </si>
  <si>
    <t>004/002</t>
  </si>
  <si>
    <t>004/003</t>
  </si>
  <si>
    <t>004/004</t>
  </si>
  <si>
    <t>BAR BQ PLAZA-Seacon Bangkae</t>
  </si>
  <si>
    <t>MRT-QSNCC</t>
  </si>
  <si>
    <t>Skechers(Thailand)-Seacon Bangkae</t>
  </si>
  <si>
    <t>พัดลมคล้องคอ พัดลมพกพา</t>
  </si>
  <si>
    <t>C.R.C SPORT- CPN MAHACHAI</t>
  </si>
  <si>
    <t>C.R.C SPORT CROCS CPN MAHACHAI</t>
  </si>
  <si>
    <t>ROBINSON-MAHACHAI</t>
  </si>
  <si>
    <t>DONKI SEACON BANGKAE</t>
  </si>
  <si>
    <t>Harborland-Central Westgate</t>
  </si>
  <si>
    <t>Mercular Steel Series ARCTIS 9</t>
  </si>
  <si>
    <t>(PC/MAC GAME) PS2 เล่นบน PC/MAC</t>
  </si>
  <si>
    <t>D Four Carcity-Suzuki</t>
  </si>
  <si>
    <t>WD-40 Automotive</t>
  </si>
  <si>
    <t>PADA EDUCATION-Robotic</t>
  </si>
  <si>
    <t>COM7 PLC-Iphone 14 pro P'TIM</t>
  </si>
  <si>
    <t>HOME PRO-Seacon Bangkae</t>
  </si>
  <si>
    <t>UNIQLO-Seacon Bangkae</t>
  </si>
  <si>
    <t>Pop It ไฟฟ้า</t>
  </si>
  <si>
    <t>Dragon Quest No.16</t>
  </si>
  <si>
    <t>ปลอกแขนใส่มือถือ สายรัดแขนวิ่ง</t>
  </si>
  <si>
    <t>แจ็คเกตกึ่งสูท</t>
  </si>
  <si>
    <t>Microsoft 365 personal 1 Year</t>
  </si>
  <si>
    <t>CDS รองเท้าเพลง-Westgate</t>
  </si>
  <si>
    <t>You&amp;I-C.Westgate</t>
  </si>
  <si>
    <t>485 WATSONS-Seacon Bangkae</t>
  </si>
  <si>
    <t>Shinkanzen-Victoria Garden</t>
  </si>
  <si>
    <t>Best Commerce Solution bangkok (Cartoon)</t>
  </si>
  <si>
    <t>BAR BQ PLAZA-Big C Phetchakaseam</t>
  </si>
  <si>
    <t>AKA-Seacon Bangkae</t>
  </si>
  <si>
    <t>Skechers</t>
  </si>
  <si>
    <t>UNIQLO-Central Westgate</t>
  </si>
  <si>
    <t>1000Sook Fodd&amp;Farm</t>
  </si>
  <si>
    <t>AKA-Central Westville</t>
  </si>
  <si>
    <t>ZYXEL PLA6456 Powerline</t>
  </si>
  <si>
    <t>Super Dragonball Series เล่ม 1-2</t>
  </si>
  <si>
    <t>กล่องเก็บของใส่ Toyota Cross</t>
  </si>
  <si>
    <t>Mcdodo สาย USBชาร์จ 90 องศา</t>
  </si>
  <si>
    <t>Shoppee-Nintendo Swtich OLED Neon White</t>
  </si>
  <si>
    <t>Nyko Thin Case Oled Nintendo Switch/Mario Party</t>
  </si>
  <si>
    <t>Mario &amp; Sonic at Olympic 2022</t>
  </si>
  <si>
    <t>005/001</t>
  </si>
  <si>
    <t>005/002</t>
  </si>
  <si>
    <t>005/003</t>
  </si>
  <si>
    <t>005/004</t>
  </si>
  <si>
    <t>005/005</t>
  </si>
  <si>
    <t>Hachiban Ramen-Big C Phetchakaseam</t>
  </si>
  <si>
    <t>Kaspersky VPN 1 Year</t>
  </si>
  <si>
    <t>Charging  Joy-con Nintendo Switch</t>
  </si>
  <si>
    <t>Remote Sony AV</t>
  </si>
  <si>
    <t>ASICS : GEL Contend 8</t>
  </si>
  <si>
    <t>Tops-Seacon Bangkae</t>
  </si>
  <si>
    <t>Nintendo Online Subscrib 1 Year</t>
  </si>
  <si>
    <t>AKA-The Mall Bangkae</t>
  </si>
  <si>
    <t>Sizler-Central Pinklao</t>
  </si>
  <si>
    <t>BIG C-Food Service Ekachai</t>
  </si>
  <si>
    <t>Harobrland-Themall Thaphra</t>
  </si>
  <si>
    <t>Shoppee-Nintendo SDCard 128GB</t>
  </si>
  <si>
    <t>Shoppee-Toshiba HDD 10 TB-X300 7200rpm</t>
  </si>
  <si>
    <t>AKA-Seacon bangkae</t>
  </si>
  <si>
    <t>BONCHON -The Mall Bangkae</t>
  </si>
  <si>
    <t>GQ เสื้อยืด Everyday</t>
  </si>
  <si>
    <t>Yuedpao เสื้อยืด Overzie</t>
  </si>
  <si>
    <t>ปลอกหุ้มพวงมาลัย Toyota</t>
  </si>
  <si>
    <t>Cash</t>
  </si>
  <si>
    <t>AIS Disney hotstar plus</t>
  </si>
  <si>
    <t>012/001</t>
  </si>
  <si>
    <t>012/002</t>
  </si>
  <si>
    <t>012/003</t>
  </si>
  <si>
    <t>012/004</t>
  </si>
  <si>
    <t>012/005</t>
  </si>
  <si>
    <t>012/006</t>
  </si>
  <si>
    <t>012/007</t>
  </si>
  <si>
    <t>012/008</t>
  </si>
  <si>
    <t>012/009</t>
  </si>
  <si>
    <t>012/010</t>
  </si>
  <si>
    <t>012/011</t>
  </si>
  <si>
    <t>012/012</t>
  </si>
  <si>
    <t>Truemoney</t>
  </si>
  <si>
    <t>Youtube premium family package</t>
  </si>
  <si>
    <t>Harborland-Mega Bangna</t>
  </si>
  <si>
    <t>Balcony Seaside Ticket</t>
  </si>
  <si>
    <t>ซีรีย์มังกรหยก Subthai</t>
  </si>
  <si>
    <t>Imoo Watch Phone Z1S</t>
  </si>
  <si>
    <t>Departure Tool Combo set by DSPIAE</t>
  </si>
  <si>
    <t>Mario Party Superstars</t>
  </si>
  <si>
    <t>Line Man-Wongnai</t>
  </si>
  <si>
    <t>MRT-BEM Bangkok</t>
  </si>
  <si>
    <t>Shoppee-Asics Novabast 4</t>
  </si>
  <si>
    <t>Chelsee เสื้อยืดคอกลมเด็กผู้หญิง</t>
  </si>
  <si>
    <t>Harborland Laser battle Harbor Pattaya</t>
  </si>
  <si>
    <t>FB Battery FTX 7L-BS</t>
  </si>
  <si>
    <t>Saint Seiya ตำนานโกลด์เซนต์-14</t>
  </si>
  <si>
    <t>Kasemrad Hospital Bangkae</t>
  </si>
  <si>
    <t>(NED) JoJo crazy D เล่ม 3, Dragon Quest Avan เล่ม 8-10</t>
  </si>
  <si>
    <t>Welcare 3D Blue Line</t>
  </si>
  <si>
    <t>Bean back</t>
  </si>
  <si>
    <t>On Yasai-The Parq</t>
  </si>
  <si>
    <t>Mario Party Superstars Jamboree</t>
  </si>
  <si>
    <t>GQ Everyday Short</t>
  </si>
  <si>
    <t>Vgtime เกมส์ console</t>
  </si>
  <si>
    <t>Dragon Ball Model</t>
  </si>
  <si>
    <t>สถานีจัดระเบียบเกมพร้อมเครื่องชาร์จ</t>
  </si>
  <si>
    <t>Fire Emblem  Engate</t>
  </si>
  <si>
    <t>Golf</t>
  </si>
  <si>
    <t>Share</t>
  </si>
  <si>
    <t>Nink</t>
  </si>
  <si>
    <t>Discount</t>
  </si>
  <si>
    <t>Allowcate</t>
  </si>
  <si>
    <t>Sum of Total AMT</t>
  </si>
  <si>
    <t>Month</t>
  </si>
  <si>
    <t>Jan</t>
  </si>
  <si>
    <t>Feb</t>
  </si>
  <si>
    <t>Mar</t>
  </si>
  <si>
    <t>Apr</t>
  </si>
  <si>
    <t>May</t>
  </si>
  <si>
    <t>Jun</t>
  </si>
  <si>
    <t>Jul</t>
  </si>
  <si>
    <t>Aug</t>
  </si>
  <si>
    <t>Sep</t>
  </si>
  <si>
    <t>Oct</t>
  </si>
  <si>
    <t>Nov</t>
  </si>
  <si>
    <t>Dec</t>
  </si>
  <si>
    <t>Grand Total</t>
  </si>
  <si>
    <t>Sum of PK_AMT</t>
  </si>
  <si>
    <t>Sum of NC_AMT</t>
  </si>
  <si>
    <t>Row Labels</t>
  </si>
  <si>
    <t>(Multiple Items)</t>
  </si>
  <si>
    <t>Amt</t>
  </si>
  <si>
    <t>Jan-22</t>
  </si>
  <si>
    <t>Feb-22</t>
  </si>
  <si>
    <t>Mar-22</t>
  </si>
  <si>
    <t>Apr-22</t>
  </si>
  <si>
    <t>May-22</t>
  </si>
  <si>
    <t>Jun-22</t>
  </si>
  <si>
    <t>Jul-22</t>
  </si>
  <si>
    <t>Aug-22</t>
  </si>
  <si>
    <t>Sep-22</t>
  </si>
  <si>
    <t>Oct-22</t>
  </si>
  <si>
    <t>Nov-22</t>
  </si>
  <si>
    <t>Dec-22</t>
  </si>
  <si>
    <t>Total-22</t>
  </si>
  <si>
    <t>Jan-23</t>
  </si>
  <si>
    <t>Feb-23</t>
  </si>
  <si>
    <t>Mar-23</t>
  </si>
  <si>
    <t>Apr-23</t>
  </si>
  <si>
    <t>May-23</t>
  </si>
  <si>
    <t>Jun-23</t>
  </si>
  <si>
    <t>Jul-23</t>
  </si>
  <si>
    <t>Aug-23</t>
  </si>
  <si>
    <t>Sep-23</t>
  </si>
  <si>
    <t>Oct-23</t>
  </si>
  <si>
    <t>Nov-23</t>
  </si>
  <si>
    <t>Dec-23</t>
  </si>
  <si>
    <t>Total-23</t>
  </si>
  <si>
    <t>Jan-24</t>
  </si>
  <si>
    <t>Feb-24</t>
  </si>
  <si>
    <t>Mar-24</t>
  </si>
  <si>
    <t>Apr-24</t>
  </si>
  <si>
    <t>May-24</t>
  </si>
  <si>
    <t>Jun-24</t>
  </si>
  <si>
    <t>Jul-24</t>
  </si>
  <si>
    <t>Aug-24</t>
  </si>
  <si>
    <t>Sep-24</t>
  </si>
  <si>
    <t>Oct-24</t>
  </si>
  <si>
    <t>Nov-24</t>
  </si>
  <si>
    <t>Dec-24</t>
  </si>
  <si>
    <t>Total-24</t>
  </si>
  <si>
    <t>Anda Seat</t>
  </si>
  <si>
    <t>Casio-J140S</t>
  </si>
  <si>
    <t>Steelseries Rival 710</t>
  </si>
  <si>
    <t>Alpinestars MM93 Glove</t>
  </si>
  <si>
    <t xml:space="preserve">Magic Keyborad </t>
  </si>
  <si>
    <t>Apple Pencil2</t>
  </si>
  <si>
    <t>MasterKool Fan</t>
  </si>
  <si>
    <t>KTAXA Insurance-Pleng</t>
  </si>
  <si>
    <t>Credit</t>
  </si>
  <si>
    <t>Playnext</t>
  </si>
  <si>
    <t>036/001</t>
  </si>
  <si>
    <t>036/002</t>
  </si>
  <si>
    <t>036/003</t>
  </si>
  <si>
    <t>036/004</t>
  </si>
  <si>
    <t>036/005</t>
  </si>
  <si>
    <t>036/006</t>
  </si>
  <si>
    <t>036/007</t>
  </si>
  <si>
    <t>036/008</t>
  </si>
  <si>
    <t>036/009</t>
  </si>
  <si>
    <t>036/010</t>
  </si>
  <si>
    <t>036/011</t>
  </si>
  <si>
    <t>036/012</t>
  </si>
  <si>
    <t>036/013</t>
  </si>
  <si>
    <t>036/014</t>
  </si>
  <si>
    <t>036/015</t>
  </si>
  <si>
    <t>036/016</t>
  </si>
  <si>
    <t>036/017</t>
  </si>
  <si>
    <t>036/018</t>
  </si>
  <si>
    <t>036/019</t>
  </si>
  <si>
    <t>036/020</t>
  </si>
  <si>
    <t>036/021</t>
  </si>
  <si>
    <t>036/022</t>
  </si>
  <si>
    <t>036/023</t>
  </si>
  <si>
    <t>036/036</t>
  </si>
  <si>
    <t>036/024</t>
  </si>
  <si>
    <t xml:space="preserve">AWN-Iphone 16 pro max </t>
  </si>
  <si>
    <t>036/025</t>
  </si>
  <si>
    <t>036/026</t>
  </si>
  <si>
    <t>036/027</t>
  </si>
  <si>
    <t>036/028</t>
  </si>
  <si>
    <t>036/029</t>
  </si>
  <si>
    <t>036/030</t>
  </si>
  <si>
    <t>036/031</t>
  </si>
  <si>
    <t>036/032</t>
  </si>
  <si>
    <t>036/033</t>
  </si>
  <si>
    <t>036/034</t>
  </si>
  <si>
    <t>036/035</t>
  </si>
  <si>
    <t>AWN-Iphone 16 pro max</t>
  </si>
  <si>
    <t>PTT.C KANCHANAPISEK</t>
  </si>
  <si>
    <t xml:space="preserve">Sri Rat Expressway </t>
  </si>
  <si>
    <t>Chalerm Maha Nakhon</t>
  </si>
  <si>
    <t>Gundum Wing custom HG-The Mall bangkae</t>
  </si>
  <si>
    <t>Index-Sofa</t>
  </si>
  <si>
    <t>Index Sofa-Cash back</t>
  </si>
  <si>
    <t>You and I Premium-The Mall Bangkae</t>
  </si>
  <si>
    <t>ACS ฟองน้ำหูฟัง Steelseries</t>
  </si>
  <si>
    <t>STUDIO7-The Mall Bangkae</t>
  </si>
  <si>
    <t>Jack Russcell-The Mall bangkae</t>
  </si>
  <si>
    <t>MOMO-The Mall Bangkae</t>
  </si>
  <si>
    <t>Apple Magsafe Charger 2 M</t>
  </si>
  <si>
    <t>Ultimate Warewolf Deluxe Edition</t>
  </si>
  <si>
    <t>Ugreen USB Charge USB C Type C 90 degree</t>
  </si>
  <si>
    <t>ชุดอุปกรณ์เสริมกีฬา Nintendo switch</t>
  </si>
  <si>
    <t>WD-40 น้ำมันอเนกประสงค์</t>
  </si>
  <si>
    <t>Kaspersky Premium</t>
  </si>
  <si>
    <t>BAR BQ PLAZA-The Mall Bangkae</t>
  </si>
  <si>
    <t>Prachim Rattaya Express Way</t>
  </si>
  <si>
    <t xml:space="preserve">Udon Rattaya Express </t>
  </si>
  <si>
    <t>JoJo Blizard Advanture 4 No.1-4</t>
  </si>
  <si>
    <t>Hachiban Ramen-The Mall bangkae</t>
  </si>
  <si>
    <t>Thonburi Real Estate</t>
  </si>
  <si>
    <t>ก๋วยเตี๋ยวเรือ</t>
  </si>
  <si>
    <t>JoJo Blizard Advanture 4 No.9+boxset</t>
  </si>
  <si>
    <t>สายรัดมุมเตียง 4 ชิ้น</t>
  </si>
  <si>
    <t>Case Garmin Venu 2 Plus</t>
  </si>
  <si>
    <t>Bosh-อุปกรณ์เสริมสำหรับแปรงขัดอเนกประสงค์</t>
  </si>
  <si>
    <t>Bangchak-Kanchanapisek</t>
  </si>
  <si>
    <t xml:space="preserve">PT Bangbon3 </t>
  </si>
  <si>
    <t>KOMINE เสื้อการ์ด รุ่น JK-144</t>
  </si>
  <si>
    <t>Google One</t>
  </si>
  <si>
    <t>BGN-KANCHANAPISEK</t>
  </si>
  <si>
    <t>BGN-KANCHANAPISEK -1%</t>
  </si>
  <si>
    <t>Toyota BUZZ</t>
  </si>
  <si>
    <t>Sushiro Themall bangkae</t>
  </si>
  <si>
    <t>Gigabyte 4070 Ti Aero 12 GB</t>
  </si>
  <si>
    <t>ไม้สวิงแบดมินตัน</t>
  </si>
  <si>
    <t>Nintendo-Dokapong Kingdom</t>
  </si>
  <si>
    <t>THE Mall- Habertec 7000</t>
  </si>
  <si>
    <t>Cocoichibanya-The Mall</t>
  </si>
  <si>
    <t>Kanchanaphisek Express Bangkok</t>
  </si>
  <si>
    <t>KFC-The Parq</t>
  </si>
  <si>
    <t>BGN-PETCHKASEM 57</t>
  </si>
  <si>
    <t>PTT.C PETCHKASEM 81</t>
  </si>
  <si>
    <t>Anello The Mall Bangkae</t>
  </si>
  <si>
    <t>XSOLLA/Netmable H. Sevenknight</t>
  </si>
  <si>
    <t>KT-AXA PG - ประกันเพลง</t>
  </si>
  <si>
    <t>Internet Download Manager 1 Year</t>
  </si>
  <si>
    <t>HOME PRO-Petchkasem - ค่าบันได</t>
  </si>
  <si>
    <t>Sizler-The Mall bangkae</t>
  </si>
  <si>
    <t>Linepay PF_Line Man W</t>
  </si>
  <si>
    <t>Shabushi-Seacon Bangkae</t>
  </si>
  <si>
    <t>Dragonball Super</t>
  </si>
  <si>
    <t>Modern Optical</t>
  </si>
  <si>
    <t>Samsung Odyssee G5</t>
  </si>
  <si>
    <t>S-play later</t>
  </si>
  <si>
    <t>ERGONOZ แขนจับจอ</t>
  </si>
  <si>
    <t>JoJo Blizard Advanture 5 No.1-2</t>
  </si>
  <si>
    <t>JoJo Blizard Advanture 5 No.3</t>
  </si>
  <si>
    <t>COM7 PLC-McBook Air M4</t>
  </si>
  <si>
    <t>THE Mall- Frolina</t>
  </si>
  <si>
    <t>PTTST.C KANCHANAPISEK</t>
  </si>
  <si>
    <t>UOB One VISA</t>
  </si>
  <si>
    <t>The Mall Bangkae</t>
  </si>
  <si>
    <t>Cash Back 1%</t>
  </si>
  <si>
    <t>WISDOM-The Mall Bangkae</t>
  </si>
  <si>
    <t>Spray Legano เร่งผมยาว</t>
  </si>
  <si>
    <t>hass เสื้อโปโล</t>
  </si>
  <si>
    <t>Maybelline super stay</t>
  </si>
  <si>
    <t>ชุดกรรไกรตัดเล็บ</t>
  </si>
  <si>
    <t>ShopeePay Order VIP</t>
  </si>
  <si>
    <t>Jasmeen Spray ทำความสะอาด</t>
  </si>
  <si>
    <t>Saint Seiya Nextdimension Vol.12</t>
  </si>
  <si>
    <t>Cash Back 10% 5%</t>
  </si>
  <si>
    <t>Harborland The Mall bangkae</t>
  </si>
  <si>
    <t>Amezon</t>
  </si>
  <si>
    <t>Balcony Ticket</t>
  </si>
  <si>
    <t>Ring Fit + Curby Nintendoswitch</t>
  </si>
  <si>
    <t>Lotus Fresh</t>
  </si>
  <si>
    <t>Pizza Company Seaconbangkae</t>
  </si>
  <si>
    <t>KasperskyLab 2 Years</t>
  </si>
  <si>
    <t>Yued Pao-Mall</t>
  </si>
  <si>
    <t>MASARU SHABU-The Mall Bangkae</t>
  </si>
  <si>
    <t>JoJo Blizard Advanture 5 No.4</t>
  </si>
  <si>
    <t>JoJo Blizard Advanture 5 No.6</t>
  </si>
  <si>
    <t>JoJo Blizard Advanture 5 No.5</t>
  </si>
  <si>
    <t>ชั้นวางของในที่แคบ</t>
  </si>
  <si>
    <t>Garrett Popcorn</t>
  </si>
  <si>
    <t>NewBalance-Central Westgate</t>
  </si>
  <si>
    <t>UNIQLO-THE MALL BANGKAE</t>
  </si>
  <si>
    <t>KFC1690-HOME PRO Phetk bangkok</t>
  </si>
  <si>
    <t>The Mall Bangkae-Gundum W</t>
  </si>
  <si>
    <t>M.K. Suki-Seacon Bangkok</t>
  </si>
  <si>
    <t>ชุดว่ายน้ำผู้ชาย</t>
  </si>
  <si>
    <t>ครีม Swiss Lab</t>
  </si>
  <si>
    <t>Saint Seiya Nextdimension Vol.13</t>
  </si>
  <si>
    <t>BONCHON -The Mall Bangkae-Jib</t>
  </si>
  <si>
    <t>BONCHON -The Mall Bangkae-P'Bom</t>
  </si>
  <si>
    <t>PTTST.C PHUTTHAMONTHON SAI3</t>
  </si>
  <si>
    <t>POWER MALL-Themall- Hier</t>
  </si>
  <si>
    <t>CB-001 ACQUI May 26 - Hier</t>
  </si>
  <si>
    <t>HCB00016-BK01 Bankgkok</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</si>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</sst>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00"/>
    <numFmt numFmtId="166" formatCode="dd/mm/yyyy"/>
  </numFmts>
  <fonts count="9">
    <font>
      <sz val="11"/>
      <color theme="1"/>
      <name val="Calibri"/>
      <family val="2"/>
      <scheme val="minor"/>
    </font>
    <font>
      <sz val="11"/>
      <color theme="1"/>
      <name val="Calibri"/>
      <family val="2"/>
      <scheme val="minor"/>
    </font>
    <font>
      <b/>
      <sz val="8"/>
      <color theme="0"/>
      <name val="Calibri"/>
      <family val="2"/>
      <scheme val="minor"/>
    </font>
    <font>
      <sz val="8"/>
      <name val="Calibri"/>
      <family val="2"/>
      <scheme val="minor"/>
    </font>
    <font>
      <sz val="16"/>
      <color theme="1"/>
      <name val="chocolateteehaypaiTEST"/>
    </font>
    <font>
      <b/>
      <sz val="12"/>
      <color theme="1"/>
      <name val="Leelawadee UI"/>
      <family val="2"/>
    </font>
    <font>
      <b/>
      <sz val="12"/>
      <color theme="1"/>
      <name val=" leelaawadee ui"/>
    </font>
    <font>
      <sz val="11"/>
      <color theme="1"/>
      <name val="Leelawadee UI"/>
      <family val="2"/>
    </font>
    <font>
      <b/>
      <sz val="11"/>
      <color theme="1"/>
      <name val="Leelawadee UI"/>
      <family val="2"/>
    </font>
  </fonts>
  <fills count="11">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6"/>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theme="0"/>
      </top>
      <bottom style="medium">
        <color theme="0"/>
      </bottom>
      <diagonal/>
    </border>
  </borders>
  <cellStyleXfs count="4">
    <xf numFmtId="0" fontId="0" fillId="0" borderId="0"/>
    <xf numFmtId="43" fontId="1" fillId="0" borderId="0" applyFont="0" applyFill="0" applyBorder="0" applyAlignment="0" applyProtection="0"/>
    <xf numFmtId="40" fontId="2" fillId="4" borderId="2">
      <alignment horizontal="centerContinuous" vertical="center"/>
    </xf>
    <xf numFmtId="9" fontId="1" fillId="0" borderId="0" applyFont="0" applyFill="0" applyBorder="0" applyAlignment="0" applyProtection="0"/>
  </cellStyleXfs>
  <cellXfs count="62">
    <xf numFmtId="0" fontId="0" fillId="0" borderId="0" xfId="0"/>
    <xf numFmtId="14" fontId="0" fillId="0" borderId="0" xfId="0" applyNumberFormat="1"/>
    <xf numFmtId="43" fontId="0" fillId="0" borderId="0" xfId="1" applyFont="1"/>
    <xf numFmtId="43" fontId="0" fillId="0" borderId="0" xfId="0" applyNumberFormat="1"/>
    <xf numFmtId="14" fontId="0" fillId="0" borderId="1" xfId="0" applyNumberFormat="1" applyBorder="1"/>
    <xf numFmtId="0" fontId="0" fillId="0" borderId="1" xfId="0" applyBorder="1"/>
    <xf numFmtId="0" fontId="0" fillId="0" borderId="1" xfId="0" applyBorder="1" applyAlignment="1">
      <alignment horizontal="center"/>
    </xf>
    <xf numFmtId="43" fontId="0" fillId="0" borderId="1" xfId="1" applyFont="1" applyBorder="1"/>
    <xf numFmtId="43" fontId="0" fillId="0" borderId="1" xfId="0" applyNumberFormat="1" applyBorder="1"/>
    <xf numFmtId="43" fontId="0" fillId="0" borderId="1" xfId="1" applyFont="1" applyBorder="1" applyAlignment="1">
      <alignment horizontal="center"/>
    </xf>
    <xf numFmtId="43" fontId="0" fillId="0" borderId="1" xfId="0" applyNumberFormat="1" applyBorder="1" applyAlignment="1">
      <alignment horizontal="center"/>
    </xf>
    <xf numFmtId="16" fontId="0" fillId="0" borderId="1" xfId="0" applyNumberFormat="1" applyBorder="1"/>
    <xf numFmtId="43" fontId="0" fillId="2" borderId="1" xfId="0" applyNumberFormat="1" applyFill="1" applyBorder="1"/>
    <xf numFmtId="43" fontId="0" fillId="3" borderId="1" xfId="0" applyNumberFormat="1" applyFill="1" applyBorder="1"/>
    <xf numFmtId="43" fontId="0" fillId="5" borderId="1" xfId="0" applyNumberFormat="1" applyFill="1" applyBorder="1"/>
    <xf numFmtId="0" fontId="4" fillId="0" borderId="0" xfId="0" applyFont="1"/>
    <xf numFmtId="17" fontId="4" fillId="0" borderId="0" xfId="0" applyNumberFormat="1" applyFont="1"/>
    <xf numFmtId="0" fontId="4" fillId="0" borderId="0" xfId="0" applyFont="1" applyAlignment="1">
      <alignment horizontal="center"/>
    </xf>
    <xf numFmtId="43" fontId="4" fillId="0" borderId="0" xfId="1" applyFont="1"/>
    <xf numFmtId="43" fontId="4" fillId="0" borderId="0" xfId="0" applyNumberFormat="1" applyFont="1"/>
    <xf numFmtId="43" fontId="4" fillId="6" borderId="0" xfId="1" applyFont="1" applyFill="1"/>
    <xf numFmtId="0" fontId="4" fillId="6" borderId="0" xfId="0" applyFont="1" applyFill="1"/>
    <xf numFmtId="43" fontId="4" fillId="0" borderId="0" xfId="1" applyFont="1" applyAlignment="1">
      <alignment horizontal="center"/>
    </xf>
    <xf numFmtId="43" fontId="4" fillId="6" borderId="0" xfId="0" applyNumberFormat="1" applyFont="1" applyFill="1"/>
    <xf numFmtId="43" fontId="0" fillId="5" borderId="1" xfId="1" applyFont="1" applyFill="1" applyBorder="1"/>
    <xf numFmtId="43" fontId="0" fillId="0" borderId="1" xfId="1" applyFont="1" applyFill="1" applyBorder="1"/>
    <xf numFmtId="14" fontId="0" fillId="5" borderId="0" xfId="0" applyNumberFormat="1" applyFill="1"/>
    <xf numFmtId="0" fontId="4" fillId="0" borderId="1" xfId="0" applyFont="1" applyBorder="1"/>
    <xf numFmtId="43" fontId="4" fillId="0" borderId="1" xfId="0" applyNumberFormat="1" applyFont="1" applyBorder="1"/>
    <xf numFmtId="43" fontId="0" fillId="7" borderId="1" xfId="0" applyNumberFormat="1" applyFill="1" applyBorder="1"/>
    <xf numFmtId="43" fontId="4" fillId="7" borderId="1" xfId="0" applyNumberFormat="1" applyFont="1" applyFill="1" applyBorder="1"/>
    <xf numFmtId="0" fontId="4" fillId="7" borderId="1" xfId="0" applyFont="1" applyFill="1" applyBorder="1"/>
    <xf numFmtId="17" fontId="4" fillId="7" borderId="1" xfId="0" applyNumberFormat="1" applyFont="1" applyFill="1" applyBorder="1"/>
    <xf numFmtId="43" fontId="0" fillId="5" borderId="1" xfId="1" applyFont="1" applyFill="1" applyBorder="1" applyAlignment="1">
      <alignment horizontal="center"/>
    </xf>
    <xf numFmtId="43" fontId="0" fillId="5" borderId="1" xfId="0" applyNumberFormat="1" applyFill="1" applyBorder="1" applyAlignment="1">
      <alignment horizontal="center"/>
    </xf>
    <xf numFmtId="16" fontId="0" fillId="0" borderId="1" xfId="0" quotePrefix="1" applyNumberFormat="1" applyBorder="1"/>
    <xf numFmtId="0" fontId="5" fillId="0" borderId="0" xfId="0" applyFont="1"/>
    <xf numFmtId="0" fontId="6" fillId="0" borderId="0" xfId="0" applyFont="1"/>
    <xf numFmtId="14" fontId="6" fillId="0" borderId="0" xfId="0" applyNumberFormat="1" applyFont="1"/>
    <xf numFmtId="43" fontId="6" fillId="0" borderId="0" xfId="0" applyNumberFormat="1" applyFont="1"/>
    <xf numFmtId="43" fontId="6" fillId="0" borderId="0" xfId="1" applyFont="1"/>
    <xf numFmtId="0" fontId="7" fillId="0" borderId="0" xfId="0" applyFont="1"/>
    <xf numFmtId="0" fontId="8" fillId="0" borderId="0" xfId="0" applyFont="1"/>
    <xf numFmtId="0" fontId="8" fillId="0" borderId="0" xfId="0" pivotButton="1" applyFont="1"/>
    <xf numFmtId="0" fontId="8" fillId="0" borderId="0" xfId="0" applyFont="1" applyAlignment="1">
      <alignment horizontal="left"/>
    </xf>
    <xf numFmtId="43" fontId="8" fillId="0" borderId="0" xfId="0" applyNumberFormat="1" applyFont="1"/>
    <xf numFmtId="164" fontId="6" fillId="0" borderId="0" xfId="3" applyNumberFormat="1" applyFont="1"/>
    <xf numFmtId="165" fontId="6" fillId="0" borderId="0" xfId="0" applyNumberFormat="1" applyFont="1"/>
    <xf numFmtId="43" fontId="0" fillId="8" borderId="1" xfId="1" applyFont="1" applyFill="1" applyBorder="1"/>
    <xf numFmtId="0" fontId="0" fillId="9" borderId="1" xfId="0" applyFill="1" applyBorder="1"/>
    <xf numFmtId="43" fontId="0" fillId="10" borderId="1" xfId="0" applyNumberFormat="1" applyFill="1" applyBorder="1"/>
    <xf numFmtId="43" fontId="0" fillId="8" borderId="1" xfId="0" applyNumberFormat="1" applyFill="1" applyBorder="1"/>
    <xf numFmtId="0" fontId="0" fillId="8" borderId="1" xfId="0" applyFill="1" applyBorder="1"/>
    <xf numFmtId="14" fontId="0" fillId="0" borderId="1" xfId="0" applyNumberFormat="1" applyBorder="1" applyAlignment="1">
      <alignment horizontal="center"/>
    </xf>
    <xf numFmtId="43" fontId="6" fillId="5" borderId="0" xfId="0" applyNumberFormat="1" applyFont="1" applyFill="1"/>
    <xf numFmtId="166" fontId="6" fillId="0" borderId="0" xfId="0" applyNumberFormat="1" applyFont="1"/>
    <xf numFmtId="0" fontId="7" fillId="0" borderId="0" xfId="0" pivotButton="1" applyFont="1"/>
    <xf numFmtId="0" fontId="7" fillId="0" borderId="0" xfId="0" applyFont="1" applyAlignment="1">
      <alignment horizontal="center"/>
    </xf>
    <xf numFmtId="14" fontId="7" fillId="0" borderId="0" xfId="0" applyNumberFormat="1" applyFont="1"/>
    <xf numFmtId="43" fontId="7" fillId="0" borderId="0" xfId="0" applyNumberFormat="1" applyFont="1"/>
    <xf numFmtId="0" fontId="7" fillId="0" borderId="0" xfId="0" applyFont="1" applyAlignment="1">
      <alignment horizontal="left"/>
    </xf>
    <xf numFmtId="14" fontId="0" fillId="0" borderId="1" xfId="0" applyNumberFormat="1" applyBorder="1" applyAlignment="1">
      <alignment horizontal="center"/>
    </xf>
  </cellXfs>
  <cellStyles count="4">
    <cellStyle name="Comma" xfId="1" builtinId="3"/>
    <cellStyle name="Month" xfId="2" xr:uid="{D77B15C8-F864-466D-84D3-34CE1E933A2E}"/>
    <cellStyle name="Normal" xfId="0" builtinId="0"/>
    <cellStyle name="Percent" xfId="3" builtinId="5"/>
  </cellStyles>
  <dxfs count="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6"/>
        <color theme="1"/>
        <name val="chocolateteehaypaiTEST"/>
        <scheme val="none"/>
      </font>
      <numFmt numFmtId="35" formatCode="_(* #,##0.00_);_(* \(#,##0.00\);_(* &quot;-&quot;??_);_(@_)"/>
      <fill>
        <patternFill patternType="solid">
          <fgColor indexed="64"/>
          <bgColor theme="4" tint="0.59999389629810485"/>
        </patternFill>
      </fill>
    </dxf>
    <dxf>
      <font>
        <b val="0"/>
        <i val="0"/>
        <strike val="0"/>
        <condense val="0"/>
        <extend val="0"/>
        <outline val="0"/>
        <shadow val="0"/>
        <u val="none"/>
        <vertAlign val="baseline"/>
        <sz val="16"/>
        <color theme="1"/>
        <name val="chocolateteehaypaiTEST"/>
        <scheme val="none"/>
      </font>
      <fill>
        <patternFill patternType="solid">
          <fgColor indexed="64"/>
          <bgColor theme="4" tint="0.59999389629810485"/>
        </patternFill>
      </fill>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fill>
        <patternFill patternType="solid">
          <fgColor indexed="64"/>
          <bgColor theme="4" tint="0.59999389629810485"/>
        </patternFill>
      </fill>
    </dxf>
    <dxf>
      <font>
        <b val="0"/>
        <i val="0"/>
        <strike val="0"/>
        <condense val="0"/>
        <extend val="0"/>
        <outline val="0"/>
        <shadow val="0"/>
        <u val="none"/>
        <vertAlign val="baseline"/>
        <sz val="16"/>
        <color theme="1"/>
        <name val="chocolateteehaypaiTEST"/>
        <scheme val="none"/>
      </font>
      <fill>
        <patternFill patternType="solid">
          <fgColor indexed="64"/>
          <bgColor theme="4" tint="0.59999389629810485"/>
        </patternFill>
      </fill>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fill>
        <patternFill patternType="solid">
          <fgColor indexed="64"/>
          <bgColor theme="4" tint="0.59999389629810485"/>
        </patternFill>
      </fill>
    </dxf>
    <dxf>
      <font>
        <b val="0"/>
        <i val="0"/>
        <strike val="0"/>
        <condense val="0"/>
        <extend val="0"/>
        <outline val="0"/>
        <shadow val="0"/>
        <u val="none"/>
        <vertAlign val="baseline"/>
        <sz val="16"/>
        <color theme="1"/>
        <name val="chocolateteehaypaiTEST"/>
        <scheme val="none"/>
      </font>
      <fill>
        <patternFill patternType="solid">
          <fgColor indexed="64"/>
          <bgColor theme="4" tint="0.59999389629810485"/>
        </patternFill>
      </fill>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numFmt numFmtId="35" formatCode="_(* #,##0.00_);_(* \(#,##0.00\);_(* &quot;-&quot;??_);_(@_)"/>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dxf>
    <dxf>
      <font>
        <b val="0"/>
        <i val="0"/>
        <strike val="0"/>
        <condense val="0"/>
        <extend val="0"/>
        <outline val="0"/>
        <shadow val="0"/>
        <u val="none"/>
        <vertAlign val="baseline"/>
        <sz val="16"/>
        <color theme="1"/>
        <name val="chocolateteehaypaiTEST"/>
        <scheme val="none"/>
      </font>
    </dxf>
    <dxf>
      <font>
        <name val="Leelawadee UI"/>
        <family val="2"/>
      </font>
    </dxf>
    <dxf>
      <font>
        <name val="Leelawadee UI"/>
        <family val="2"/>
      </font>
    </dxf>
    <dxf>
      <font>
        <name val="Leelawadee UI"/>
        <family val="2"/>
      </font>
    </dxf>
    <dxf>
      <font>
        <name val="Leelawadee UI"/>
        <family val="2"/>
      </font>
    </dxf>
    <dxf>
      <font>
        <name val="Leelawadee UI"/>
        <family val="2"/>
      </font>
    </dxf>
    <dxf>
      <font>
        <name val="Leelawadee UI"/>
        <family val="2"/>
      </font>
    </dxf>
    <dxf>
      <font>
        <name val="Leelawadee UI"/>
        <family val="2"/>
      </font>
    </dxf>
    <dxf>
      <font>
        <name val="Leelawadee UI"/>
        <family val="2"/>
      </font>
    </dxf>
    <dxf>
      <font>
        <name val="Leelawadee UI"/>
        <family val="2"/>
      </font>
    </dxf>
    <dxf>
      <font>
        <name val="Leelawadee UI"/>
        <family val="2"/>
      </font>
    </dxf>
    <dxf>
      <font>
        <b/>
      </font>
    </dxf>
    <dxf>
      <font>
        <b/>
      </font>
    </dxf>
    <dxf>
      <font>
        <b/>
      </font>
    </dxf>
    <dxf>
      <font>
        <b/>
      </font>
    </dxf>
    <dxf>
      <font>
        <b/>
      </font>
    </dxf>
    <dxf>
      <font>
        <b/>
      </font>
    </dxf>
    <dxf>
      <font>
        <b/>
      </font>
    </dxf>
    <dxf>
      <font>
        <b/>
      </font>
    </dxf>
    <dxf>
      <font>
        <b/>
      </font>
    </dxf>
    <dxf>
      <font>
        <b/>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font>
    </dxf>
    <dxf>
      <font>
        <name val="Leelawadee UI"/>
      </font>
    </dxf>
    <dxf>
      <font>
        <name val="Leelawadee UI"/>
      </font>
    </dxf>
    <dxf>
      <font>
        <name val="Leelawadee UI"/>
      </font>
    </dxf>
    <dxf>
      <font>
        <name val="Leelawadee UI"/>
      </font>
    </dxf>
    <dxf>
      <font>
        <name val="Leelawadee UI"/>
      </font>
    </dxf>
    <dxf>
      <font>
        <name val="Leelawadee UI"/>
      </font>
    </dxf>
    <dxf>
      <font>
        <name val="Leelawadee UI"/>
      </font>
    </dxf>
    <dxf>
      <font>
        <name val="Leelawadee UI"/>
      </font>
    </dxf>
    <dxf>
      <font>
        <name val="Leelawadee UI"/>
      </font>
    </dxf>
    <dxf>
      <font>
        <b/>
        <strike val="0"/>
        <outline val="0"/>
        <shadow val="0"/>
        <u val="none"/>
        <vertAlign val="baseline"/>
        <sz val="12"/>
        <color theme="1"/>
        <name val=" leelaawadee ui"/>
        <scheme val="none"/>
      </font>
      <numFmt numFmtId="35" formatCode="_(* #,##0.00_);_(* \(#,##0.00\);_(* &quot;-&quot;??_);_(@_)"/>
    </dxf>
    <dxf>
      <font>
        <b/>
        <strike val="0"/>
        <outline val="0"/>
        <shadow val="0"/>
        <u val="none"/>
        <vertAlign val="baseline"/>
        <sz val="12"/>
        <color theme="1"/>
        <name val=" leelaawadee ui"/>
        <scheme val="none"/>
      </font>
      <numFmt numFmtId="35" formatCode="_(* #,##0.00_);_(* \(#,##0.00\);_(* &quot;-&quot;??_);_(@_)"/>
    </dxf>
    <dxf>
      <font>
        <b/>
        <strike val="0"/>
        <outline val="0"/>
        <shadow val="0"/>
        <u val="none"/>
        <vertAlign val="baseline"/>
        <sz val="12"/>
        <color theme="1"/>
        <name val=" leelaawadee ui"/>
        <scheme val="none"/>
      </font>
      <numFmt numFmtId="35" formatCode="_(* #,##0.00_);_(* \(#,##0.00\);_(* &quot;-&quot;??_);_(@_)"/>
    </dxf>
    <dxf>
      <font>
        <b/>
        <strike val="0"/>
        <outline val="0"/>
        <shadow val="0"/>
        <u val="none"/>
        <vertAlign val="baseline"/>
        <sz val="12"/>
        <color theme="1"/>
        <name val=" leelaawadee ui"/>
        <scheme val="none"/>
      </font>
    </dxf>
    <dxf>
      <font>
        <b/>
        <i val="0"/>
        <strike val="0"/>
        <condense val="0"/>
        <extend val="0"/>
        <outline val="0"/>
        <shadow val="0"/>
        <u val="none"/>
        <vertAlign val="baseline"/>
        <sz val="12"/>
        <color theme="1"/>
        <name val=" leelaawadee ui"/>
        <scheme val="none"/>
      </font>
      <numFmt numFmtId="166" formatCode="dd/mm/yyyy"/>
    </dxf>
    <dxf>
      <font>
        <b/>
        <i val="0"/>
        <strike val="0"/>
        <condense val="0"/>
        <extend val="0"/>
        <outline val="0"/>
        <shadow val="0"/>
        <u val="none"/>
        <vertAlign val="baseline"/>
        <sz val="12"/>
        <color theme="1"/>
        <name val=" leelaawadee ui"/>
        <scheme val="none"/>
      </font>
    </dxf>
    <dxf>
      <font>
        <b/>
        <strike val="0"/>
        <outline val="0"/>
        <shadow val="0"/>
        <u val="none"/>
        <vertAlign val="baseline"/>
        <sz val="12"/>
        <color theme="1"/>
        <name val=" leelaawadee ui"/>
        <scheme val="none"/>
      </font>
    </dxf>
    <dxf>
      <font>
        <b/>
        <i val="0"/>
        <strike val="0"/>
        <condense val="0"/>
        <extend val="0"/>
        <outline val="0"/>
        <shadow val="0"/>
        <u val="none"/>
        <vertAlign val="baseline"/>
        <sz val="12"/>
        <color theme="1"/>
        <name val=" leelaawadee ui"/>
        <scheme val="none"/>
      </font>
    </dxf>
    <dxf>
      <font>
        <b/>
        <strike val="0"/>
        <outline val="0"/>
        <shadow val="0"/>
        <u val="none"/>
        <vertAlign val="baseline"/>
        <sz val="12"/>
        <color theme="1"/>
        <name val=" leelaawadee ui"/>
        <scheme val="none"/>
      </font>
    </dxf>
    <dxf>
      <font>
        <b/>
        <strike val="0"/>
        <outline val="0"/>
        <shadow val="0"/>
        <u val="none"/>
        <vertAlign val="baseline"/>
        <sz val="12"/>
        <color theme="1"/>
        <name val=" leelaawadee ui"/>
        <scheme val="none"/>
      </font>
      <numFmt numFmtId="166" formatCode="dd/mm/yyyy"/>
    </dxf>
    <dxf>
      <font>
        <b/>
        <strike val="0"/>
        <outline val="0"/>
        <shadow val="0"/>
        <u val="none"/>
        <vertAlign val="baseline"/>
        <sz val="12"/>
        <color theme="1"/>
        <name val=" leelaawadee ui"/>
        <scheme val="none"/>
      </font>
    </dxf>
    <dxf>
      <font>
        <b/>
        <strike val="0"/>
        <outline val="0"/>
        <shadow val="0"/>
        <u val="none"/>
        <vertAlign val="baseline"/>
        <sz val="12"/>
        <color theme="1"/>
        <name val=" leela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font>
        <name val="Leelawadee UI"/>
        <scheme val="none"/>
      </font>
    </dxf>
    <dxf>
      <numFmt numFmtId="35" formatCode="_(* #,##0.00_);_(* \(#,##0.00\);_(* &quot;-&quot;??_);_(@_)"/>
    </dxf>
    <dxf>
      <numFmt numFmtId="35" formatCode="_(* #,##0.00_);_(* \(#,##0.00\);_(* &quot;-&quot;??_);_(@_)"/>
    </dxf>
    <dxf>
      <numFmt numFmtId="35" formatCode="_(* #,##0.00_);_(* \(#,##0.00\);_(* &quot;-&quot;??_);_(@_)"/>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sheetMetadata" Target="metadata.xml"/><Relationship Id="rId21" Type="http://schemas.openxmlformats.org/officeDocument/2006/relationships/pivotCacheDefinition" Target="pivotCache/pivotCacheDefinition3.xml"/><Relationship Id="rId34" Type="http://schemas.microsoft.com/office/2007/relationships/slicerCache" Target="slicerCaches/slicerCache7.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07/relationships/slicerCache" Target="slicerCaches/slicerCache5.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microsoft.com/office/2007/relationships/slicerCache" Target="slicerCaches/slicerCache3.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07/relationships/slicerCache" Target="slicerCaches/slicerCache6.xml"/><Relationship Id="rId38" Type="http://schemas.openxmlformats.org/officeDocument/2006/relationships/sharedStrings" Target="sharedStrings.xml"/><Relationship Id="rId46" Type="http://schemas.openxmlformats.org/officeDocument/2006/relationships/customXml" Target="../customXml/item5.xml"/><Relationship Id="rId20" Type="http://schemas.openxmlformats.org/officeDocument/2006/relationships/pivotCacheDefinition" Target="pivotCache/pivotCacheDefinition2.xml"/><Relationship Id="rId41" Type="http://schemas.openxmlformats.org/officeDocument/2006/relationships/calcChain" Target="calcChain.xml"/><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1.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ustomXml" Target="../customXml/item3.xml"/><Relationship Id="rId52"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SumInstallment!$A$19</c:f>
              <c:strCache>
                <c:ptCount val="1"/>
                <c:pt idx="0">
                  <c:v>Homepro</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SumInstallment!$B$19:$O$19</c15:sqref>
                  </c15:fullRef>
                </c:ext>
              </c:extLst>
              <c:f>SumInstallment!$D$19:$O$19</c:f>
              <c:numCache>
                <c:formatCode>General</c:formatCode>
                <c:ptCount val="12"/>
                <c:pt idx="3" formatCode="_(* #,##0.00_);_(* \(#,##0.00\);_(* &quot;-&quot;??_);_(@_)">
                  <c:v>4392.7950000000001</c:v>
                </c:pt>
                <c:pt idx="4" formatCode="_(* #,##0.00_);_(* \(#,##0.00\);_(* &quot;-&quot;??_);_(@_)">
                  <c:v>6545.7800000000007</c:v>
                </c:pt>
                <c:pt idx="5" formatCode="_(* #,##0.00_);_(* \(#,##0.00\);_(* &quot;-&quot;??_);_(@_)">
                  <c:v>10285.335000000001</c:v>
                </c:pt>
                <c:pt idx="6" formatCode="_(* #,##0.00_);_(* \(#,##0.00\);_(* &quot;-&quot;??_);_(@_)">
                  <c:v>8140.58</c:v>
                </c:pt>
                <c:pt idx="7" formatCode="_(* #,##0.00_);_(* \(#,##0.00\);_(* &quot;-&quot;??_);_(@_)">
                  <c:v>4808.68</c:v>
                </c:pt>
                <c:pt idx="8" formatCode="_(* #,##0.00_);_(* \(#,##0.00\);_(* &quot;-&quot;??_);_(@_)">
                  <c:v>7012.03</c:v>
                </c:pt>
                <c:pt idx="9" formatCode="_(* #,##0.00_);_(* \(#,##0.00\);_(* &quot;-&quot;??_);_(@_)">
                  <c:v>6222.1399999999994</c:v>
                </c:pt>
                <c:pt idx="10" formatCode="_(* #,##0.00_);_(* \(#,##0.00\);_(* &quot;-&quot;??_);_(@_)">
                  <c:v>3486.7999999999997</c:v>
                </c:pt>
                <c:pt idx="11" formatCode="_(* #,##0.00_);_(* \(#,##0.00\);_(* &quot;-&quot;??_);_(@_)">
                  <c:v>3614.7999999999997</c:v>
                </c:pt>
              </c:numCache>
            </c:numRef>
          </c:val>
          <c:extLst>
            <c:ext xmlns:c16="http://schemas.microsoft.com/office/drawing/2014/chart" uri="{C3380CC4-5D6E-409C-BE32-E72D297353CC}">
              <c16:uniqueId val="{00000000-C0DA-4678-AB8E-D64ADBD5DF69}"/>
            </c:ext>
          </c:extLst>
        </c:ser>
        <c:ser>
          <c:idx val="1"/>
          <c:order val="1"/>
          <c:tx>
            <c:strRef>
              <c:f>SumInstallment!$A$20</c:f>
              <c:strCache>
                <c:ptCount val="1"/>
                <c:pt idx="0">
                  <c:v>K-Credit</c:v>
                </c:pt>
              </c:strCache>
            </c:strRef>
          </c:tx>
          <c:spPr>
            <a:solidFill>
              <a:schemeClr val="accent2"/>
            </a:solidFill>
            <a:ln>
              <a:noFill/>
            </a:ln>
            <a:effectLst/>
          </c:spPr>
          <c:invertIfNegative val="0"/>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SumInstallment!$B$20:$O$20</c15:sqref>
                  </c15:fullRef>
                </c:ext>
              </c:extLst>
              <c:f>SumInstallment!$D$20:$O$20</c:f>
              <c:numCache>
                <c:formatCode>General</c:formatCode>
                <c:ptCount val="12"/>
                <c:pt idx="3" formatCode="_(* #,##0.00_);_(* \(#,##0.00\);_(* &quot;-&quot;??_);_(@_)">
                  <c:v>3090.1200000000003</c:v>
                </c:pt>
                <c:pt idx="4" formatCode="_(* #,##0.00_);_(* \(#,##0.00\);_(* &quot;-&quot;??_);_(@_)">
                  <c:v>4270.1600000000008</c:v>
                </c:pt>
                <c:pt idx="5" formatCode="_(* #,##0.00_);_(* \(#,##0.00\);_(* &quot;-&quot;??_);_(@_)">
                  <c:v>3175.9300000000003</c:v>
                </c:pt>
                <c:pt idx="6" formatCode="_(* #,##0.00_);_(* \(#,##0.00\);_(* &quot;-&quot;??_);_(@_)">
                  <c:v>3090.1200000000003</c:v>
                </c:pt>
                <c:pt idx="7" formatCode="_(* #,##0.00_);_(* \(#,##0.00\);_(* &quot;-&quot;??_);_(@_)">
                  <c:v>3144.41</c:v>
                </c:pt>
                <c:pt idx="8" formatCode="_(* #,##0.00_);_(* \(#,##0.00\);_(* &quot;-&quot;??_);_(@_)">
                  <c:v>3144.41</c:v>
                </c:pt>
                <c:pt idx="9" formatCode="_(* #,##0.00_);_(* \(#,##0.00\);_(* &quot;-&quot;??_);_(@_)">
                  <c:v>809.21</c:v>
                </c:pt>
                <c:pt idx="10" formatCode="_(* #,##0.00_);_(* \(#,##0.00\);_(* &quot;-&quot;??_);_(@_)">
                  <c:v>3144.41</c:v>
                </c:pt>
                <c:pt idx="11" formatCode="_(* #,##0.00_);_(* \(#,##0.00\);_(* &quot;-&quot;??_);_(@_)">
                  <c:v>3144.41</c:v>
                </c:pt>
              </c:numCache>
            </c:numRef>
          </c:val>
          <c:extLst>
            <c:ext xmlns:c16="http://schemas.microsoft.com/office/drawing/2014/chart" uri="{C3380CC4-5D6E-409C-BE32-E72D297353CC}">
              <c16:uniqueId val="{00000001-C0DA-4678-AB8E-D64ADBD5DF69}"/>
            </c:ext>
          </c:extLst>
        </c:ser>
        <c:ser>
          <c:idx val="2"/>
          <c:order val="2"/>
          <c:tx>
            <c:strRef>
              <c:f>SumInstallment!$A$21</c:f>
              <c:strCache>
                <c:ptCount val="1"/>
                <c:pt idx="0">
                  <c:v>Playnext</c:v>
                </c:pt>
              </c:strCache>
            </c:strRef>
          </c:tx>
          <c:spPr>
            <a:solidFill>
              <a:schemeClr val="accent3"/>
            </a:solidFill>
            <a:ln>
              <a:noFill/>
            </a:ln>
            <a:effectLst/>
          </c:spPr>
          <c:invertIfNegative val="0"/>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SumInstallment!$B$21:$O$21</c15:sqref>
                  </c15:fullRef>
                </c:ext>
              </c:extLst>
              <c:f>SumInstallment!$D$21:$O$21</c:f>
              <c:numCache>
                <c:formatCode>General</c:formatCode>
                <c:ptCount val="12"/>
                <c:pt idx="9" formatCode="_(* #,##0.00_);_(* \(#,##0.00\);_(* &quot;-&quot;??_);_(@_)">
                  <c:v>2832.29</c:v>
                </c:pt>
                <c:pt idx="10" formatCode="_(* #,##0.00_);_(* \(#,##0.00\);_(* &quot;-&quot;??_);_(@_)">
                  <c:v>0</c:v>
                </c:pt>
                <c:pt idx="11" formatCode="_(* #,##0.00_);_(* \(#,##0.00\);_(* &quot;-&quot;??_);_(@_)">
                  <c:v>429</c:v>
                </c:pt>
              </c:numCache>
            </c:numRef>
          </c:val>
          <c:extLst>
            <c:ext xmlns:c16="http://schemas.microsoft.com/office/drawing/2014/chart" uri="{C3380CC4-5D6E-409C-BE32-E72D297353CC}">
              <c16:uniqueId val="{00000002-C0DA-4678-AB8E-D64ADBD5DF69}"/>
            </c:ext>
          </c:extLst>
        </c:ser>
        <c:ser>
          <c:idx val="3"/>
          <c:order val="3"/>
          <c:tx>
            <c:strRef>
              <c:f>SumInstallment!$A$22</c:f>
              <c:strCache>
                <c:ptCount val="1"/>
                <c:pt idx="0">
                  <c:v>KTC-Credit</c:v>
                </c:pt>
              </c:strCache>
            </c:strRef>
          </c:tx>
          <c:spPr>
            <a:solidFill>
              <a:schemeClr val="accent4"/>
            </a:solidFill>
            <a:ln>
              <a:noFill/>
            </a:ln>
            <a:effectLst/>
          </c:spPr>
          <c:invertIfNegative val="0"/>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SumInstallment!$B$22:$O$22</c15:sqref>
                  </c15:fullRef>
                </c:ext>
              </c:extLst>
              <c:f>SumInstallment!$D$22:$O$22</c:f>
              <c:numCache>
                <c:formatCode>General</c:formatCode>
                <c:ptCount val="12"/>
                <c:pt idx="3" formatCode="_(* #,##0.00_);_(* \(#,##0.00\);_(* &quot;-&quot;??_);_(@_)">
                  <c:v>5997.32</c:v>
                </c:pt>
                <c:pt idx="4" formatCode="_(* #,##0.00_);_(* \(#,##0.00\);_(* &quot;-&quot;??_);_(@_)">
                  <c:v>1191.8699999999999</c:v>
                </c:pt>
                <c:pt idx="5" formatCode="_(* #,##0.00_);_(* \(#,##0.00\);_(* &quot;-&quot;??_);_(@_)">
                  <c:v>1191.8699999999999</c:v>
                </c:pt>
                <c:pt idx="6" formatCode="_(* #,##0.00_);_(* \(#,##0.00\);_(* &quot;-&quot;??_);_(@_)">
                  <c:v>1191.8699999999999</c:v>
                </c:pt>
                <c:pt idx="7" formatCode="_(* #,##0.00_);_(* \(#,##0.00\);_(* &quot;-&quot;??_);_(@_)">
                  <c:v>1191.8699999999999</c:v>
                </c:pt>
                <c:pt idx="8" formatCode="_(* #,##0.00_);_(* \(#,##0.00\);_(* &quot;-&quot;??_);_(@_)">
                  <c:v>1191.8699999999999</c:v>
                </c:pt>
                <c:pt idx="9" formatCode="_(* #,##0.00_);_(* \(#,##0.00\);_(* &quot;-&quot;??_);_(@_)">
                  <c:v>1191.8699999999999</c:v>
                </c:pt>
                <c:pt idx="10" formatCode="_(* #,##0.00_);_(* \(#,##0.00\);_(* &quot;-&quot;??_);_(@_)">
                  <c:v>4156.87</c:v>
                </c:pt>
                <c:pt idx="11" formatCode="_(* #,##0.00_);_(* \(#,##0.00\);_(* &quot;-&quot;??_);_(@_)">
                  <c:v>4156.8599999999997</c:v>
                </c:pt>
              </c:numCache>
            </c:numRef>
          </c:val>
          <c:extLst>
            <c:ext xmlns:c16="http://schemas.microsoft.com/office/drawing/2014/chart" uri="{C3380CC4-5D6E-409C-BE32-E72D297353CC}">
              <c16:uniqueId val="{00000003-C0DA-4678-AB8E-D64ADBD5DF69}"/>
            </c:ext>
          </c:extLst>
        </c:ser>
        <c:dLbls>
          <c:showLegendKey val="0"/>
          <c:showVal val="0"/>
          <c:showCatName val="0"/>
          <c:showSerName val="0"/>
          <c:showPercent val="0"/>
          <c:showBubbleSize val="0"/>
        </c:dLbls>
        <c:gapWidth val="150"/>
        <c:axId val="860693663"/>
        <c:axId val="860694079"/>
      </c:barChart>
      <c:lineChart>
        <c:grouping val="standard"/>
        <c:varyColors val="0"/>
        <c:ser>
          <c:idx val="4"/>
          <c:order val="4"/>
          <c:tx>
            <c:strRef>
              <c:f>SumInstallment!$A$23</c:f>
              <c:strCache>
                <c:ptCount val="1"/>
                <c:pt idx="0">
                  <c:v>AEON-Big C Credit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SumInstallment!$B$23:$O$23</c15:sqref>
                  </c15:fullRef>
                </c:ext>
              </c:extLst>
              <c:f>SumInstallment!$D$23:$O$23</c:f>
              <c:numCache>
                <c:formatCode>General</c:formatCode>
                <c:ptCount val="12"/>
                <c:pt idx="3" formatCode="_(* #,##0.00_);_(* \(#,##0.00\);_(* &quot;-&quot;??_);_(@_)">
                  <c:v>2448</c:v>
                </c:pt>
                <c:pt idx="4" formatCode="_(* #,##0.00_);_(* \(#,##0.00\);_(* &quot;-&quot;??_);_(@_)">
                  <c:v>560.5</c:v>
                </c:pt>
                <c:pt idx="5" formatCode="_(* #,##0.00_);_(* \(#,##0.00\);_(* &quot;-&quot;??_);_(@_)">
                  <c:v>3722.125</c:v>
                </c:pt>
                <c:pt idx="6" formatCode="_(* #,##0.00_);_(* \(#,##0.00\);_(* &quot;-&quot;??_);_(@_)">
                  <c:v>1932</c:v>
                </c:pt>
                <c:pt idx="7" formatCode="_(* #,##0.00_);_(* \(#,##0.00\);_(* &quot;-&quot;??_);_(@_)">
                  <c:v>1762</c:v>
                </c:pt>
                <c:pt idx="8" formatCode="_(* #,##0.00_);_(* \(#,##0.00\);_(* &quot;-&quot;??_);_(@_)">
                  <c:v>1212.5</c:v>
                </c:pt>
                <c:pt idx="9" formatCode="_(* #,##0.00_);_(* \(#,##0.00\);_(* &quot;-&quot;??_);_(@_)">
                  <c:v>886.375</c:v>
                </c:pt>
                <c:pt idx="10" formatCode="_(* #,##0.00_);_(* \(#,##0.00\);_(* &quot;-&quot;??_);_(@_)">
                  <c:v>832.25</c:v>
                </c:pt>
                <c:pt idx="11" formatCode="_(* #,##0.00_);_(* \(#,##0.00\);_(* &quot;-&quot;??_);_(@_)">
                  <c:v>2630</c:v>
                </c:pt>
              </c:numCache>
            </c:numRef>
          </c:val>
          <c:smooth val="0"/>
          <c:extLst>
            <c:ext xmlns:c16="http://schemas.microsoft.com/office/drawing/2014/chart" uri="{C3380CC4-5D6E-409C-BE32-E72D297353CC}">
              <c16:uniqueId val="{00000004-C0DA-4678-AB8E-D64ADBD5DF69}"/>
            </c:ext>
          </c:extLst>
        </c:ser>
        <c:ser>
          <c:idx val="5"/>
          <c:order val="5"/>
          <c:tx>
            <c:strRef>
              <c:f>SumInstallment!$A$24</c:f>
              <c:strCache>
                <c:ptCount val="1"/>
                <c:pt idx="0">
                  <c:v>CITY BANK</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SumInstallment!$B$24:$O$24</c15:sqref>
                  </c15:fullRef>
                </c:ext>
              </c:extLst>
              <c:f>SumInstallment!$D$24:$O$24</c:f>
              <c:numCache>
                <c:formatCode>General</c:formatCode>
                <c:ptCount val="12"/>
                <c:pt idx="3">
                  <c:v>0</c:v>
                </c:pt>
                <c:pt idx="4" formatCode="_(* #,##0.00_);_(* \(#,##0.00\);_(* &quot;-&quot;??_);_(@_)">
                  <c:v>0</c:v>
                </c:pt>
                <c:pt idx="5" formatCode="_(* #,##0.00_);_(* \(#,##0.00\);_(* &quot;-&quot;??_);_(@_)">
                  <c:v>1390.24</c:v>
                </c:pt>
                <c:pt idx="6" formatCode="_(* #,##0.00_);_(* \(#,##0.00\);_(* &quot;-&quot;??_);_(@_)">
                  <c:v>1652.4033333333332</c:v>
                </c:pt>
                <c:pt idx="7" formatCode="_(* #,##0.00_);_(* \(#,##0.00\);_(* &quot;-&quot;??_);_(@_)">
                  <c:v>1989.7033333333331</c:v>
                </c:pt>
                <c:pt idx="8" formatCode="_(* #,##0.00_);_(* \(#,##0.00\);_(* &quot;-&quot;??_);_(@_)">
                  <c:v>1989.7033333333331</c:v>
                </c:pt>
                <c:pt idx="9" formatCode="_(* #,##0.00_);_(* \(#,##0.00\);_(* &quot;-&quot;??_);_(@_)">
                  <c:v>1514.9033333333332</c:v>
                </c:pt>
                <c:pt idx="10" formatCode="_(* #,##0.00_);_(* \(#,##0.00\);_(* &quot;-&quot;??_);_(@_)">
                  <c:v>1989.7033333333331</c:v>
                </c:pt>
                <c:pt idx="11" formatCode="_(* #,##0.00_);_(* \(#,##0.00\);_(* &quot;-&quot;??_);_(@_)">
                  <c:v>1985.9533333333331</c:v>
                </c:pt>
              </c:numCache>
            </c:numRef>
          </c:val>
          <c:smooth val="0"/>
          <c:extLst>
            <c:ext xmlns:c16="http://schemas.microsoft.com/office/drawing/2014/chart" uri="{C3380CC4-5D6E-409C-BE32-E72D297353CC}">
              <c16:uniqueId val="{00000005-C0DA-4678-AB8E-D64ADBD5DF69}"/>
            </c:ext>
          </c:extLst>
        </c:ser>
        <c:ser>
          <c:idx val="6"/>
          <c:order val="6"/>
          <c:tx>
            <c:strRef>
              <c:f>SumInstallment!$A$25</c:f>
              <c:strCache>
                <c:ptCount val="1"/>
                <c:pt idx="0">
                  <c:v>Spaylater</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SumInstallment!$B$25:$O$25</c15:sqref>
                  </c15:fullRef>
                </c:ext>
              </c:extLst>
              <c:f>SumInstallment!$D$25:$O$25</c:f>
              <c:numCache>
                <c:formatCode>General</c:formatCode>
                <c:ptCount val="12"/>
                <c:pt idx="3">
                  <c:v>0</c:v>
                </c:pt>
                <c:pt idx="4" formatCode="_(* #,##0.00_);_(* \(#,##0.00\);_(* &quot;-&quot;??_);_(@_)">
                  <c:v>452</c:v>
                </c:pt>
                <c:pt idx="5" formatCode="_(* #,##0.00_);_(* \(#,##0.00\);_(* &quot;-&quot;??_);_(@_)">
                  <c:v>746</c:v>
                </c:pt>
                <c:pt idx="6" formatCode="_(* #,##0.00_);_(* \(#,##0.00\);_(* &quot;-&quot;??_);_(@_)">
                  <c:v>1201.79</c:v>
                </c:pt>
                <c:pt idx="7" formatCode="_(* #,##0.00_);_(* \(#,##0.00\);_(* &quot;-&quot;??_);_(@_)">
                  <c:v>891.63</c:v>
                </c:pt>
                <c:pt idx="8" formatCode="_(* #,##0.00_);_(* \(#,##0.00\);_(* &quot;-&quot;??_);_(@_)">
                  <c:v>442.66999999999996</c:v>
                </c:pt>
                <c:pt idx="9" formatCode="_(* #,##0.00_);_(* \(#,##0.00\);_(* &quot;-&quot;??_);_(@_)">
                  <c:v>358.66999999999996</c:v>
                </c:pt>
                <c:pt idx="10" formatCode="_(* #,##0.00_);_(* \(#,##0.00\);_(* &quot;-&quot;??_);_(@_)">
                  <c:v>860.67</c:v>
                </c:pt>
                <c:pt idx="11" formatCode="_(* #,##0.00_);_(* \(#,##0.00\);_(* &quot;-&quot;??_);_(@_)">
                  <c:v>834</c:v>
                </c:pt>
              </c:numCache>
            </c:numRef>
          </c:val>
          <c:smooth val="0"/>
          <c:extLst>
            <c:ext xmlns:c16="http://schemas.microsoft.com/office/drawing/2014/chart" uri="{C3380CC4-5D6E-409C-BE32-E72D297353CC}">
              <c16:uniqueId val="{00000006-C0DA-4678-AB8E-D64ADBD5DF69}"/>
            </c:ext>
          </c:extLst>
        </c:ser>
        <c:ser>
          <c:idx val="7"/>
          <c:order val="7"/>
          <c:tx>
            <c:strRef>
              <c:f>SumInstallment!$A$26</c:f>
              <c:strCache>
                <c:ptCount val="1"/>
                <c:pt idx="0">
                  <c:v>The1-Credit</c:v>
                </c:pt>
              </c:strCache>
            </c:strRef>
          </c:tx>
          <c:spPr>
            <a:ln w="28575" cap="rnd">
              <a:solidFill>
                <a:schemeClr val="accent2">
                  <a:lumMod val="60000"/>
                </a:schemeClr>
              </a:solidFill>
              <a:round/>
            </a:ln>
            <a:effectLst/>
          </c:spPr>
          <c:marker>
            <c:symbol val="none"/>
          </c:marker>
          <c:cat>
            <c:strRef>
              <c:extLst>
                <c:ext xmlns:c15="http://schemas.microsoft.com/office/drawing/2012/chart" uri="{02D57815-91ED-43cb-92C2-25804820EDAC}">
                  <c15:fullRef>
                    <c15:sqref>SumInstallment!$B$18:$O$18</c15:sqref>
                  </c15:fullRef>
                </c:ext>
              </c:extLst>
              <c:f>SumInstallment!$D$18:$O$18</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extLst>
                <c:ext xmlns:c15="http://schemas.microsoft.com/office/drawing/2012/chart" uri="{02D57815-91ED-43cb-92C2-25804820EDAC}">
                  <c15:fullRef>
                    <c15:sqref>SumInstallment!$B$26:$O$26</c15:sqref>
                  </c15:fullRef>
                </c:ext>
              </c:extLst>
              <c:f>SumInstallment!$D$26:$O$26</c:f>
              <c:numCache>
                <c:formatCode>General</c:formatCode>
                <c:ptCount val="12"/>
                <c:pt idx="3" formatCode="_(* #,##0.00_);_(* \(#,##0.00\);_(* &quot;-&quot;??_);_(@_)">
                  <c:v>1928.9750000000001</c:v>
                </c:pt>
                <c:pt idx="4" formatCode="_(* #,##0.00_);_(* \(#,##0.00\);_(* &quot;-&quot;??_);_(@_)">
                  <c:v>3608.9450000000002</c:v>
                </c:pt>
                <c:pt idx="5" formatCode="_(* #,##0.00_);_(* \(#,##0.00\);_(* &quot;-&quot;??_);_(@_)">
                  <c:v>4013.5</c:v>
                </c:pt>
                <c:pt idx="6" formatCode="_(* #,##0.00_);_(* \(#,##0.00\);_(* &quot;-&quot;??_);_(@_)">
                  <c:v>1652</c:v>
                </c:pt>
                <c:pt idx="7" formatCode="_(* #,##0.00_);_(* \(#,##0.00\);_(* &quot;-&quot;??_);_(@_)">
                  <c:v>934</c:v>
                </c:pt>
                <c:pt idx="8" formatCode="_(* #,##0.00_);_(* \(#,##0.00\);_(* &quot;-&quot;??_);_(@_)">
                  <c:v>538</c:v>
                </c:pt>
                <c:pt idx="9" formatCode="_(* #,##0.00_);_(* \(#,##0.00\);_(* &quot;-&quot;??_);_(@_)">
                  <c:v>622.52</c:v>
                </c:pt>
                <c:pt idx="10" formatCode="_(* #,##0.00_);_(* \(#,##0.00\);_(* &quot;-&quot;??_);_(@_)">
                  <c:v>3040</c:v>
                </c:pt>
                <c:pt idx="11" formatCode="_(* #,##0.00_);_(* \(#,##0.00\);_(* &quot;-&quot;??_);_(@_)">
                  <c:v>978.61</c:v>
                </c:pt>
              </c:numCache>
            </c:numRef>
          </c:val>
          <c:smooth val="0"/>
          <c:extLst>
            <c:ext xmlns:c16="http://schemas.microsoft.com/office/drawing/2014/chart" uri="{C3380CC4-5D6E-409C-BE32-E72D297353CC}">
              <c16:uniqueId val="{00000003-E0B1-4F5F-8236-9CC9A2FDD955}"/>
            </c:ext>
          </c:extLst>
        </c:ser>
        <c:dLbls>
          <c:showLegendKey val="0"/>
          <c:showVal val="0"/>
          <c:showCatName val="0"/>
          <c:showSerName val="0"/>
          <c:showPercent val="0"/>
          <c:showBubbleSize val="0"/>
        </c:dLbls>
        <c:marker val="1"/>
        <c:smooth val="0"/>
        <c:axId val="860693663"/>
        <c:axId val="860694079"/>
      </c:lineChart>
      <c:catAx>
        <c:axId val="86069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94079"/>
        <c:crosses val="autoZero"/>
        <c:auto val="1"/>
        <c:lblAlgn val="ctr"/>
        <c:lblOffset val="100"/>
        <c:noMultiLvlLbl val="0"/>
      </c:catAx>
      <c:valAx>
        <c:axId val="86069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93663"/>
        <c:crosses val="autoZero"/>
        <c:crossBetween val="between"/>
      </c:valAx>
      <c:spPr>
        <a:noFill/>
        <a:ln>
          <a:noFill/>
        </a:ln>
        <a:effectLst/>
      </c:spPr>
    </c:plotArea>
    <c:legend>
      <c:legendPos val="b"/>
      <c:layout>
        <c:manualLayout>
          <c:xMode val="edge"/>
          <c:yMode val="edge"/>
          <c:x val="0.05"/>
          <c:y val="0.91026026797550852"/>
          <c:w val="0.9"/>
          <c:h val="6.62470840145850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1</xdr:row>
      <xdr:rowOff>175259</xdr:rowOff>
    </xdr:from>
    <xdr:to>
      <xdr:col>0</xdr:col>
      <xdr:colOff>1924050</xdr:colOff>
      <xdr:row>13</xdr:row>
      <xdr:rowOff>38100</xdr:rowOff>
    </xdr:to>
    <mc:AlternateContent xmlns:mc="http://schemas.openxmlformats.org/markup-compatibility/2006" xmlns:a14="http://schemas.microsoft.com/office/drawing/2010/main">
      <mc:Choice Requires="a14">
        <xdr:graphicFrame macro="">
          <xdr:nvGraphicFramePr>
            <xdr:cNvPr id="2" name="Due Date (Year) 1">
              <a:extLst>
                <a:ext uri="{FF2B5EF4-FFF2-40B4-BE49-F238E27FC236}">
                  <a16:creationId xmlns:a16="http://schemas.microsoft.com/office/drawing/2014/main" id="{A879788E-738D-9EBB-E079-6DAA4CD76961}"/>
                </a:ext>
              </a:extLst>
            </xdr:cNvPr>
            <xdr:cNvGraphicFramePr/>
          </xdr:nvGraphicFramePr>
          <xdr:xfrm>
            <a:off x="0" y="0"/>
            <a:ext cx="0" cy="0"/>
          </xdr:xfrm>
          <a:graphic>
            <a:graphicData uri="http://schemas.microsoft.com/office/drawing/2010/slicer">
              <sle:slicer xmlns:sle="http://schemas.microsoft.com/office/drawing/2010/slicer" name="Due Date (Year) 1"/>
            </a:graphicData>
          </a:graphic>
        </xdr:graphicFrame>
      </mc:Choice>
      <mc:Fallback xmlns="">
        <xdr:sp macro="" textlink="">
          <xdr:nvSpPr>
            <xdr:cNvPr id="0" name=""/>
            <xdr:cNvSpPr>
              <a:spLocks noTextEdit="1"/>
            </xdr:cNvSpPr>
          </xdr:nvSpPr>
          <xdr:spPr>
            <a:xfrm>
              <a:off x="99060" y="358140"/>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175261</xdr:rowOff>
    </xdr:from>
    <xdr:to>
      <xdr:col>0</xdr:col>
      <xdr:colOff>1828800</xdr:colOff>
      <xdr:row>11</xdr:row>
      <xdr:rowOff>66675</xdr:rowOff>
    </xdr:to>
    <mc:AlternateContent xmlns:mc="http://schemas.openxmlformats.org/markup-compatibility/2006" xmlns:a14="http://schemas.microsoft.com/office/drawing/2010/main">
      <mc:Choice Requires="a14">
        <xdr:graphicFrame macro="">
          <xdr:nvGraphicFramePr>
            <xdr:cNvPr id="3" name="Due Date (Year) 2">
              <a:extLst>
                <a:ext uri="{FF2B5EF4-FFF2-40B4-BE49-F238E27FC236}">
                  <a16:creationId xmlns:a16="http://schemas.microsoft.com/office/drawing/2014/main" id="{88CD7FBE-CF0F-A653-9BC4-D01F24954099}"/>
                </a:ext>
              </a:extLst>
            </xdr:cNvPr>
            <xdr:cNvGraphicFramePr/>
          </xdr:nvGraphicFramePr>
          <xdr:xfrm>
            <a:off x="0" y="0"/>
            <a:ext cx="0" cy="0"/>
          </xdr:xfrm>
          <a:graphic>
            <a:graphicData uri="http://schemas.microsoft.com/office/drawing/2010/slicer">
              <sle:slicer xmlns:sle="http://schemas.microsoft.com/office/drawing/2010/slicer" name="Due Date (Year) 2"/>
            </a:graphicData>
          </a:graphic>
        </xdr:graphicFrame>
      </mc:Choice>
      <mc:Fallback xmlns="">
        <xdr:sp macro="" textlink="">
          <xdr:nvSpPr>
            <xdr:cNvPr id="0" name=""/>
            <xdr:cNvSpPr>
              <a:spLocks noTextEdit="1"/>
            </xdr:cNvSpPr>
          </xdr:nvSpPr>
          <xdr:spPr>
            <a:xfrm>
              <a:off x="0" y="541021"/>
              <a:ext cx="18288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175261</xdr:rowOff>
    </xdr:from>
    <xdr:to>
      <xdr:col>0</xdr:col>
      <xdr:colOff>1828800</xdr:colOff>
      <xdr:row>11</xdr:row>
      <xdr:rowOff>0</xdr:rowOff>
    </xdr:to>
    <mc:AlternateContent xmlns:mc="http://schemas.openxmlformats.org/markup-compatibility/2006" xmlns:a14="http://schemas.microsoft.com/office/drawing/2010/main">
      <mc:Choice Requires="a14">
        <xdr:graphicFrame macro="">
          <xdr:nvGraphicFramePr>
            <xdr:cNvPr id="2" name="Due Date (Year) 4">
              <a:extLst>
                <a:ext uri="{FF2B5EF4-FFF2-40B4-BE49-F238E27FC236}">
                  <a16:creationId xmlns:a16="http://schemas.microsoft.com/office/drawing/2014/main" id="{0FF9EF20-E848-4143-9E8B-B9AE09A4F992}"/>
                </a:ext>
              </a:extLst>
            </xdr:cNvPr>
            <xdr:cNvGraphicFramePr/>
          </xdr:nvGraphicFramePr>
          <xdr:xfrm>
            <a:off x="0" y="0"/>
            <a:ext cx="0" cy="0"/>
          </xdr:xfrm>
          <a:graphic>
            <a:graphicData uri="http://schemas.microsoft.com/office/drawing/2010/slicer">
              <sle:slicer xmlns:sle="http://schemas.microsoft.com/office/drawing/2010/slicer" name="Due Date (Year) 4"/>
            </a:graphicData>
          </a:graphic>
        </xdr:graphicFrame>
      </mc:Choice>
      <mc:Fallback xmlns="">
        <xdr:sp macro="" textlink="">
          <xdr:nvSpPr>
            <xdr:cNvPr id="0" name=""/>
            <xdr:cNvSpPr>
              <a:spLocks noTextEdit="1"/>
            </xdr:cNvSpPr>
          </xdr:nvSpPr>
          <xdr:spPr>
            <a:xfrm>
              <a:off x="0" y="541021"/>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114300</xdr:colOff>
      <xdr:row>1</xdr:row>
      <xdr:rowOff>99060</xdr:rowOff>
    </xdr:from>
    <xdr:to>
      <xdr:col>0</xdr:col>
      <xdr:colOff>1943100</xdr:colOff>
      <xdr:row>10</xdr:row>
      <xdr:rowOff>114299</xdr:rowOff>
    </xdr:to>
    <mc:AlternateContent xmlns:mc="http://schemas.openxmlformats.org/markup-compatibility/2006" xmlns:a14="http://schemas.microsoft.com/office/drawing/2010/main">
      <mc:Choice Requires="a14">
        <xdr:graphicFrame macro="">
          <xdr:nvGraphicFramePr>
            <xdr:cNvPr id="2" name="Due Date (Year) 3">
              <a:extLst>
                <a:ext uri="{FF2B5EF4-FFF2-40B4-BE49-F238E27FC236}">
                  <a16:creationId xmlns:a16="http://schemas.microsoft.com/office/drawing/2014/main" id="{72F4F648-C900-834E-E037-A61C58872530}"/>
                </a:ext>
              </a:extLst>
            </xdr:cNvPr>
            <xdr:cNvGraphicFramePr/>
          </xdr:nvGraphicFramePr>
          <xdr:xfrm>
            <a:off x="0" y="0"/>
            <a:ext cx="0" cy="0"/>
          </xdr:xfrm>
          <a:graphic>
            <a:graphicData uri="http://schemas.microsoft.com/office/drawing/2010/slicer">
              <sle:slicer xmlns:sle="http://schemas.microsoft.com/office/drawing/2010/slicer" name="Due Date (Year) 3"/>
            </a:graphicData>
          </a:graphic>
        </xdr:graphicFrame>
      </mc:Choice>
      <mc:Fallback xmlns="">
        <xdr:sp macro="" textlink="">
          <xdr:nvSpPr>
            <xdr:cNvPr id="0" name=""/>
            <xdr:cNvSpPr>
              <a:spLocks noTextEdit="1"/>
            </xdr:cNvSpPr>
          </xdr:nvSpPr>
          <xdr:spPr>
            <a:xfrm>
              <a:off x="114300" y="28194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25541</xdr:colOff>
      <xdr:row>18</xdr:row>
      <xdr:rowOff>156212</xdr:rowOff>
    </xdr:from>
    <xdr:to>
      <xdr:col>0</xdr:col>
      <xdr:colOff>2124851</xdr:colOff>
      <xdr:row>26</xdr:row>
      <xdr:rowOff>9526</xdr:rowOff>
    </xdr:to>
    <mc:AlternateContent xmlns:mc="http://schemas.openxmlformats.org/markup-compatibility/2006" xmlns:a14="http://schemas.microsoft.com/office/drawing/2010/main">
      <mc:Choice Requires="a14">
        <xdr:graphicFrame macro="">
          <xdr:nvGraphicFramePr>
            <xdr:cNvPr id="2" name="App Payment">
              <a:extLst>
                <a:ext uri="{FF2B5EF4-FFF2-40B4-BE49-F238E27FC236}">
                  <a16:creationId xmlns:a16="http://schemas.microsoft.com/office/drawing/2014/main" id="{5FA63961-0008-6798-5078-DEB633BDF3BB}"/>
                </a:ext>
              </a:extLst>
            </xdr:cNvPr>
            <xdr:cNvGraphicFramePr/>
          </xdr:nvGraphicFramePr>
          <xdr:xfrm>
            <a:off x="0" y="0"/>
            <a:ext cx="0" cy="0"/>
          </xdr:xfrm>
          <a:graphic>
            <a:graphicData uri="http://schemas.microsoft.com/office/drawing/2010/slicer">
              <sle:slicer xmlns:sle="http://schemas.microsoft.com/office/drawing/2010/slicer" name="App Payment"/>
            </a:graphicData>
          </a:graphic>
        </xdr:graphicFrame>
      </mc:Choice>
      <mc:Fallback xmlns="">
        <xdr:sp macro="" textlink="">
          <xdr:nvSpPr>
            <xdr:cNvPr id="0" name=""/>
            <xdr:cNvSpPr>
              <a:spLocks noTextEdit="1"/>
            </xdr:cNvSpPr>
          </xdr:nvSpPr>
          <xdr:spPr>
            <a:xfrm>
              <a:off x="25541" y="3712212"/>
              <a:ext cx="2099310" cy="1433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0</xdr:row>
      <xdr:rowOff>171450</xdr:rowOff>
    </xdr:from>
    <xdr:to>
      <xdr:col>0</xdr:col>
      <xdr:colOff>2148840</xdr:colOff>
      <xdr:row>8</xdr:row>
      <xdr:rowOff>133349</xdr:rowOff>
    </xdr:to>
    <mc:AlternateContent xmlns:mc="http://schemas.openxmlformats.org/markup-compatibility/2006" xmlns:a14="http://schemas.microsoft.com/office/drawing/2010/main">
      <mc:Choice Requires="a14">
        <xdr:graphicFrame macro="">
          <xdr:nvGraphicFramePr>
            <xdr:cNvPr id="3" name="Due Date (Year)">
              <a:extLst>
                <a:ext uri="{FF2B5EF4-FFF2-40B4-BE49-F238E27FC236}">
                  <a16:creationId xmlns:a16="http://schemas.microsoft.com/office/drawing/2014/main" id="{ED7F21B6-2AE9-C66E-1681-5409DC106CC5}"/>
                </a:ext>
              </a:extLst>
            </xdr:cNvPr>
            <xdr:cNvGraphicFramePr/>
          </xdr:nvGraphicFramePr>
          <xdr:xfrm>
            <a:off x="0" y="0"/>
            <a:ext cx="0" cy="0"/>
          </xdr:xfrm>
          <a:graphic>
            <a:graphicData uri="http://schemas.microsoft.com/office/drawing/2010/slicer">
              <sle:slicer xmlns:sle="http://schemas.microsoft.com/office/drawing/2010/slicer" name="Due Date (Year)"/>
            </a:graphicData>
          </a:graphic>
        </xdr:graphicFrame>
      </mc:Choice>
      <mc:Fallback xmlns="">
        <xdr:sp macro="" textlink="">
          <xdr:nvSpPr>
            <xdr:cNvPr id="0" name=""/>
            <xdr:cNvSpPr>
              <a:spLocks noTextEdit="1"/>
            </xdr:cNvSpPr>
          </xdr:nvSpPr>
          <xdr:spPr>
            <a:xfrm>
              <a:off x="68580" y="171450"/>
              <a:ext cx="2072640" cy="1565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2362200</xdr:colOff>
      <xdr:row>0</xdr:row>
      <xdr:rowOff>193181</xdr:rowOff>
    </xdr:from>
    <xdr:to>
      <xdr:col>0</xdr:col>
      <xdr:colOff>4311015</xdr:colOff>
      <xdr:row>19</xdr:row>
      <xdr:rowOff>128411</xdr:rowOff>
    </xdr:to>
    <mc:AlternateContent xmlns:mc="http://schemas.openxmlformats.org/markup-compatibility/2006" xmlns:a14="http://schemas.microsoft.com/office/drawing/2010/main">
      <mc:Choice Requires="a14">
        <xdr:graphicFrame macro="">
          <xdr:nvGraphicFramePr>
            <xdr:cNvPr id="4" name="Due Date (Month)">
              <a:extLst>
                <a:ext uri="{FF2B5EF4-FFF2-40B4-BE49-F238E27FC236}">
                  <a16:creationId xmlns:a16="http://schemas.microsoft.com/office/drawing/2014/main" id="{0F4FEFD2-C5F4-B8A3-4157-8BFFF5F7E4F8}"/>
                </a:ext>
              </a:extLst>
            </xdr:cNvPr>
            <xdr:cNvGraphicFramePr/>
          </xdr:nvGraphicFramePr>
          <xdr:xfrm>
            <a:off x="0" y="0"/>
            <a:ext cx="0" cy="0"/>
          </xdr:xfrm>
          <a:graphic>
            <a:graphicData uri="http://schemas.microsoft.com/office/drawing/2010/slicer">
              <sle:slicer xmlns:sle="http://schemas.microsoft.com/office/drawing/2010/slicer" name="Due Date (Month)"/>
            </a:graphicData>
          </a:graphic>
        </xdr:graphicFrame>
      </mc:Choice>
      <mc:Fallback xmlns="">
        <xdr:sp macro="" textlink="">
          <xdr:nvSpPr>
            <xdr:cNvPr id="0" name=""/>
            <xdr:cNvSpPr>
              <a:spLocks noTextEdit="1"/>
            </xdr:cNvSpPr>
          </xdr:nvSpPr>
          <xdr:spPr>
            <a:xfrm>
              <a:off x="2362200" y="193181"/>
              <a:ext cx="1948815" cy="3688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10</xdr:row>
      <xdr:rowOff>28576</xdr:rowOff>
    </xdr:from>
    <xdr:to>
      <xdr:col>0</xdr:col>
      <xdr:colOff>2148840</xdr:colOff>
      <xdr:row>17</xdr:row>
      <xdr:rowOff>148591</xdr:rowOff>
    </xdr:to>
    <mc:AlternateContent xmlns:mc="http://schemas.openxmlformats.org/markup-compatibility/2006" xmlns:a14="http://schemas.microsoft.com/office/drawing/2010/main">
      <mc:Choice Requires="a14">
        <xdr:graphicFrame macro="">
          <xdr:nvGraphicFramePr>
            <xdr:cNvPr id="5" name="Payment_Code">
              <a:extLst>
                <a:ext uri="{FF2B5EF4-FFF2-40B4-BE49-F238E27FC236}">
                  <a16:creationId xmlns:a16="http://schemas.microsoft.com/office/drawing/2014/main" id="{7DD0E175-7475-B757-AEE9-69FC8BF6F807}"/>
                </a:ext>
              </a:extLst>
            </xdr:cNvPr>
            <xdr:cNvGraphicFramePr/>
          </xdr:nvGraphicFramePr>
          <xdr:xfrm>
            <a:off x="0" y="0"/>
            <a:ext cx="0" cy="0"/>
          </xdr:xfrm>
          <a:graphic>
            <a:graphicData uri="http://schemas.microsoft.com/office/drawing/2010/slicer">
              <sle:slicer xmlns:sle="http://schemas.microsoft.com/office/drawing/2010/slicer" name="Payment_Code"/>
            </a:graphicData>
          </a:graphic>
        </xdr:graphicFrame>
      </mc:Choice>
      <mc:Fallback xmlns="">
        <xdr:sp macro="" textlink="">
          <xdr:nvSpPr>
            <xdr:cNvPr id="0" name=""/>
            <xdr:cNvSpPr>
              <a:spLocks noTextEdit="1"/>
            </xdr:cNvSpPr>
          </xdr:nvSpPr>
          <xdr:spPr>
            <a:xfrm>
              <a:off x="68580" y="1857376"/>
              <a:ext cx="2084070" cy="1518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914400</xdr:colOff>
      <xdr:row>28</xdr:row>
      <xdr:rowOff>163830</xdr:rowOff>
    </xdr:from>
    <xdr:to>
      <xdr:col>11</xdr:col>
      <xdr:colOff>678180</xdr:colOff>
      <xdr:row>44</xdr:row>
      <xdr:rowOff>30480</xdr:rowOff>
    </xdr:to>
    <xdr:graphicFrame macro="">
      <xdr:nvGraphicFramePr>
        <xdr:cNvPr id="2" name="Chart 1">
          <a:extLst>
            <a:ext uri="{FF2B5EF4-FFF2-40B4-BE49-F238E27FC236}">
              <a16:creationId xmlns:a16="http://schemas.microsoft.com/office/drawing/2014/main" id="{43149646-A43B-A25C-B878-E668BD9EF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67476849" createdVersion="5" refreshedVersion="8" minRefreshableVersion="3" recordCount="0" supportSubquery="1" supportAdvancedDrill="1" xr:uid="{282E955D-2C23-4628-9878-3C5F663591E9}">
  <cacheSource type="external" connectionId="2"/>
  <cacheFields count="6">
    <cacheField name="[My_Payment].[Due Date (Month)].[Due Date (Month)]" caption="Due Date (Month)" numFmtId="0" hierarchy="15" level="1">
      <sharedItems count="12">
        <s v="Jan"/>
        <s v="Feb"/>
        <s v="Mar"/>
        <s v="Apr"/>
        <s v="May"/>
        <s v="Jun"/>
        <s v="Jul"/>
        <s v="Aug"/>
        <s v="Sep"/>
        <s v="Oct"/>
        <s v="Nov"/>
        <s v="Dec"/>
      </sharedItems>
    </cacheField>
    <cacheField name="[My_Payment].[Due Date (Year)].[Due Date (Year)]" caption="Due Date (Year)" numFmtId="0" hierarchy="13" level="1">
      <sharedItems containsSemiMixedTypes="0" containsNonDate="0" containsString="0"/>
    </cacheField>
    <cacheField name="[My_Payment].[Credit Card].[Credit Card]" caption="Credit Card" numFmtId="0" hierarchy="1" level="1">
      <sharedItems count="14">
        <s v="Aeon Big C Platinum Visa"/>
        <s v="Cash"/>
        <s v="Central The 1 REDZ Credit Card"/>
        <s v="Hompro Visa Platinum"/>
        <s v="KBANK Master Card Titanium"/>
        <s v="KBANK Shoppe Credit Card"/>
        <s v="KTC-ROP Platinum Master Card"/>
        <s v="SpayLeter"/>
        <s v="UOB Cash Plus"/>
        <s v="UOB One VISA"/>
        <s v="Aeon M GEN Visa" u="1"/>
        <s v="City Bank Ready Credit" u="1"/>
        <s v="Pay Next" u="1"/>
        <s v="KKP Start Saving" u="1"/>
      </sharedItems>
    </cacheField>
    <cacheField name="[Measures].[Sum of Total AMT]" caption="Sum of Total AMT" numFmtId="0" hierarchy="20" level="32767"/>
    <cacheField name="[My_Payment].[Payment_Code].[Payment_Code]" caption="Payment_Code" numFmtId="0" hierarchy="6" level="1">
      <sharedItems containsNonDate="0" count="1">
        <s v="S"/>
      </sharedItems>
    </cacheField>
    <cacheField name="[My_Payment].[Detail].[Detail]" caption="Detail" numFmtId="0" hierarchy="3" level="1">
      <sharedItems count="5">
        <s v="AKA-Central Westville"/>
        <s v="AKA-Seacon Bangkae"/>
        <s v="AKA-The Mall Bangkae"/>
        <s v="BONCHON -The Mall Bangkae"/>
        <s v="KTAXA Smart Pro 508-2296236"/>
      </sharedItems>
    </cacheField>
  </cacheFields>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2" memberValueDatatype="130" unbalanced="0">
      <fieldsUsage count="2">
        <fieldUsage x="-1"/>
        <fieldUsage x="2"/>
      </fieldsUsage>
    </cacheHierarchy>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2" memberValueDatatype="130" unbalanced="0">
      <fieldsUsage count="2">
        <fieldUsage x="-1"/>
        <fieldUsage x="5"/>
      </fieldsUsage>
    </cacheHierarchy>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2" memberValueDatatype="130" unbalanced="0">
      <fieldsUsage count="2">
        <fieldUsage x="-1"/>
        <fieldUsage x="4"/>
      </fieldsUsage>
    </cacheHierarchy>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fieldsUsage count="2">
        <fieldUsage x="-1"/>
        <fieldUsage x="1"/>
      </fieldsUsage>
    </cacheHierarchy>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2" memberValueDatatype="130" unbalanced="0">
      <fieldsUsage count="2">
        <fieldUsage x="-1"/>
        <fieldUsage x="0"/>
      </fieldsUsage>
    </cacheHierarchy>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hidden="1">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My_Payment" uniqueName="[My_Payment]" caption="My_Payment"/>
  </dimensions>
  <measureGroups count="1">
    <measureGroup name="My_Payment" caption="My_Paym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69560188" createdVersion="5" refreshedVersion="8" minRefreshableVersion="3" recordCount="0" supportSubquery="1" supportAdvancedDrill="1" xr:uid="{D26FB315-8498-4B19-9416-06AE83B6C2B4}">
  <cacheSource type="external" connectionId="2"/>
  <cacheFields count="6">
    <cacheField name="[My_Payment].[Due Date (Month)].[Due Date (Month)]" caption="Due Date (Month)" numFmtId="0" hierarchy="15" level="1">
      <sharedItems count="12">
        <s v="Jan"/>
        <s v="Feb"/>
        <s v="Mar"/>
        <s v="Apr"/>
        <s v="May"/>
        <s v="Jun"/>
        <s v="Jul"/>
        <s v="Aug"/>
        <s v="Sep"/>
        <s v="Oct"/>
        <s v="Nov"/>
        <s v="Dec"/>
      </sharedItems>
    </cacheField>
    <cacheField name="[My_Payment].[Due Date (Year)].[Due Date (Year)]" caption="Due Date (Year)" numFmtId="0" hierarchy="13" level="1">
      <sharedItems containsSemiMixedTypes="0" containsNonDate="0" containsString="0"/>
    </cacheField>
    <cacheField name="[My_Payment].[Credit Card].[Credit Card]" caption="Credit Card" numFmtId="0" hierarchy="1" level="1">
      <sharedItems containsBlank="1" count="11">
        <m/>
        <s v="Aeon Big C Platinum Visa"/>
        <s v="Cash"/>
        <s v="Central The 1 REDZ Credit Card"/>
        <s v="Hompro Visa Platinum"/>
        <s v="KBANK Master Card Titanium"/>
        <s v="KBANK Shoppe Credit Card"/>
        <s v="KTC-ROP Platinum Master Card"/>
        <s v="SpayLeter"/>
        <s v="UOB Cash Plus"/>
        <s v="UOB One VISA"/>
      </sharedItems>
    </cacheField>
    <cacheField name="[My_Payment].[Payment_Code].[Payment_Code]" caption="Payment_Code" numFmtId="0" hierarchy="6" level="1">
      <sharedItems containsSemiMixedTypes="0" containsNonDate="0" containsString="0"/>
    </cacheField>
    <cacheField name="[My_Payment].[Detail].[Detail]" caption="Detail" numFmtId="0" hierarchy="3" level="1">
      <sharedItems count="2">
        <s v="AIS Disney hotstar plus"/>
        <s v="Youtube premium family package"/>
      </sharedItems>
    </cacheField>
    <cacheField name="[Measures].[Sum of NC_AMT]" caption="Sum of NC_AMT" numFmtId="0" hierarchy="22" level="32767"/>
  </cacheFields>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2" memberValueDatatype="130" unbalanced="0">
      <fieldsUsage count="2">
        <fieldUsage x="-1"/>
        <fieldUsage x="2"/>
      </fieldsUsage>
    </cacheHierarchy>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2" memberValueDatatype="130" unbalanced="0">
      <fieldsUsage count="2">
        <fieldUsage x="-1"/>
        <fieldUsage x="4"/>
      </fieldsUsage>
    </cacheHierarchy>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2" memberValueDatatype="130" unbalanced="0">
      <fieldsUsage count="2">
        <fieldUsage x="-1"/>
        <fieldUsage x="3"/>
      </fieldsUsage>
    </cacheHierarchy>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fieldsUsage count="2">
        <fieldUsage x="-1"/>
        <fieldUsage x="1"/>
      </fieldsUsage>
    </cacheHierarchy>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2" memberValueDatatype="130" unbalanced="0">
      <fieldsUsage count="2">
        <fieldUsage x="-1"/>
        <fieldUsage x="0"/>
      </fieldsUsage>
    </cacheHierarchy>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hidden="1">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oneField="1" hidden="1">
      <fieldsUsage count="1">
        <fieldUsage x="5"/>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My_Payment" uniqueName="[My_Payment]" caption="My_Payment"/>
  </dimensions>
  <measureGroups count="1">
    <measureGroup name="My_Payment" caption="My_Paym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71874998" createdVersion="5" refreshedVersion="8" minRefreshableVersion="3" recordCount="0" supportSubquery="1" supportAdvancedDrill="1" xr:uid="{C4EA6D2F-6989-4089-97E5-E5B0ACF8D3F0}">
  <cacheSource type="external" connectionId="2"/>
  <cacheFields count="5">
    <cacheField name="[My_Payment].[Due Date (Month)].[Due Date (Month)]" caption="Due Date (Month)" numFmtId="0" hierarchy="15" level="1">
      <sharedItems count="12">
        <s v="Jan"/>
        <s v="Feb"/>
        <s v="Mar"/>
        <s v="Apr"/>
        <s v="May"/>
        <s v="Jun"/>
        <s v="Jul"/>
        <s v="Aug"/>
        <s v="Sep"/>
        <s v="Oct"/>
        <s v="Nov"/>
        <s v="Dec"/>
      </sharedItems>
    </cacheField>
    <cacheField name="[Measures].[Sum of PK_AMT]" caption="Sum of PK_AMT" numFmtId="0" hierarchy="21" level="32767"/>
    <cacheField name="[My_Payment].[Detail].[Detail]" caption="Detail" numFmtId="0" hierarchy="3" level="1">
      <sharedItems count="14">
        <s v="AIS Disney hotstar plus"/>
        <s v="AWN-Iphone 16 pro max"/>
        <s v="COM7 PLC-McBook Air M4"/>
        <s v="Gigabyte 4070 Ti Aero 12 GB"/>
        <s v="Microsoft 365 personal 1 Year"/>
        <s v="Modern Optical"/>
        <s v="POWER MALL-Themall- Hier"/>
        <s v="Saint Seiya Nextdimension Vol.12"/>
        <s v="Saint Seiya Nextdimension Vol.13"/>
        <s v="Samsung Odyssee G5"/>
        <s v="Welcare 3D Blue Line"/>
        <s v="Youtube premium family package"/>
        <s v="Yued Pao-Mall"/>
        <s v="ครีม Swiss Lab"/>
      </sharedItems>
    </cacheField>
    <cacheField name="[My_Payment].[Inst.Period].[Inst.Period]" caption="Inst.Period" numFmtId="0" hierarchy="4" level="1">
      <sharedItems containsSemiMixedTypes="0" containsNonDate="0" containsString="0"/>
    </cacheField>
    <cacheField name="[My_Payment].[Due Date (Year)].[Due Date (Year)]" caption="Due Date (Year)" numFmtId="0" hierarchy="13" level="1">
      <sharedItems containsSemiMixedTypes="0" containsNonDate="0" containsString="0"/>
    </cacheField>
  </cacheFields>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0" memberValueDatatype="130" unbalanced="0"/>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2" memberValueDatatype="130" unbalanced="0">
      <fieldsUsage count="2">
        <fieldUsage x="-1"/>
        <fieldUsage x="2"/>
      </fieldsUsage>
    </cacheHierarchy>
    <cacheHierarchy uniqueName="[My_Payment].[Inst.Period]" caption="Inst.Period" attribute="1" defaultMemberUniqueName="[My_Payment].[Inst.Period].[All]" allUniqueName="[My_Payment].[Inst.Period].[All]" dimensionUniqueName="[My_Payment]" displayFolder="" count="2" memberValueDatatype="130" unbalanced="0">
      <fieldsUsage count="2">
        <fieldUsage x="-1"/>
        <fieldUsage x="3"/>
      </fieldsUsage>
    </cacheHierarchy>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0" memberValueDatatype="130" unbalanced="0"/>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fieldsUsage count="2">
        <fieldUsage x="-1"/>
        <fieldUsage x="4"/>
      </fieldsUsage>
    </cacheHierarchy>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2" memberValueDatatype="130" unbalanced="0">
      <fieldsUsage count="2">
        <fieldUsage x="-1"/>
        <fieldUsage x="0"/>
      </fieldsUsage>
    </cacheHierarchy>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My_Payment" uniqueName="[My_Payment]" caption="My_Payment"/>
  </dimensions>
  <measureGroups count="1">
    <measureGroup name="My_Payment" caption="My_Paym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456134259" createdVersion="5" refreshedVersion="8" minRefreshableVersion="3" recordCount="0" supportSubquery="1" supportAdvancedDrill="1" xr:uid="{B8EA734E-12FA-4B66-8B19-C219A7A30795}">
  <cacheSource type="external" connectionId="2"/>
  <cacheFields count="6">
    <cacheField name="[My_Payment].[Due Date (Month)].[Due Date (Month)]" caption="Due Date (Month)" numFmtId="0" hierarchy="15" level="1">
      <sharedItems count="12">
        <s v="Jan"/>
        <s v="Feb"/>
        <s v="Mar"/>
        <s v="Apr"/>
        <s v="May"/>
        <s v="Jun"/>
        <s v="Jul"/>
        <s v="Aug"/>
        <s v="Sep"/>
        <s v="Oct"/>
        <s v="Nov"/>
        <s v="Dec"/>
      </sharedItems>
    </cacheField>
    <cacheField name="[My_Payment].[Due Date (Year)].[Due Date (Year)]" caption="Due Date (Year)" numFmtId="0" hierarchy="13" level="1">
      <sharedItems containsSemiMixedTypes="0" containsNonDate="0" containsString="0"/>
    </cacheField>
    <cacheField name="[My_Payment].[Credit Card].[Credit Card]" caption="Credit Card" numFmtId="0" hierarchy="1" level="1">
      <sharedItems containsBlank="1" count="11">
        <m/>
        <s v="Aeon Big C Platinum Visa"/>
        <s v="Cash"/>
        <s v="Central The 1 REDZ Credit Card"/>
        <s v="Hompro Visa Platinum"/>
        <s v="KBANK Master Card Titanium"/>
        <s v="KBANK Shoppe Credit Card"/>
        <s v="KTC-ROP Platinum Master Card"/>
        <s v="SpayLeter"/>
        <s v="UOB Cash Plus"/>
        <s v="UOB One VISA"/>
      </sharedItems>
    </cacheField>
    <cacheField name="[My_Payment].[Payment_Code].[Payment_Code]" caption="Payment_Code" numFmtId="0" hierarchy="6" level="1">
      <sharedItems containsSemiMixedTypes="0" containsNonDate="0" containsString="0"/>
    </cacheField>
    <cacheField name="[Measures].[Sum of PK_AMT]" caption="Sum of PK_AMT" numFmtId="0" hierarchy="21" level="32767"/>
    <cacheField name="[My_Payment].[Detail].[Detail]" caption="Detail" numFmtId="0" hierarchy="3" level="1">
      <sharedItems count="14">
        <s v="Amezon"/>
        <s v="Balcony Ticket"/>
        <s v="Cash Back 1%"/>
        <s v="Cash Back 10% 5%"/>
        <s v="CB-001 ACQUI May 26 - Hier"/>
        <s v="Garrett Popcorn"/>
        <s v="Harborland The Mall bangkae"/>
        <s v="HCB00016-BK01 Bankgkok"/>
        <s v="MRT-BEM Bangkok"/>
        <s v="NewBalance-Central Westgate"/>
        <s v="POWER MALL-Themall- Hier"/>
        <s v="PTTST.C PHUTTHAMONTHON SAI3"/>
        <s v="The Mall Bangkae"/>
        <s v="UNIQLO-THE MALL BANGKAE"/>
      </sharedItems>
    </cacheField>
  </cacheFields>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2" memberValueDatatype="130" unbalanced="0">
      <fieldsUsage count="2">
        <fieldUsage x="-1"/>
        <fieldUsage x="2"/>
      </fieldsUsage>
    </cacheHierarchy>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2" memberValueDatatype="130" unbalanced="0">
      <fieldsUsage count="2">
        <fieldUsage x="-1"/>
        <fieldUsage x="5"/>
      </fieldsUsage>
    </cacheHierarchy>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2" memberValueDatatype="130" unbalanced="0">
      <fieldsUsage count="2">
        <fieldUsage x="-1"/>
        <fieldUsage x="3"/>
      </fieldsUsage>
    </cacheHierarchy>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fieldsUsage count="2">
        <fieldUsage x="-1"/>
        <fieldUsage x="1"/>
      </fieldsUsage>
    </cacheHierarchy>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2" memberValueDatatype="130" unbalanced="0">
      <fieldsUsage count="2">
        <fieldUsage x="-1"/>
        <fieldUsage x="0"/>
      </fieldsUsage>
    </cacheHierarchy>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My_Payment" uniqueName="[My_Payment]" caption="My_Payment"/>
  </dimensions>
  <measureGroups count="1">
    <measureGroup name="My_Payment" caption="My_Paym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6990046298" createdVersion="5" refreshedVersion="8" minRefreshableVersion="3" recordCount="0" supportSubquery="1" supportAdvancedDrill="1" xr:uid="{B78C6C54-EFE8-478F-AEF9-1772AFCA4E53}">
  <cacheSource type="external" connectionId="2"/>
  <cacheFields count="10">
    <cacheField name="[My_Payment].[Credit Card].[Credit Card]" caption="Credit Card" numFmtId="0" hierarchy="1" level="1">
      <sharedItems count="10">
        <s v="Aeon Big C Platinum Visa"/>
        <s v="Cash"/>
        <s v="Central The 1 REDZ Credit Card"/>
        <s v="Hompro Visa Platinum"/>
        <s v="KBANK Master Card Titanium"/>
        <s v="KBANK Shoppe Credit Card"/>
        <s v="KTC-ROP Platinum Master Card"/>
        <s v="SpayLeter"/>
        <s v="UOB Cash Plus"/>
        <s v="UOB One VISA"/>
      </sharedItems>
    </cacheField>
    <cacheField name="[My_Payment].[Date].[Date]" caption="Date" numFmtId="0" level="1">
      <sharedItems containsSemiMixedTypes="0" containsNonDate="0" containsDate="1" containsString="0" minDate="2022-12-12T00:00:00" maxDate="2026-07-02T00:00:00" count="23">
        <d v="2026-05-19T00:00:00"/>
        <d v="2026-07-01T00:00:00"/>
        <d v="2026-06-05T00:00:00"/>
        <d v="2026-06-28T00:00:00"/>
        <d v="2026-05-25T00:00:00"/>
        <d v="2026-05-29T00:00:00"/>
        <d v="2026-05-30T00:00:00"/>
        <d v="2026-06-12T00:00:00"/>
        <d v="2026-06-13T00:00:00"/>
        <d v="2026-05-18T00:00:00"/>
        <d v="2026-05-20T00:00:00"/>
        <d v="2026-06-17T00:00:00"/>
        <d v="2026-06-15T00:00:00"/>
        <d v="2026-06-24T00:00:00"/>
        <d v="2026-06-07T00:00:00"/>
        <d v="2026-05-14T00:00:00"/>
        <d v="2026-05-15T00:00:00"/>
        <d v="2026-06-02T00:00:00"/>
        <d v="2026-06-04T00:00:00"/>
        <d v="2026-06-08T00:00:00"/>
        <d v="2022-12-12T00:00:00" u="1"/>
        <d v="2022-12-31T00:00:00" u="1"/>
        <d v="2022-12-18T00:00:00" u="1"/>
      </sharedItems>
    </cacheField>
    <cacheField name="[My_Payment].[Detail].[Detail]" caption="Detail" numFmtId="0" hierarchy="3" level="1">
      <sharedItems count="33">
        <s v="BIG C-PETCHKASEM 2"/>
        <s v="AIS Disney hotstar plus"/>
        <s v="Youtube premium family package"/>
        <s v="Google One"/>
        <s v="NETFLIX"/>
        <s v="XSOLLA/Netmable H. Sevenknight"/>
        <s v="M.K. Suki-Seacon Bangkok"/>
        <s v="UNIQLO-Seacon Bangkae"/>
        <s v="BONCHON -The Mall Bangkae"/>
        <s v="BONCHON -The Mall Bangkae-Jib"/>
        <s v="BONCHON -The Mall Bangkae-P'Bom"/>
        <s v="True MoveH-0838806238"/>
        <s v="True Online-9605716975"/>
        <s v="True Vision-139380656"/>
        <s v="Cash Back"/>
        <s v="Samsung Odyssee G5"/>
        <s v="KTAXA Smart Pro 508-2296236"/>
        <s v="Saint Seiya Nextdimension Vol.13"/>
        <s v="ครีม Swiss Lab"/>
        <s v="ShopeePay Order VIP"/>
        <s v="Welcare 3D Blue Line"/>
        <s v="AWN-Iphone 16 pro max"/>
        <s v="COM7 PLC-McBook Air M4"/>
        <s v="Amezon"/>
        <s v="CB-001 ACQUI May 26 - Hier"/>
        <s v="MRT-BEM Bangkok"/>
        <s v="Cash Back 10% 5%"/>
        <s v="HCB00016-BK01 Bankgkok"/>
        <s v="Cash Back 1%"/>
        <s v="POWER MALL-Themall- Hier"/>
        <s v="Shinkanzen-Seacon Bangkae" u="1"/>
        <s v="MR.DIY-Seacon Bangkae" u="1"/>
        <s v="THE PIZZA Company-Victoria Gardens" u="1"/>
      </sharedItems>
    </cacheField>
    <cacheField name="[My_Payment].[Inst.Period].[Inst.Period]" caption="Inst.Period" numFmtId="0" hierarchy="4" level="1">
      <sharedItems count="8">
        <s v="000/000"/>
        <s v="012/001"/>
        <s v="010/007"/>
        <s v="003/001"/>
        <s v="003/002"/>
        <s v="036/017"/>
        <s v="036/005"/>
        <s v="010/002"/>
      </sharedItems>
    </cacheField>
    <cacheField name="[My_Payment].[Due Date].[Due Date]" caption="Due Date" numFmtId="0" hierarchy="5" level="1">
      <sharedItems containsSemiMixedTypes="0" containsNonDate="0" containsDate="1" containsString="0" minDate="2023-02-02T00:00:00" maxDate="2026-07-26T00:00:00" count="9">
        <d v="2026-07-02T00:00:00"/>
        <d v="2026-07-25T00:00:00"/>
        <d v="2026-07-01T00:00:00"/>
        <d v="2026-07-22T00:00:00"/>
        <d v="2026-07-07T00:00:00"/>
        <d v="2026-07-05T00:00:00"/>
        <d v="2026-07-03T00:00:00"/>
        <d v="2023-02-02T00:00:00" u="1"/>
        <d v="2023-02-07T00:00:00" u="1"/>
      </sharedItems>
    </cacheField>
    <cacheField name="[Measures].[Sum of Total AMT]" caption="Sum of Total AMT" numFmtId="0" hierarchy="20" level="32767"/>
    <cacheField name="[Measures].[Sum of PK_AMT]" caption="Sum of PK_AMT" numFmtId="0" hierarchy="21" level="32767"/>
    <cacheField name="[Measures].[Sum of NC_AMT]" caption="Sum of NC_AMT" numFmtId="0" hierarchy="22" level="32767"/>
    <cacheField name="[My_Payment].[Due Date (Month)].[Due Date (Month)]" caption="Due Date (Month)" numFmtId="0" hierarchy="15" level="1">
      <sharedItems containsSemiMixedTypes="0" containsNonDate="0" containsString="0"/>
    </cacheField>
    <cacheField name="[My_Payment].[Due Date (Year)].[Due Date (Year)]" caption="Due Date (Year)" numFmtId="0" hierarchy="13" level="1">
      <sharedItems containsSemiMixedTypes="0" containsNonDate="0" containsString="0"/>
    </cacheField>
  </cacheFields>
  <cacheHierarchies count="23">
    <cacheHierarchy uniqueName="[My_Payment].[Date]" caption="Date" attribute="1" time="1" defaultMemberUniqueName="[My_Payment].[Date].[All]" allUniqueName="[My_Payment].[Date].[All]" dimensionUniqueName="[My_Payment]" displayFolder="" count="2" memberValueDatatype="7" unbalanced="0">
      <fieldsUsage count="2">
        <fieldUsage x="-1"/>
        <fieldUsage x="1"/>
      </fieldsUsage>
    </cacheHierarchy>
    <cacheHierarchy uniqueName="[My_Payment].[Credit Card]" caption="Credit Card" attribute="1" defaultMemberUniqueName="[My_Payment].[Credit Card].[All]" allUniqueName="[My_Payment].[Credit Card].[All]" dimensionUniqueName="[My_Payment]" displayFolder="" count="2" memberValueDatatype="130" unbalanced="0">
      <fieldsUsage count="2">
        <fieldUsage x="-1"/>
        <fieldUsage x="0"/>
      </fieldsUsage>
    </cacheHierarchy>
    <cacheHierarchy uniqueName="[My_Payment].[App Payment]" caption="App Payment" attribute="1" defaultMemberUniqueName="[My_Payment].[App Payment].[All]" allUniqueName="[My_Payment].[App Payment].[All]" dimensionUniqueName="[My_Payment]" displayFolder="" count="2" memberValueDatatype="130" unbalanced="0"/>
    <cacheHierarchy uniqueName="[My_Payment].[Detail]" caption="Detail" attribute="1" defaultMemberUniqueName="[My_Payment].[Detail].[All]" allUniqueName="[My_Payment].[Detail].[All]" dimensionUniqueName="[My_Payment]" displayFolder="" count="2" memberValueDatatype="130" unbalanced="0">
      <fieldsUsage count="2">
        <fieldUsage x="-1"/>
        <fieldUsage x="2"/>
      </fieldsUsage>
    </cacheHierarchy>
    <cacheHierarchy uniqueName="[My_Payment].[Inst.Period]" caption="Inst.Period" attribute="1" defaultMemberUniqueName="[My_Payment].[Inst.Period].[All]" allUniqueName="[My_Payment].[Inst.Period].[All]" dimensionUniqueName="[My_Payment]" displayFolder="" count="2" memberValueDatatype="130" unbalanced="0">
      <fieldsUsage count="2">
        <fieldUsage x="-1"/>
        <fieldUsage x="3"/>
      </fieldsUsage>
    </cacheHierarchy>
    <cacheHierarchy uniqueName="[My_Payment].[Due Date]" caption="Due Date" attribute="1" time="1" defaultMemberUniqueName="[My_Payment].[Due Date].[All]" allUniqueName="[My_Payment].[Due Date].[All]" dimensionUniqueName="[My_Payment]" displayFolder="" count="2" memberValueDatatype="7" unbalanced="0">
      <fieldsUsage count="2">
        <fieldUsage x="-1"/>
        <fieldUsage x="4"/>
      </fieldsUsage>
    </cacheHierarchy>
    <cacheHierarchy uniqueName="[My_Payment].[Payment_Code]" caption="Payment_Code" attribute="1" defaultMemberUniqueName="[My_Payment].[Payment_Code].[All]" allUniqueName="[My_Payment].[Payment_Code].[All]" dimensionUniqueName="[My_Payment]" displayFolder="" count="2" memberValueDatatype="130" unbalanced="0"/>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fieldsUsage count="2">
        <fieldUsage x="-1"/>
        <fieldUsage x="9"/>
      </fieldsUsage>
    </cacheHierarchy>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2" memberValueDatatype="130" unbalanced="0">
      <fieldsUsage count="2">
        <fieldUsage x="-1"/>
        <fieldUsage x="8"/>
      </fieldsUsage>
    </cacheHierarchy>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oneField="1" hidden="1">
      <fieldsUsage count="1">
        <fieldUsage x="6"/>
      </fieldsUsage>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oneField="1" hidden="1">
      <fieldsUsage count="1">
        <fieldUsage x="7"/>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My_Payment" uniqueName="[My_Payment]" caption="My_Payment"/>
  </dimensions>
  <measureGroups count="1">
    <measureGroup name="My_Payment" caption="My_Paym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55208333" createdVersion="3" refreshedVersion="8" minRefreshableVersion="3" recordCount="0" supportSubquery="1" supportAdvancedDrill="1" xr:uid="{7EA71022-07EE-4CCA-A2E2-AF2C689D1917}">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0" memberValueDatatype="130" unbalanced="0"/>
    <cacheHierarchy uniqueName="[My_Payment].[App Payment]" caption="App Payment" attribute="1" defaultMemberUniqueName="[My_Payment].[App Payment].[All]" allUniqueName="[My_Payment].[App Payment].[All]" dimensionUniqueName="[My_Payment]" displayFolder="" count="2" memberValueDatatype="130" unbalanced="0"/>
    <cacheHierarchy uniqueName="[My_Payment].[Detail]" caption="Detail" attribute="1" defaultMemberUniqueName="[My_Payment].[Detail].[All]" allUniqueName="[My_Payment].[Detail].[All]" dimensionUniqueName="[My_Payment]" displayFolder="" count="0" memberValueDatatype="130" unbalanced="0"/>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2" memberValueDatatype="130" unbalanced="0"/>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2" memberValueDatatype="130" unbalanced="0"/>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hidden="1">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9984029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66898148" createdVersion="3" refreshedVersion="8" minRefreshableVersion="3" recordCount="0" supportSubquery="1" supportAdvancedDrill="1" xr:uid="{785D9EF6-2A20-4BA1-8300-C37F103E1242}">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0" memberValueDatatype="130" unbalanced="0"/>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0" memberValueDatatype="130" unbalanced="0"/>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0" memberValueDatatype="130" unbalanced="0"/>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0" memberValueDatatype="130" unbalanced="0"/>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hidden="1">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1955704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68634257" createdVersion="3" refreshedVersion="8" minRefreshableVersion="3" recordCount="0" supportSubquery="1" supportAdvancedDrill="1" xr:uid="{E12B9FEE-FEE4-4CA1-A37D-C975BA888AEE}">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0" memberValueDatatype="130" unbalanced="0"/>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0" memberValueDatatype="130" unbalanced="0"/>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0" memberValueDatatype="130" unbalanced="0"/>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0" memberValueDatatype="130" unbalanced="0"/>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hidden="1">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65032816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u Onizuka" refreshedDate="46209.073370949074" createdVersion="3" refreshedVersion="8" minRefreshableVersion="3" recordCount="0" supportSubquery="1" supportAdvancedDrill="1" xr:uid="{A0F6B926-57C1-4088-9435-99302AFEED6E}">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My_Payment].[Date]" caption="Date" attribute="1" time="1" defaultMemberUniqueName="[My_Payment].[Date].[All]" allUniqueName="[My_Payment].[Date].[All]" dimensionUniqueName="[My_Payment]" displayFolder="" count="0" memberValueDatatype="7" unbalanced="0"/>
    <cacheHierarchy uniqueName="[My_Payment].[Credit Card]" caption="Credit Card" attribute="1" defaultMemberUniqueName="[My_Payment].[Credit Card].[All]" allUniqueName="[My_Payment].[Credit Card].[All]" dimensionUniqueName="[My_Payment]" displayFolder="" count="0" memberValueDatatype="130" unbalanced="0"/>
    <cacheHierarchy uniqueName="[My_Payment].[App Payment]" caption="App Payment" attribute="1" defaultMemberUniqueName="[My_Payment].[App Payment].[All]" allUniqueName="[My_Payment].[App Payment].[All]" dimensionUniqueName="[My_Payment]" displayFolder="" count="0" memberValueDatatype="130" unbalanced="0"/>
    <cacheHierarchy uniqueName="[My_Payment].[Detail]" caption="Detail" attribute="1" defaultMemberUniqueName="[My_Payment].[Detail].[All]" allUniqueName="[My_Payment].[Detail].[All]" dimensionUniqueName="[My_Payment]" displayFolder="" count="0" memberValueDatatype="130" unbalanced="0"/>
    <cacheHierarchy uniqueName="[My_Payment].[Inst.Period]" caption="Inst.Period" attribute="1" defaultMemberUniqueName="[My_Payment].[Inst.Period].[All]" allUniqueName="[My_Payment].[Inst.Period].[All]" dimensionUniqueName="[My_Payment]" displayFolder="" count="0" memberValueDatatype="130" unbalanced="0"/>
    <cacheHierarchy uniqueName="[My_Payment].[Due Date]" caption="Due Date" attribute="1" time="1" defaultMemberUniqueName="[My_Payment].[Due Date].[All]" allUniqueName="[My_Payment].[Due Date].[All]" dimensionUniqueName="[My_Payment]" displayFolder="" count="0" memberValueDatatype="7" unbalanced="0"/>
    <cacheHierarchy uniqueName="[My_Payment].[Payment_Code]" caption="Payment_Code" attribute="1" defaultMemberUniqueName="[My_Payment].[Payment_Code].[All]" allUniqueName="[My_Payment].[Payment_Code].[All]" dimensionUniqueName="[My_Payment]" displayFolder="" count="0" memberValueDatatype="130" unbalanced="0"/>
    <cacheHierarchy uniqueName="[My_Payment].[Total AMT]" caption="Total AMT" attribute="1" defaultMemberUniqueName="[My_Payment].[Total AMT].[All]" allUniqueName="[My_Payment].[Total AMT].[All]" dimensionUniqueName="[My_Payment]" displayFolder="" count="0" memberValueDatatype="5" unbalanced="0"/>
    <cacheHierarchy uniqueName="[My_Payment].[PK_AMT]" caption="PK_AMT" attribute="1" defaultMemberUniqueName="[My_Payment].[PK_AMT].[All]" allUniqueName="[My_Payment].[PK_AMT].[All]" dimensionUniqueName="[My_Payment]" displayFolder="" count="0" memberValueDatatype="5" unbalanced="0"/>
    <cacheHierarchy uniqueName="[My_Payment].[NC_AMT]" caption="NC_AMT" attribute="1" defaultMemberUniqueName="[My_Payment].[NC_AMT].[All]" allUniqueName="[My_Payment].[NC_AMT].[All]" dimensionUniqueName="[My_Payment]" displayFolder="" count="0" memberValueDatatype="5" unbalanced="0"/>
    <cacheHierarchy uniqueName="[My_Payment].[Date (Year)]" caption="Date (Year)" attribute="1" defaultMemberUniqueName="[My_Payment].[Date (Year)].[All]" allUniqueName="[My_Payment].[Date (Year)].[All]" dimensionUniqueName="[My_Payment]" displayFolder="" count="0" memberValueDatatype="130" unbalanced="0"/>
    <cacheHierarchy uniqueName="[My_Payment].[Date (Quarter)]" caption="Date (Quarter)" attribute="1" defaultMemberUniqueName="[My_Payment].[Date (Quarter)].[All]" allUniqueName="[My_Payment].[Date (Quarter)].[All]" dimensionUniqueName="[My_Payment]" displayFolder="" count="0" memberValueDatatype="130" unbalanced="0"/>
    <cacheHierarchy uniqueName="[My_Payment].[Date (Month)]" caption="Date (Month)" attribute="1" defaultMemberUniqueName="[My_Payment].[Date (Month)].[All]" allUniqueName="[My_Payment].[Date (Month)].[All]" dimensionUniqueName="[My_Payment]" displayFolder="" count="0" memberValueDatatype="130" unbalanced="0"/>
    <cacheHierarchy uniqueName="[My_Payment].[Due Date (Year)]" caption="Due Date (Year)" attribute="1" defaultMemberUniqueName="[My_Payment].[Due Date (Year)].[All]" allUniqueName="[My_Payment].[Due Date (Year)].[All]" dimensionUniqueName="[My_Payment]" displayFolder="" count="2" memberValueDatatype="130" unbalanced="0"/>
    <cacheHierarchy uniqueName="[My_Payment].[Due Date (Quarter)]" caption="Due Date (Quarter)" attribute="1" defaultMemberUniqueName="[My_Payment].[Due Date (Quarter)].[All]" allUniqueName="[My_Payment].[Due Date (Quarter)].[All]" dimensionUniqueName="[My_Payment]" displayFolder="" count="0" memberValueDatatype="130" unbalanced="0"/>
    <cacheHierarchy uniqueName="[My_Payment].[Due Date (Month)]" caption="Due Date (Month)" attribute="1" defaultMemberUniqueName="[My_Payment].[Due Date (Month)].[All]" allUniqueName="[My_Payment].[Due Date (Month)].[All]" dimensionUniqueName="[My_Payment]" displayFolder="" count="0" memberValueDatatype="130" unbalanced="0"/>
    <cacheHierarchy uniqueName="[My_Payment].[Date (Month Index)]" caption="Date (Month Index)" attribute="1" defaultMemberUniqueName="[My_Payment].[Date (Month Index)].[All]" allUniqueName="[My_Payment].[Date (Month Index)].[All]" dimensionUniqueName="[My_Payment]" displayFolder="" count="0" memberValueDatatype="20" unbalanced="0" hidden="1"/>
    <cacheHierarchy uniqueName="[My_Payment].[Due Date (Month Index)]" caption="Due Date (Month Index)" attribute="1" defaultMemberUniqueName="[My_Payment].[Due Date (Month Index)].[All]" allUniqueName="[My_Payment].[Due Date (Month Index)].[All]" dimensionUniqueName="[My_Payment]" displayFolder="" count="0" memberValueDatatype="20" unbalanced="0" hidden="1"/>
    <cacheHierarchy uniqueName="[Measures].[__XL_Count My_Payment]" caption="__XL_Count My_Payment" measure="1" displayFolder="" measureGroup="My_Payment" count="0" hidden="1"/>
    <cacheHierarchy uniqueName="[Measures].[__No measures defined]" caption="__No measures defined" measure="1" displayFolder="" count="0" hidden="1"/>
    <cacheHierarchy uniqueName="[Measures].[Sum of Total AMT]" caption="Sum of Total AMT" measure="1" displayFolder="" measureGroup="My_Payment" count="0" hidden="1">
      <extLst>
        <ext xmlns:x15="http://schemas.microsoft.com/office/spreadsheetml/2010/11/main" uri="{B97F6D7D-B522-45F9-BDA1-12C45D357490}">
          <x15:cacheHierarchy aggregatedColumn="7"/>
        </ext>
      </extLst>
    </cacheHierarchy>
    <cacheHierarchy uniqueName="[Measures].[Sum of PK_AMT]" caption="Sum of PK_AMT" measure="1" displayFolder="" measureGroup="My_Payment" count="0" hidden="1">
      <extLst>
        <ext xmlns:x15="http://schemas.microsoft.com/office/spreadsheetml/2010/11/main" uri="{B97F6D7D-B522-45F9-BDA1-12C45D357490}">
          <x15:cacheHierarchy aggregatedColumn="8"/>
        </ext>
      </extLst>
    </cacheHierarchy>
    <cacheHierarchy uniqueName="[Measures].[Sum of NC_AMT]" caption="Sum of NC_AMT" measure="1" displayFolder="" measureGroup="My_Payment"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358619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4816F-2F4E-4A98-BB3A-6E156EC792D1}" name="Pivot_Total" cacheId="0" applyNumberFormats="0" applyBorderFormats="0" applyFontFormats="0" applyPatternFormats="0" applyAlignmentFormats="0" applyWidthHeightFormats="1" dataCaption="Values" tag="c87ae732-b489-46e6-87fb-353d07126650" updatedVersion="8" minRefreshableVersion="3" useAutoFormatting="1" subtotalHiddenItems="1" itemPrintTitles="1" createdVersion="5" indent="0" outline="1" outlineData="1" multipleFieldFilters="0" chartFormat="7" rowHeaderCaption="Credit Card" colHeaderCaption="Month">
  <location ref="B3:O15" firstHeaderRow="1" firstDataRow="2" firstDataCol="1"/>
  <pivotFields count="6">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xis="axisRow" allDrilled="1" subtotalTop="0" showAll="0" dataSourceSort="1" defaultSubtotal="0">
      <items count="14">
        <item x="0" e="0"/>
        <item x="1" e="0"/>
        <item x="2" e="0"/>
        <item x="3" e="0"/>
        <item x="4" e="0"/>
        <item x="5" e="0"/>
        <item x="6" e="0"/>
        <item x="7" e="0"/>
        <item x="8" e="0"/>
        <item x="9" e="0"/>
        <item x="10" e="0"/>
        <item x="11" e="0"/>
        <item x="12" e="0"/>
        <item x="13" e="0"/>
      </items>
    </pivotField>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items count="5">
        <item x="0" e="0"/>
        <item x="1" e="0"/>
        <item x="2" e="0"/>
        <item x="3" e="0"/>
        <item x="4" e="0"/>
      </items>
    </pivotField>
  </pivotFields>
  <rowFields count="2">
    <field x="2"/>
    <field x="5"/>
  </rowFields>
  <rowItems count="11">
    <i>
      <x/>
    </i>
    <i>
      <x v="1"/>
    </i>
    <i>
      <x v="2"/>
    </i>
    <i>
      <x v="3"/>
    </i>
    <i>
      <x v="4"/>
    </i>
    <i>
      <x v="5"/>
    </i>
    <i>
      <x v="6"/>
    </i>
    <i>
      <x v="7"/>
    </i>
    <i>
      <x v="8"/>
    </i>
    <i>
      <x v="9"/>
    </i>
    <i t="grand">
      <x/>
    </i>
  </rowItems>
  <colFields count="1">
    <field x="0"/>
  </colFields>
  <colItems count="13">
    <i>
      <x/>
    </i>
    <i>
      <x v="1"/>
    </i>
    <i>
      <x v="2"/>
    </i>
    <i>
      <x v="3"/>
    </i>
    <i>
      <x v="4"/>
    </i>
    <i>
      <x v="5"/>
    </i>
    <i>
      <x v="6"/>
    </i>
    <i>
      <x v="7"/>
    </i>
    <i>
      <x v="8"/>
    </i>
    <i>
      <x v="9"/>
    </i>
    <i>
      <x v="10"/>
    </i>
    <i>
      <x v="11"/>
    </i>
    <i t="grand">
      <x/>
    </i>
  </colItems>
  <dataFields count="1">
    <dataField name="Sum of Total AMT" fld="3" baseField="2" baseItem="0" numFmtId="43"/>
  </dataFields>
  <formats count="10">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0" type="button" dataOnly="0" labelOnly="1" outline="0" axis="axisCol" fieldPosition="0"/>
    </format>
    <format dxfId="134">
      <pivotArea type="topRight" dataOnly="0" labelOnly="1" outline="0" fieldPosition="0"/>
    </format>
    <format dxfId="133">
      <pivotArea field="2" type="button" dataOnly="0" labelOnly="1" outline="0" axis="axisRow" fieldPosition="0"/>
    </format>
    <format dxfId="132">
      <pivotArea dataOnly="0" labelOnly="1" fieldPosition="0">
        <references count="1">
          <reference field="2" count="0"/>
        </references>
      </pivotArea>
    </format>
    <format dxfId="131">
      <pivotArea dataOnly="0" labelOnly="1" grandRow="1" outline="0" fieldPosition="0"/>
    </format>
    <format dxfId="130">
      <pivotArea dataOnly="0" labelOnly="1" fieldPosition="0">
        <references count="1">
          <reference field="0" count="0"/>
        </references>
      </pivotArea>
    </format>
    <format dxfId="129">
      <pivotArea dataOnly="0" labelOnly="1" grandCol="1" outline="0" fieldPosition="0"/>
    </format>
  </formats>
  <chartFormats count="44">
    <chartFormat chart="1" format="12" series="1">
      <pivotArea type="data" outline="0" fieldPosition="0">
        <references count="2">
          <reference field="4294967294" count="1" selected="0">
            <x v="0"/>
          </reference>
          <reference field="0" count="1" selected="0">
            <x v="0"/>
          </reference>
        </references>
      </pivotArea>
    </chartFormat>
    <chartFormat chart="1" format="13" series="1">
      <pivotArea type="data" outline="0" fieldPosition="0">
        <references count="2">
          <reference field="4294967294" count="1" selected="0">
            <x v="0"/>
          </reference>
          <reference field="0" count="1" selected="0">
            <x v="1"/>
          </reference>
        </references>
      </pivotArea>
    </chartFormat>
    <chartFormat chart="1" format="14" series="1">
      <pivotArea type="data" outline="0" fieldPosition="0">
        <references count="2">
          <reference field="4294967294" count="1" selected="0">
            <x v="0"/>
          </reference>
          <reference field="0" count="1" selected="0">
            <x v="2"/>
          </reference>
        </references>
      </pivotArea>
    </chartFormat>
    <chartFormat chart="1" format="15" series="1">
      <pivotArea type="data" outline="0" fieldPosition="0">
        <references count="2">
          <reference field="4294967294" count="1" selected="0">
            <x v="0"/>
          </reference>
          <reference field="0" count="1" selected="0">
            <x v="3"/>
          </reference>
        </references>
      </pivotArea>
    </chartFormat>
    <chartFormat chart="1" format="16" series="1">
      <pivotArea type="data" outline="0" fieldPosition="0">
        <references count="2">
          <reference field="4294967294" count="1" selected="0">
            <x v="0"/>
          </reference>
          <reference field="0" count="1" selected="0">
            <x v="4"/>
          </reference>
        </references>
      </pivotArea>
    </chartFormat>
    <chartFormat chart="1" format="17" series="1">
      <pivotArea type="data" outline="0" fieldPosition="0">
        <references count="2">
          <reference field="4294967294" count="1" selected="0">
            <x v="0"/>
          </reference>
          <reference field="0" count="1" selected="0">
            <x v="5"/>
          </reference>
        </references>
      </pivotArea>
    </chartFormat>
    <chartFormat chart="1" format="18" series="1">
      <pivotArea type="data" outline="0" fieldPosition="0">
        <references count="2">
          <reference field="4294967294" count="1" selected="0">
            <x v="0"/>
          </reference>
          <reference field="0" count="1" selected="0">
            <x v="6"/>
          </reference>
        </references>
      </pivotArea>
    </chartFormat>
    <chartFormat chart="1" format="19" series="1">
      <pivotArea type="data" outline="0" fieldPosition="0">
        <references count="2">
          <reference field="4294967294" count="1" selected="0">
            <x v="0"/>
          </reference>
          <reference field="0" count="1" selected="0">
            <x v="7"/>
          </reference>
        </references>
      </pivotArea>
    </chartFormat>
    <chartFormat chart="1" format="20" series="1">
      <pivotArea type="data" outline="0" fieldPosition="0">
        <references count="2">
          <reference field="4294967294" count="1" selected="0">
            <x v="0"/>
          </reference>
          <reference field="0" count="1" selected="0">
            <x v="8"/>
          </reference>
        </references>
      </pivotArea>
    </chartFormat>
    <chartFormat chart="1" format="21" series="1">
      <pivotArea type="data" outline="0" fieldPosition="0">
        <references count="2">
          <reference field="4294967294" count="1" selected="0">
            <x v="0"/>
          </reference>
          <reference field="0" count="1" selected="0">
            <x v="9"/>
          </reference>
        </references>
      </pivotArea>
    </chartFormat>
    <chartFormat chart="1" format="22" series="1">
      <pivotArea type="data" outline="0" fieldPosition="0">
        <references count="2">
          <reference field="4294967294" count="1" selected="0">
            <x v="0"/>
          </reference>
          <reference field="0" count="1" selected="0">
            <x v="10"/>
          </reference>
        </references>
      </pivotArea>
    </chartFormat>
    <chartFormat chart="1" format="23" series="1">
      <pivotArea type="data" outline="0" fieldPosition="0">
        <references count="2">
          <reference field="4294967294" count="1" selected="0">
            <x v="0"/>
          </reference>
          <reference field="0" count="1" selected="0">
            <x v="11"/>
          </reference>
        </references>
      </pivotArea>
    </chartFormat>
    <chartFormat chart="1" format="24" series="1">
      <pivotArea type="data" outline="0" fieldPosition="0">
        <references count="2">
          <reference field="4294967294" count="1" selected="0">
            <x v="0"/>
          </reference>
          <reference field="2" count="1" selected="0">
            <x v="2"/>
          </reference>
        </references>
      </pivotArea>
    </chartFormat>
    <chartFormat chart="1" format="25" series="1">
      <pivotArea type="data" outline="0" fieldPosition="0">
        <references count="2">
          <reference field="4294967294" count="1" selected="0">
            <x v="0"/>
          </reference>
          <reference field="2" count="1" selected="0">
            <x v="11"/>
          </reference>
        </references>
      </pivotArea>
    </chartFormat>
    <chartFormat chart="1" format="26" series="1">
      <pivotArea type="data" outline="0" fieldPosition="0">
        <references count="2">
          <reference field="4294967294" count="1" selected="0">
            <x v="0"/>
          </reference>
          <reference field="2" count="1" selected="0">
            <x v="3"/>
          </reference>
        </references>
      </pivotArea>
    </chartFormat>
    <chartFormat chart="1" format="27" series="1">
      <pivotArea type="data" outline="0" fieldPosition="0">
        <references count="2">
          <reference field="4294967294" count="1" selected="0">
            <x v="0"/>
          </reference>
          <reference field="2" count="1" selected="0">
            <x v="13"/>
          </reference>
        </references>
      </pivotArea>
    </chartFormat>
    <chartFormat chart="1" format="28" series="1">
      <pivotArea type="data" outline="0" fieldPosition="0">
        <references count="2">
          <reference field="4294967294" count="1" selected="0">
            <x v="0"/>
          </reference>
          <reference field="2" count="1" selected="0">
            <x v="6"/>
          </reference>
        </references>
      </pivotArea>
    </chartFormat>
    <chartFormat chart="1" format="30" series="1">
      <pivotArea type="data" outline="0" fieldPosition="0">
        <references count="2">
          <reference field="4294967294" count="1" selected="0">
            <x v="0"/>
          </reference>
          <reference field="2" count="1" selected="0">
            <x v="7"/>
          </reference>
        </references>
      </pivotArea>
    </chartFormat>
    <chartFormat chart="1" format="31" series="1">
      <pivotArea type="data" outline="0" fieldPosition="0">
        <references count="2">
          <reference field="4294967294" count="1" selected="0">
            <x v="0"/>
          </reference>
          <reference field="2" count="1" selected="0">
            <x v="12"/>
          </reference>
        </references>
      </pivotArea>
    </chartFormat>
    <chartFormat chart="1" format="32" series="1">
      <pivotArea type="data" outline="0" fieldPosition="0">
        <references count="2">
          <reference field="4294967294" count="1" selected="0">
            <x v="0"/>
          </reference>
          <reference field="2" count="1" selected="0">
            <x v="0"/>
          </reference>
        </references>
      </pivotArea>
    </chartFormat>
    <chartFormat chart="1" format="33" series="1">
      <pivotArea type="data" outline="0" fieldPosition="0">
        <references count="2">
          <reference field="4294967294" count="1" selected="0">
            <x v="0"/>
          </reference>
          <reference field="2" count="1" selected="0">
            <x v="10"/>
          </reference>
        </references>
      </pivotArea>
    </chartFormat>
    <chartFormat chart="1" format="3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2">
          <reference field="4294967294" count="1" selected="0">
            <x v="0"/>
          </reference>
          <reference field="0" count="1" selected="0">
            <x v="3"/>
          </reference>
        </references>
      </pivotArea>
    </chartFormat>
    <chartFormat chart="6" format="4" series="1">
      <pivotArea type="data" outline="0" fieldPosition="0">
        <references count="2">
          <reference field="4294967294" count="1" selected="0">
            <x v="0"/>
          </reference>
          <reference field="0" count="1" selected="0">
            <x v="4"/>
          </reference>
        </references>
      </pivotArea>
    </chartFormat>
    <chartFormat chart="6" format="5" series="1">
      <pivotArea type="data" outline="0" fieldPosition="0">
        <references count="2">
          <reference field="4294967294" count="1" selected="0">
            <x v="0"/>
          </reference>
          <reference field="0" count="1" selected="0">
            <x v="5"/>
          </reference>
        </references>
      </pivotArea>
    </chartFormat>
    <chartFormat chart="6" format="6" series="1">
      <pivotArea type="data" outline="0" fieldPosition="0">
        <references count="2">
          <reference field="4294967294" count="1" selected="0">
            <x v="0"/>
          </reference>
          <reference field="0" count="1" selected="0">
            <x v="6"/>
          </reference>
        </references>
      </pivotArea>
    </chartFormat>
    <chartFormat chart="6" format="7" series="1">
      <pivotArea type="data" outline="0" fieldPosition="0">
        <references count="2">
          <reference field="4294967294" count="1" selected="0">
            <x v="0"/>
          </reference>
          <reference field="0" count="1" selected="0">
            <x v="7"/>
          </reference>
        </references>
      </pivotArea>
    </chartFormat>
    <chartFormat chart="6" format="8" series="1">
      <pivotArea type="data" outline="0" fieldPosition="0">
        <references count="2">
          <reference field="4294967294" count="1" selected="0">
            <x v="0"/>
          </reference>
          <reference field="0" count="1" selected="0">
            <x v="8"/>
          </reference>
        </references>
      </pivotArea>
    </chartFormat>
    <chartFormat chart="6" format="9" series="1">
      <pivotArea type="data" outline="0" fieldPosition="0">
        <references count="2">
          <reference field="4294967294" count="1" selected="0">
            <x v="0"/>
          </reference>
          <reference field="0" count="1" selected="0">
            <x v="9"/>
          </reference>
        </references>
      </pivotArea>
    </chartFormat>
    <chartFormat chart="6" format="10" series="1">
      <pivotArea type="data" outline="0" fieldPosition="0">
        <references count="2">
          <reference field="4294967294" count="1" selected="0">
            <x v="0"/>
          </reference>
          <reference field="0" count="1" selected="0">
            <x v="10"/>
          </reference>
        </references>
      </pivotArea>
    </chartFormat>
    <chartFormat chart="6" format="11" series="1">
      <pivotArea type="data" outline="0" fieldPosition="0">
        <references count="2">
          <reference field="4294967294" count="1" selected="0">
            <x v="0"/>
          </reference>
          <reference field="0" count="1" selected="0">
            <x v="11"/>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0"/>
          </reference>
        </references>
      </pivotArea>
    </chartFormat>
    <chartFormat chart="6" format="14" series="1">
      <pivotArea type="data" outline="0" fieldPosition="0">
        <references count="2">
          <reference field="4294967294" count="1" selected="0">
            <x v="0"/>
          </reference>
          <reference field="2" count="1" selected="0">
            <x v="2"/>
          </reference>
        </references>
      </pivotArea>
    </chartFormat>
    <chartFormat chart="6" format="15" series="1">
      <pivotArea type="data" outline="0" fieldPosition="0">
        <references count="2">
          <reference field="4294967294" count="1" selected="0">
            <x v="0"/>
          </reference>
          <reference field="2" count="1" selected="0">
            <x v="11"/>
          </reference>
        </references>
      </pivotArea>
    </chartFormat>
    <chartFormat chart="6" format="16" series="1">
      <pivotArea type="data" outline="0" fieldPosition="0">
        <references count="2">
          <reference field="4294967294" count="1" selected="0">
            <x v="0"/>
          </reference>
          <reference field="2" count="1" selected="0">
            <x v="3"/>
          </reference>
        </references>
      </pivotArea>
    </chartFormat>
    <chartFormat chart="6" format="17" series="1">
      <pivotArea type="data" outline="0" fieldPosition="0">
        <references count="2">
          <reference field="4294967294" count="1" selected="0">
            <x v="0"/>
          </reference>
          <reference field="2" count="1" selected="0">
            <x v="13"/>
          </reference>
        </references>
      </pivotArea>
    </chartFormat>
    <chartFormat chart="6" format="18" series="1">
      <pivotArea type="data" outline="0" fieldPosition="0">
        <references count="2">
          <reference field="4294967294" count="1" selected="0">
            <x v="0"/>
          </reference>
          <reference field="2" count="1" selected="0">
            <x v="6"/>
          </reference>
        </references>
      </pivotArea>
    </chartFormat>
    <chartFormat chart="6" format="20" series="1">
      <pivotArea type="data" outline="0" fieldPosition="0">
        <references count="2">
          <reference field="4294967294" count="1" selected="0">
            <x v="0"/>
          </reference>
          <reference field="2" count="1" selected="0">
            <x v="12"/>
          </reference>
        </references>
      </pivotArea>
    </chartFormat>
    <chartFormat chart="6" format="21" series="1">
      <pivotArea type="data" outline="0" fieldPosition="0">
        <references count="2">
          <reference field="4294967294" count="1" selected="0">
            <x v="0"/>
          </reference>
          <reference field="2" count="1" selected="0">
            <x v="7"/>
          </reference>
        </references>
      </pivotArea>
    </chartFormat>
    <chartFormat chart="6" format="2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members count="2" level="1">
        <member name="[My_Payment].[Payment_Code].&amp;[P]"/>
        <member name=""/>
      </members>
    </pivotHierarchy>
    <pivotHierarchy dragToData="1"/>
    <pivotHierarchy dragToData="1"/>
    <pivotHierarchy dragToData="1"/>
    <pivotHierarchy dragToData="1"/>
    <pivotHierarchy dragToData="1"/>
    <pivotHierarchy dragToData="1"/>
    <pivotHierarchy multipleItemSelectionAllowed="1" dragToData="1">
      <members count="1" level="1">
        <member name="[My_Payment].[Due Date (Year)].&amp;[2026]"/>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9" showRowHeaders="1" showColHeaders="1" showRowStripes="1" showColStripes="1" showLastColumn="1"/>
  <rowHierarchiesUsage count="2">
    <rowHierarchyUsage hierarchyUsage="1"/>
    <rowHierarchyUsage hierarchyUsage="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58FD4-3837-4D4C-A464-DC854B250C3A}" name="PivotTable1" cacheId="3" applyNumberFormats="0" applyBorderFormats="0" applyFontFormats="0" applyPatternFormats="0" applyAlignmentFormats="0" applyWidthHeightFormats="1" dataCaption="Values" tag="7bea6530-4cf3-4c4d-8918-004a9e9e6b83" updatedVersion="8" minRefreshableVersion="3" useAutoFormatting="1" subtotalHiddenItems="1" itemPrintTitles="1" createdVersion="5" indent="0" outline="1" outlineData="1" multipleFieldFilters="0" chartFormat="8" colHeaderCaption="Month">
  <location ref="B4:O17" firstHeaderRow="1" firstDataRow="2" firstDataCol="1"/>
  <pivotFields count="6">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2">
    <field x="2"/>
    <field x="5"/>
  </rowFields>
  <rowItems count="12">
    <i>
      <x/>
    </i>
    <i>
      <x v="1"/>
    </i>
    <i>
      <x v="2"/>
    </i>
    <i>
      <x v="3"/>
    </i>
    <i>
      <x v="4"/>
    </i>
    <i>
      <x v="5"/>
    </i>
    <i>
      <x v="6"/>
    </i>
    <i>
      <x v="7"/>
    </i>
    <i>
      <x v="8"/>
    </i>
    <i>
      <x v="9"/>
    </i>
    <i>
      <x v="10"/>
    </i>
    <i t="grand">
      <x/>
    </i>
  </rowItems>
  <colFields count="1">
    <field x="0"/>
  </colFields>
  <colItems count="13">
    <i>
      <x/>
    </i>
    <i>
      <x v="1"/>
    </i>
    <i>
      <x v="2"/>
    </i>
    <i>
      <x v="3"/>
    </i>
    <i>
      <x v="4"/>
    </i>
    <i>
      <x v="5"/>
    </i>
    <i>
      <x v="6"/>
    </i>
    <i>
      <x v="7"/>
    </i>
    <i>
      <x v="8"/>
    </i>
    <i>
      <x v="9"/>
    </i>
    <i>
      <x v="10"/>
    </i>
    <i>
      <x v="11"/>
    </i>
    <i t="grand">
      <x/>
    </i>
  </colItems>
  <dataFields count="1">
    <dataField name="Sum of PK_AMT" fld="4" baseField="2" baseItem="0" numFmtId="43"/>
  </dataFields>
  <formats count="10">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0" type="button" dataOnly="0" labelOnly="1" outline="0" axis="axisCol" fieldPosition="0"/>
    </format>
    <format dxfId="124">
      <pivotArea type="topRight" dataOnly="0" labelOnly="1" outline="0" fieldPosition="0"/>
    </format>
    <format dxfId="123">
      <pivotArea field="2" type="button" dataOnly="0" labelOnly="1" outline="0" axis="axisRow" fieldPosition="0"/>
    </format>
    <format dxfId="122">
      <pivotArea dataOnly="0" labelOnly="1" fieldPosition="0">
        <references count="1">
          <reference field="2" count="0"/>
        </references>
      </pivotArea>
    </format>
    <format dxfId="121">
      <pivotArea dataOnly="0" labelOnly="1" grandRow="1" outline="0" fieldPosition="0"/>
    </format>
    <format dxfId="120">
      <pivotArea dataOnly="0" labelOnly="1" fieldPosition="0">
        <references count="1">
          <reference field="0" count="0"/>
        </references>
      </pivotArea>
    </format>
    <format dxfId="119">
      <pivotArea dataOnly="0" labelOnly="1" grandCol="1" outline="0" fieldPosition="0"/>
    </format>
  </formats>
  <chartFormats count="12">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2">
          <reference field="4294967294" count="1" selected="0">
            <x v="0"/>
          </reference>
          <reference field="0" count="1" selected="0">
            <x v="3"/>
          </reference>
        </references>
      </pivotArea>
    </chartFormat>
    <chartFormat chart="6" format="4" series="1">
      <pivotArea type="data" outline="0" fieldPosition="0">
        <references count="2">
          <reference field="4294967294" count="1" selected="0">
            <x v="0"/>
          </reference>
          <reference field="0" count="1" selected="0">
            <x v="4"/>
          </reference>
        </references>
      </pivotArea>
    </chartFormat>
    <chartFormat chart="6" format="5" series="1">
      <pivotArea type="data" outline="0" fieldPosition="0">
        <references count="2">
          <reference field="4294967294" count="1" selected="0">
            <x v="0"/>
          </reference>
          <reference field="0" count="1" selected="0">
            <x v="5"/>
          </reference>
        </references>
      </pivotArea>
    </chartFormat>
    <chartFormat chart="6" format="6" series="1">
      <pivotArea type="data" outline="0" fieldPosition="0">
        <references count="2">
          <reference field="4294967294" count="1" selected="0">
            <x v="0"/>
          </reference>
          <reference field="0" count="1" selected="0">
            <x v="6"/>
          </reference>
        </references>
      </pivotArea>
    </chartFormat>
    <chartFormat chart="6" format="7" series="1">
      <pivotArea type="data" outline="0" fieldPosition="0">
        <references count="2">
          <reference field="4294967294" count="1" selected="0">
            <x v="0"/>
          </reference>
          <reference field="0" count="1" selected="0">
            <x v="7"/>
          </reference>
        </references>
      </pivotArea>
    </chartFormat>
    <chartFormat chart="6" format="8" series="1">
      <pivotArea type="data" outline="0" fieldPosition="0">
        <references count="2">
          <reference field="4294967294" count="1" selected="0">
            <x v="0"/>
          </reference>
          <reference field="0" count="1" selected="0">
            <x v="8"/>
          </reference>
        </references>
      </pivotArea>
    </chartFormat>
    <chartFormat chart="6" format="9" series="1">
      <pivotArea type="data" outline="0" fieldPosition="0">
        <references count="2">
          <reference field="4294967294" count="1" selected="0">
            <x v="0"/>
          </reference>
          <reference field="0" count="1" selected="0">
            <x v="9"/>
          </reference>
        </references>
      </pivotArea>
    </chartFormat>
    <chartFormat chart="6" format="10" series="1">
      <pivotArea type="data" outline="0" fieldPosition="0">
        <references count="2">
          <reference field="4294967294" count="1" selected="0">
            <x v="0"/>
          </reference>
          <reference field="0" count="1" selected="0">
            <x v="10"/>
          </reference>
        </references>
      </pivotArea>
    </chartFormat>
    <chartFormat chart="6" format="11" series="1">
      <pivotArea type="data" outline="0" fieldPosition="0">
        <references count="2">
          <reference field="4294967294" count="1" selected="0">
            <x v="0"/>
          </reference>
          <reference field="0" count="1" selected="0">
            <x v="11"/>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members count="2" level="1">
        <member name="[My_Payment].[Payment_Code].&amp;[P]"/>
        <member name="[My_Payment].[Payment_Code].&amp;[S]"/>
      </members>
    </pivotHierarchy>
    <pivotHierarchy dragToData="1"/>
    <pivotHierarchy dragToData="1"/>
    <pivotHierarchy dragToData="1"/>
    <pivotHierarchy dragToData="1"/>
    <pivotHierarchy dragToData="1"/>
    <pivotHierarchy dragToData="1"/>
    <pivotHierarchy multipleItemSelectionAllowed="1" dragToData="1">
      <members count="1" level="1">
        <member name="[My_Payment].[Due Date (Year)].&amp;[2026]"/>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3" showRowHeaders="1" showColHeaders="1" showRowStripes="1" showColStripes="1" showLastColumn="1"/>
  <rowHierarchiesUsage count="2">
    <rowHierarchyUsage hierarchyUsage="1"/>
    <rowHierarchyUsage hierarchyUsage="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117B28-9071-4CBD-9B7B-BA8FBC1A3D7D}" name="PivotTable1" cacheId="1" applyNumberFormats="0" applyBorderFormats="0" applyFontFormats="0" applyPatternFormats="0" applyAlignmentFormats="0" applyWidthHeightFormats="1" dataCaption="Values" tag="7bea6530-4cf3-4c4d-8918-004a9e9e6b83" updatedVersion="8" minRefreshableVersion="3" useAutoFormatting="1" subtotalHiddenItems="1" itemPrintTitles="1" createdVersion="5" indent="0" outline="1" outlineData="1" multipleFieldFilters="0" chartFormat="6" colHeaderCaption="Month">
  <location ref="B4:O17" firstHeaderRow="1" firstDataRow="2" firstDataCol="1"/>
  <pivotFields count="6">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2">
    <field x="2"/>
    <field x="4"/>
  </rowFields>
  <rowItems count="12">
    <i>
      <x/>
    </i>
    <i>
      <x v="1"/>
    </i>
    <i>
      <x v="2"/>
    </i>
    <i>
      <x v="3"/>
    </i>
    <i>
      <x v="4"/>
    </i>
    <i>
      <x v="5"/>
    </i>
    <i>
      <x v="6"/>
    </i>
    <i>
      <x v="7"/>
    </i>
    <i>
      <x v="8"/>
    </i>
    <i>
      <x v="9"/>
    </i>
    <i>
      <x v="10"/>
    </i>
    <i t="grand">
      <x/>
    </i>
  </rowItems>
  <colFields count="1">
    <field x="0"/>
  </colFields>
  <colItems count="13">
    <i>
      <x/>
    </i>
    <i>
      <x v="1"/>
    </i>
    <i>
      <x v="2"/>
    </i>
    <i>
      <x v="3"/>
    </i>
    <i>
      <x v="4"/>
    </i>
    <i>
      <x v="5"/>
    </i>
    <i>
      <x v="6"/>
    </i>
    <i>
      <x v="7"/>
    </i>
    <i>
      <x v="8"/>
    </i>
    <i>
      <x v="9"/>
    </i>
    <i>
      <x v="10"/>
    </i>
    <i>
      <x v="11"/>
    </i>
    <i t="grand">
      <x/>
    </i>
  </colItems>
  <dataFields count="1">
    <dataField name="Sum of NC_AMT" fld="5" baseField="2" baseItem="3" numFmtId="43"/>
  </dataFields>
  <formats count="10">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0" type="button" dataOnly="0" labelOnly="1" outline="0" axis="axisCol" fieldPosition="0"/>
    </format>
    <format dxfId="114">
      <pivotArea type="topRight" dataOnly="0" labelOnly="1" outline="0"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grandRow="1" outline="0" fieldPosition="0"/>
    </format>
    <format dxfId="110">
      <pivotArea dataOnly="0" labelOnly="1" fieldPosition="0">
        <references count="1">
          <reference field="0" count="0"/>
        </references>
      </pivotArea>
    </format>
    <format dxfId="109">
      <pivotArea dataOnly="0" labelOnly="1" grandCol="1" outline="0" fieldPosition="0"/>
    </format>
  </formats>
  <pivotHierarchies count="23">
    <pivotHierarchy dragToData="1"/>
    <pivotHierarchy dragToData="1"/>
    <pivotHierarchy dragToData="1"/>
    <pivotHierarchy dragToData="1"/>
    <pivotHierarchy dragToData="1"/>
    <pivotHierarchy dragToData="1"/>
    <pivotHierarchy multipleItemSelectionAllowed="1" dragToData="1">
      <members count="2" level="1">
        <member name="[My_Payment].[Payment_Code].&amp;[P]"/>
        <member name="[My_Payment].[Payment_Code].&amp;[S]"/>
      </members>
    </pivotHierarchy>
    <pivotHierarchy dragToData="1"/>
    <pivotHierarchy dragToData="1"/>
    <pivotHierarchy dragToData="1"/>
    <pivotHierarchy dragToData="1"/>
    <pivotHierarchy dragToData="1"/>
    <pivotHierarchy dragToData="1"/>
    <pivotHierarchy multipleItemSelectionAllowed="1" dragToData="1">
      <members count="1" level="1">
        <member name="[My_Payment].[Due Date (Year)].&amp;[2026]"/>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4" showRowHeaders="1" showColHeaders="1" showRowStripes="1" showColStripes="1" showLastColumn="1"/>
  <rowHierarchiesUsage count="2">
    <rowHierarchyUsage hierarchyUsage="1"/>
    <rowHierarchyUsage hierarchyUsage="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848920-8552-493D-A67E-3BDDCF3647D9}" name="Pivot_Installment" cacheId="2" applyNumberFormats="0" applyBorderFormats="0" applyFontFormats="0" applyPatternFormats="0" applyAlignmentFormats="0" applyWidthHeightFormats="1" dataCaption="Values" tag="568d1332-2416-47d2-aa05-d8540cd5750d" updatedVersion="8" minRefreshableVersion="3" useAutoFormatting="1" subtotalHiddenItems="1" itemPrintTitles="1" createdVersion="5" indent="0" outline="1" outlineData="1" multipleFieldFilters="0" rowHeaderCaption="Detail" colHeaderCaption="Month">
  <location ref="B3:O19" firstHeaderRow="1" firstDataRow="2" firstDataCol="1" rowPageCount="1" colPageCount="1"/>
  <pivotFields count="5">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Page" allDrilled="1" subtotalTop="0" showAll="0" dataSourceSort="1" defaultSubtotal="0" defaultAttributeDrillState="1"/>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Fields count="1">
    <field x="0"/>
  </colFields>
  <colItems count="13">
    <i>
      <x/>
    </i>
    <i>
      <x v="1"/>
    </i>
    <i>
      <x v="2"/>
    </i>
    <i>
      <x v="3"/>
    </i>
    <i>
      <x v="4"/>
    </i>
    <i>
      <x v="5"/>
    </i>
    <i>
      <x v="6"/>
    </i>
    <i>
      <x v="7"/>
    </i>
    <i>
      <x v="8"/>
    </i>
    <i>
      <x v="9"/>
    </i>
    <i>
      <x v="10"/>
    </i>
    <i>
      <x v="11"/>
    </i>
    <i t="grand">
      <x/>
    </i>
  </colItems>
  <pageFields count="1">
    <pageField fld="3" hier="4" name="[My_Payment].[Inst.Period].&amp;[001/002]" cap="001/002"/>
  </pageFields>
  <dataFields count="1">
    <dataField name="Sum of PK_AMT" fld="1" baseField="2" baseItem="0" numFmtId="43"/>
  </dataFields>
  <formats count="20">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0" type="button" dataOnly="0" labelOnly="1" outline="0" axis="axisCol" fieldPosition="0"/>
    </format>
    <format dxfId="104">
      <pivotArea type="topRight" dataOnly="0" labelOnly="1" outline="0"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fieldPosition="0">
        <references count="1">
          <reference field="0" count="0"/>
        </references>
      </pivotArea>
    </format>
    <format dxfId="99">
      <pivotArea dataOnly="0" labelOnly="1" grandCol="1" outline="0" fieldPosition="0"/>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0" type="button" dataOnly="0" labelOnly="1" outline="0" axis="axisCol" fieldPosition="0"/>
    </format>
    <format dxfId="94">
      <pivotArea type="topRight" dataOnly="0" labelOnly="1" outline="0"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grandRow="1" outline="0" fieldPosition="0"/>
    </format>
    <format dxfId="90">
      <pivotArea dataOnly="0" labelOnly="1" fieldPosition="0">
        <references count="1">
          <reference field="0" count="0"/>
        </references>
      </pivotArea>
    </format>
    <format dxfId="89">
      <pivotArea dataOnly="0" labelOnly="1" grandCol="1" outline="0" fieldPosition="0"/>
    </format>
  </formats>
  <pivotHierarchies count="23">
    <pivotHierarchy dragToData="1"/>
    <pivotHierarchy dragToData="1"/>
    <pivotHierarchy dragToData="1"/>
    <pivotHierarchy dragToData="1"/>
    <pivotHierarchy multipleItemSelectionAllowed="1" dragToData="1">
      <members count="125" level="1">
        <member name="[My_Payment].[Inst.Period].&amp;[001/002]"/>
        <member name="[My_Payment].[Inst.Period].&amp;[002/001]"/>
        <member name="[My_Payment].[Inst.Period].&amp;[002/002]"/>
        <member name="[My_Payment].[Inst.Period].&amp;[003/001]"/>
        <member name="[My_Payment].[Inst.Period].&amp;[003/002]"/>
        <member name="[My_Payment].[Inst.Period].&amp;[003/003]"/>
        <member name="[My_Payment].[Inst.Period].&amp;[004/001]"/>
        <member name="[My_Payment].[Inst.Period].&amp;[004/002]"/>
        <member name="[My_Payment].[Inst.Period].&amp;[004/003]"/>
        <member name="[My_Payment].[Inst.Period].&amp;[004/004]"/>
        <member name="[My_Payment].[Inst.Period].&amp;[005/001]"/>
        <member name="[My_Payment].[Inst.Period].&amp;[005/002]"/>
        <member name="[My_Payment].[Inst.Period].&amp;[005/003]"/>
        <member name="[My_Payment].[Inst.Period].&amp;[005/004]"/>
        <member name="[My_Payment].[Inst.Period].&amp;[005/005]"/>
        <member name="[My_Payment].[Inst.Period].&amp;[006/001]"/>
        <member name="[My_Payment].[Inst.Period].&amp;[006/002]"/>
        <member name="[My_Payment].[Inst.Period].&amp;[006/003]"/>
        <member name="[My_Payment].[Inst.Period].&amp;[006/004]"/>
        <member name="[My_Payment].[Inst.Period].&amp;[006/005]"/>
        <member name="[My_Payment].[Inst.Period].&amp;[006/006]"/>
        <member name="[My_Payment].[Inst.Period].&amp;[010/001]"/>
        <member name="[My_Payment].[Inst.Period].&amp;[010/002]"/>
        <member name="[My_Payment].[Inst.Period].&amp;[010/003]"/>
        <member name="[My_Payment].[Inst.Period].&amp;[010/004]"/>
        <member name="[My_Payment].[Inst.Period].&amp;[010/005]"/>
        <member name="[My_Payment].[Inst.Period].&amp;[010/006]"/>
        <member name="[My_Payment].[Inst.Period].&amp;[010/007]"/>
        <member name="[My_Payment].[Inst.Period].&amp;[010/008]"/>
        <member name="[My_Payment].[Inst.Period].&amp;[010/009]"/>
        <member name="[My_Payment].[Inst.Period].&amp;[010/010]"/>
        <member name="[My_Payment].[Inst.Period].&amp;[012/001]"/>
        <member name="[My_Payment].[Inst.Period].&amp;[012/002]"/>
        <member name="[My_Payment].[Inst.Period].&amp;[012/003]"/>
        <member name="[My_Payment].[Inst.Period].&amp;[012/004]"/>
        <member name="[My_Payment].[Inst.Period].&amp;[012/005]"/>
        <member name="[My_Payment].[Inst.Period].&amp;[012/006]"/>
        <member name="[My_Payment].[Inst.Period].&amp;[012/007]"/>
        <member name="[My_Payment].[Inst.Period].&amp;[012/008]"/>
        <member name="[My_Payment].[Inst.Period].&amp;[012/009]"/>
        <member name="[My_Payment].[Inst.Period].&amp;[012/010]"/>
        <member name="[My_Payment].[Inst.Period].&amp;[012/011]"/>
        <member name="[My_Payment].[Inst.Period].&amp;[012/012]"/>
        <member name="[My_Payment].[Inst.Period].&amp;[024/001]"/>
        <member name="[My_Payment].[Inst.Period].&amp;[024/002]"/>
        <member name="[My_Payment].[Inst.Period].&amp;[024/003]"/>
        <member name="[My_Payment].[Inst.Period].&amp;[024/004]"/>
        <member name="[My_Payment].[Inst.Period].&amp;[024/005]"/>
        <member name="[My_Payment].[Inst.Period].&amp;[024/006]"/>
        <member name="[My_Payment].[Inst.Period].&amp;[024/007]"/>
        <member name="[My_Payment].[Inst.Period].&amp;[024/008]"/>
        <member name="[My_Payment].[Inst.Period].&amp;[024/009]"/>
        <member name="[My_Payment].[Inst.Period].&amp;[024/010]"/>
        <member name="[My_Payment].[Inst.Period].&amp;[024/011]"/>
        <member name="[My_Payment].[Inst.Period].&amp;[024/012]"/>
        <member name="[My_Payment].[Inst.Period].&amp;[024/013]"/>
        <member name="[My_Payment].[Inst.Period].&amp;[024/014]"/>
        <member name="[My_Payment].[Inst.Period].&amp;[024/015]"/>
        <member name="[My_Payment].[Inst.Period].&amp;[024/016]"/>
        <member name="[My_Payment].[Inst.Period].&amp;[024/017]"/>
        <member name="[My_Payment].[Inst.Period].&amp;[024/018]"/>
        <member name="[My_Payment].[Inst.Period].&amp;[024/019]"/>
        <member name="[My_Payment].[Inst.Period].&amp;[024/020]"/>
        <member name="[My_Payment].[Inst.Period].&amp;[024/021]"/>
        <member name="[My_Payment].[Inst.Period].&amp;[024/022]"/>
        <member name="[My_Payment].[Inst.Period].&amp;[024/023]"/>
        <member name="[My_Payment].[Inst.Period].&amp;[024/024]"/>
        <member name="[My_Payment].[Inst.Period].&amp;[030/009]"/>
        <member name="[My_Payment].[Inst.Period].&amp;[030/010]"/>
        <member name="[My_Payment].[Inst.Period].&amp;[030/011]"/>
        <member name="[My_Payment].[Inst.Period].&amp;[030/012]"/>
        <member name="[My_Payment].[Inst.Period].&amp;[030/013]"/>
        <member name="[My_Payment].[Inst.Period].&amp;[030/014]"/>
        <member name="[My_Payment].[Inst.Period].&amp;[030/015]"/>
        <member name="[My_Payment].[Inst.Period].&amp;[030/016]"/>
        <member name="[My_Payment].[Inst.Period].&amp;[030/017]"/>
        <member name="[My_Payment].[Inst.Period].&amp;[030/018]"/>
        <member name="[My_Payment].[Inst.Period].&amp;[030/019]"/>
        <member name="[My_Payment].[Inst.Period].&amp;[030/020]"/>
        <member name="[My_Payment].[Inst.Period].&amp;[030/021]"/>
        <member name="[My_Payment].[Inst.Period].&amp;[030/022]"/>
        <member name="[My_Payment].[Inst.Period].&amp;[030/023]"/>
        <member name="[My_Payment].[Inst.Period].&amp;[030/024]"/>
        <member name="[My_Payment].[Inst.Period].&amp;[030/025]"/>
        <member name="[My_Payment].[Inst.Period].&amp;[030/026]"/>
        <member name="[My_Payment].[Inst.Period].&amp;[030/027]"/>
        <member name="[My_Payment].[Inst.Period].&amp;[030/028]"/>
        <member name="[My_Payment].[Inst.Period].&amp;[030/029]"/>
        <member name="[My_Payment].[Inst.Period].&amp;[030/030]"/>
        <member name="[My_Payment].[Inst.Period].&amp;[036/001]"/>
        <member name="[My_Payment].[Inst.Period].&amp;[036/002]"/>
        <member name="[My_Payment].[Inst.Period].&amp;[036/003]"/>
        <member name="[My_Payment].[Inst.Period].&amp;[036/004]"/>
        <member name="[My_Payment].[Inst.Period].&amp;[036/005]"/>
        <member name="[My_Payment].[Inst.Period].&amp;[036/006]"/>
        <member name="[My_Payment].[Inst.Period].&amp;[036/007]"/>
        <member name="[My_Payment].[Inst.Period].&amp;[036/008]"/>
        <member name="[My_Payment].[Inst.Period].&amp;[036/009]"/>
        <member name="[My_Payment].[Inst.Period].&amp;[036/010]"/>
        <member name="[My_Payment].[Inst.Period].&amp;[036/011]"/>
        <member name="[My_Payment].[Inst.Period].&amp;[036/012]"/>
        <member name="[My_Payment].[Inst.Period].&amp;[036/013]"/>
        <member name="[My_Payment].[Inst.Period].&amp;[036/014]"/>
        <member name="[My_Payment].[Inst.Period].&amp;[036/015]"/>
        <member name="[My_Payment].[Inst.Period].&amp;[036/016]"/>
        <member name="[My_Payment].[Inst.Period].&amp;[036/017]"/>
        <member name="[My_Payment].[Inst.Period].&amp;[036/018]"/>
        <member name="[My_Payment].[Inst.Period].&amp;[036/019]"/>
        <member name="[My_Payment].[Inst.Period].&amp;[036/020]"/>
        <member name="[My_Payment].[Inst.Period].&amp;[036/021]"/>
        <member name="[My_Payment].[Inst.Period].&amp;[036/022]"/>
        <member name="[My_Payment].[Inst.Period].&amp;[036/023]"/>
        <member name="[My_Payment].[Inst.Period].&amp;[036/024]"/>
        <member name="[My_Payment].[Inst.Period].&amp;[036/025]"/>
        <member name="[My_Payment].[Inst.Period].&amp;[036/026]"/>
        <member name="[My_Payment].[Inst.Period].&amp;[036/027]"/>
        <member name="[My_Payment].[Inst.Period].&amp;[036/028]"/>
        <member name="[My_Payment].[Inst.Period].&amp;[036/029]"/>
        <member name="[My_Payment].[Inst.Period].&amp;[036/030]"/>
        <member name="[My_Payment].[Inst.Period].&amp;[036/031]"/>
        <member name="[My_Payment].[Inst.Period].&amp;[036/032]"/>
        <member name="[My_Payment].[Inst.Period].&amp;[036/033]"/>
        <member name="[My_Payment].[Inst.Period].&amp;[036/034]"/>
        <member name="[My_Payment].[Inst.Period].&amp;[036/035]"/>
        <member name="[My_Payment].[Inst.Period].&amp;[036/036]"/>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y_Payment].[Due Date (Year)].&amp;[2026]"/>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0" showRowHeaders="1" showColHeaders="1" showRowStripes="1" showColStripes="1" showLastColumn="1"/>
  <rowHierarchiesUsage count="1">
    <rowHierarchyUsage hierarchyUsage="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008FB3-9F93-4950-AB9F-80863891917E}" name="PivotTable1" cacheId="4" applyNumberFormats="0" applyBorderFormats="0" applyFontFormats="0" applyPatternFormats="0" applyAlignmentFormats="0" applyWidthHeightFormats="1" dataCaption="Values" tag="e8b4d7ee-2d59-49dc-95d7-0b3aa1a47151" updatedVersion="8" minRefreshableVersion="3" useAutoFormatting="1" subtotalHiddenItems="1" itemPrintTitles="1" createdVersion="5" indent="0" compact="0" compactData="0" multipleFieldFilters="0">
  <location ref="B2:I37" firstHeaderRow="0" firstDataRow="1" firstDataCol="5"/>
  <pivotFields count="10">
    <pivotField axis="axisRow" compact="0" allDrilled="1" outline="0" subtotalTop="0" showAll="0"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Row" compact="0" allDrilled="1" outline="0"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5">
    <field x="0"/>
    <field x="1"/>
    <field x="2"/>
    <field x="3"/>
    <field x="4"/>
  </rowFields>
  <rowItems count="35">
    <i>
      <x/>
      <x/>
      <x/>
      <x/>
      <x/>
    </i>
    <i>
      <x v="1"/>
      <x v="1"/>
      <x v="1"/>
      <x v="1"/>
      <x v="1"/>
    </i>
    <i r="2">
      <x v="2"/>
      <x v="1"/>
      <x v="2"/>
    </i>
    <i>
      <x v="2"/>
      <x v="2"/>
      <x v="3"/>
      <x/>
      <x v="3"/>
    </i>
    <i r="1">
      <x v="3"/>
      <x v="4"/>
      <x/>
      <x v="3"/>
    </i>
    <i>
      <x v="3"/>
      <x v="4"/>
      <x v="5"/>
      <x/>
      <x v="4"/>
    </i>
    <i r="1">
      <x v="5"/>
      <x v="5"/>
      <x/>
      <x v="4"/>
    </i>
    <i r="1">
      <x v="6"/>
      <x v="6"/>
      <x/>
      <x v="4"/>
    </i>
    <i r="2">
      <x v="7"/>
      <x/>
      <x v="4"/>
    </i>
    <i r="1">
      <x v="7"/>
      <x v="5"/>
      <x/>
      <x v="4"/>
    </i>
    <i r="1">
      <x v="8"/>
      <x v="8"/>
      <x/>
      <x v="4"/>
    </i>
    <i r="2">
      <x v="9"/>
      <x/>
      <x v="4"/>
    </i>
    <i r="2">
      <x v="10"/>
      <x/>
      <x v="4"/>
    </i>
    <i>
      <x v="4"/>
      <x v="9"/>
      <x v="11"/>
      <x/>
      <x v="2"/>
    </i>
    <i r="1">
      <x v="10"/>
      <x v="12"/>
      <x/>
      <x v="2"/>
    </i>
    <i r="2">
      <x v="13"/>
      <x/>
      <x v="2"/>
    </i>
    <i r="1">
      <x v="11"/>
      <x v="14"/>
      <x/>
      <x v="2"/>
    </i>
    <i>
      <x v="5"/>
      <x v="12"/>
      <x v="15"/>
      <x v="2"/>
      <x v="2"/>
    </i>
    <i>
      <x v="6"/>
      <x v="10"/>
      <x v="16"/>
      <x/>
      <x/>
    </i>
    <i>
      <x v="7"/>
      <x v="7"/>
      <x v="17"/>
      <x v="3"/>
      <x v="5"/>
    </i>
    <i r="2">
      <x v="18"/>
      <x v="3"/>
      <x v="5"/>
    </i>
    <i r="1">
      <x v="11"/>
      <x v="19"/>
      <x/>
      <x v="5"/>
    </i>
    <i r="1">
      <x v="13"/>
      <x v="20"/>
      <x v="4"/>
      <x v="5"/>
    </i>
    <i>
      <x v="8"/>
      <x v="14"/>
      <x v="21"/>
      <x v="5"/>
      <x v="2"/>
    </i>
    <i r="2">
      <x v="22"/>
      <x v="6"/>
      <x v="2"/>
    </i>
    <i>
      <x v="9"/>
      <x v="15"/>
      <x v="23"/>
      <x/>
      <x v="6"/>
    </i>
    <i r="2">
      <x v="24"/>
      <x/>
      <x v="6"/>
    </i>
    <i r="1">
      <x v="16"/>
      <x v="25"/>
      <x/>
      <x v="6"/>
    </i>
    <i r="1">
      <x v="9"/>
      <x v="23"/>
      <x/>
      <x v="6"/>
    </i>
    <i r="1">
      <x v="17"/>
      <x v="26"/>
      <x/>
      <x v="6"/>
    </i>
    <i r="1">
      <x v="18"/>
      <x v="27"/>
      <x/>
      <x v="6"/>
    </i>
    <i r="1">
      <x v="19"/>
      <x v="23"/>
      <x/>
      <x v="6"/>
    </i>
    <i r="1">
      <x v="7"/>
      <x v="28"/>
      <x/>
      <x v="6"/>
    </i>
    <i r="1">
      <x v="8"/>
      <x v="29"/>
      <x v="7"/>
      <x v="6"/>
    </i>
    <i t="grand">
      <x/>
    </i>
  </rowItems>
  <colFields count="1">
    <field x="-2"/>
  </colFields>
  <colItems count="3">
    <i>
      <x/>
    </i>
    <i i="1">
      <x v="1"/>
    </i>
    <i i="2">
      <x v="2"/>
    </i>
  </colItems>
  <dataFields count="3">
    <dataField name="Total AMT" fld="5" baseField="4" baseItem="0" numFmtId="43"/>
    <dataField name="PK_AMT" fld="6" baseField="4" baseItem="0" numFmtId="43"/>
    <dataField name="NC_AMT" fld="7" baseField="4" baseItem="0" numFmtId="43"/>
  </dataFields>
  <formats count="27">
    <format dxfId="177">
      <pivotArea dataOnly="0" labelOnly="1" outline="0" fieldPosition="0">
        <references count="1">
          <reference field="4294967294" count="1">
            <x v="0"/>
          </reference>
        </references>
      </pivotArea>
    </format>
    <format dxfId="176">
      <pivotArea dataOnly="0" labelOnly="1" outline="0" fieldPosition="0">
        <references count="1">
          <reference field="4294967294" count="1">
            <x v="1"/>
          </reference>
        </references>
      </pivotArea>
    </format>
    <format dxfId="175">
      <pivotArea dataOnly="0" labelOnly="1" outline="0" fieldPosition="0">
        <references count="1">
          <reference field="4294967294" count="1">
            <x v="2"/>
          </reference>
        </references>
      </pivotArea>
    </format>
    <format dxfId="174">
      <pivotArea outline="0" fieldPosition="0">
        <references count="1">
          <reference field="4294967294" count="1">
            <x v="0"/>
          </reference>
        </references>
      </pivotArea>
    </format>
    <format dxfId="173">
      <pivotArea outline="0" fieldPosition="0">
        <references count="1">
          <reference field="4294967294" count="1">
            <x v="1"/>
          </reference>
        </references>
      </pivotArea>
    </format>
    <format dxfId="172">
      <pivotArea outline="0" fieldPosition="0">
        <references count="1">
          <reference field="4294967294" count="1">
            <x v="2"/>
          </reference>
        </references>
      </pivotArea>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field="1" type="button" dataOnly="0" labelOnly="1" outline="0" axis="axisRow" fieldPosition="1"/>
    </format>
    <format dxfId="167">
      <pivotArea field="2" type="button" dataOnly="0" labelOnly="1" outline="0" axis="axisRow" fieldPosition="2"/>
    </format>
    <format dxfId="166">
      <pivotArea field="3" type="button" dataOnly="0" labelOnly="1" outline="0" axis="axisRow" fieldPosition="3"/>
    </format>
    <format dxfId="165">
      <pivotArea field="4" type="button" dataOnly="0" labelOnly="1" outline="0" axis="axisRow" fieldPosition="4"/>
    </format>
    <format dxfId="164">
      <pivotArea dataOnly="0" labelOnly="1" outline="0" fieldPosition="0">
        <references count="1">
          <reference field="0" count="0"/>
        </references>
      </pivotArea>
    </format>
    <format dxfId="163">
      <pivotArea dataOnly="0" labelOnly="1" grandRow="1" outline="0" fieldPosition="0"/>
    </format>
    <format dxfId="162">
      <pivotArea dataOnly="0" labelOnly="1" outline="0" fieldPosition="0">
        <references count="2">
          <reference field="0" count="1" selected="0">
            <x v="0"/>
          </reference>
          <reference field="1" count="2">
            <x v="20"/>
            <x v="21"/>
          </reference>
        </references>
      </pivotArea>
    </format>
    <format dxfId="161">
      <pivotArea dataOnly="0" labelOnly="1" outline="0" fieldPosition="0">
        <references count="2">
          <reference field="0" count="1" selected="0">
            <x v="3"/>
          </reference>
          <reference field="1" count="1">
            <x v="22"/>
          </reference>
        </references>
      </pivotArea>
    </format>
    <format dxfId="160">
      <pivotArea dataOnly="0" labelOnly="1" outline="0" fieldPosition="0">
        <references count="3">
          <reference field="0" count="1" selected="0">
            <x v="0"/>
          </reference>
          <reference field="1" count="1" selected="0">
            <x v="20"/>
          </reference>
          <reference field="2" count="3">
            <x v="0"/>
            <x v="30"/>
            <x v="31"/>
          </reference>
        </references>
      </pivotArea>
    </format>
    <format dxfId="159">
      <pivotArea dataOnly="0" labelOnly="1" outline="0" fieldPosition="0">
        <references count="3">
          <reference field="0" count="1" selected="0">
            <x v="0"/>
          </reference>
          <reference field="1" count="1" selected="0">
            <x v="21"/>
          </reference>
          <reference field="2" count="1">
            <x v="0"/>
          </reference>
        </references>
      </pivotArea>
    </format>
    <format dxfId="158">
      <pivotArea dataOnly="0" labelOnly="1" outline="0" fieldPosition="0">
        <references count="3">
          <reference field="0" count="1" selected="0">
            <x v="3"/>
          </reference>
          <reference field="1" count="1" selected="0">
            <x v="22"/>
          </reference>
          <reference field="2" count="1">
            <x v="32"/>
          </reference>
        </references>
      </pivotArea>
    </format>
    <format dxfId="157">
      <pivotArea dataOnly="0" labelOnly="1" outline="0" fieldPosition="0">
        <references count="4">
          <reference field="0" count="1" selected="0">
            <x v="0"/>
          </reference>
          <reference field="1" count="1" selected="0">
            <x v="20"/>
          </reference>
          <reference field="2" count="1" selected="0">
            <x v="0"/>
          </reference>
          <reference field="3" count="0"/>
        </references>
      </pivotArea>
    </format>
    <format dxfId="156">
      <pivotArea dataOnly="0" labelOnly="1" outline="0" fieldPosition="0">
        <references count="5">
          <reference field="0" count="1" selected="0">
            <x v="0"/>
          </reference>
          <reference field="1" count="1" selected="0">
            <x v="20"/>
          </reference>
          <reference field="2" count="1" selected="0">
            <x v="0"/>
          </reference>
          <reference field="3" count="0" selected="0"/>
          <reference field="4" count="1">
            <x v="7"/>
          </reference>
        </references>
      </pivotArea>
    </format>
    <format dxfId="155">
      <pivotArea dataOnly="0" labelOnly="1" outline="0" fieldPosition="0">
        <references count="5">
          <reference field="0" count="1" selected="0">
            <x v="0"/>
          </reference>
          <reference field="1" count="1" selected="0">
            <x v="20"/>
          </reference>
          <reference field="2" count="1" selected="0">
            <x v="31"/>
          </reference>
          <reference field="3" count="0" selected="0"/>
          <reference field="4" count="1">
            <x v="7"/>
          </reference>
        </references>
      </pivotArea>
    </format>
    <format dxfId="154">
      <pivotArea dataOnly="0" labelOnly="1" outline="0" fieldPosition="0">
        <references count="5">
          <reference field="0" count="1" selected="0">
            <x v="0"/>
          </reference>
          <reference field="1" count="1" selected="0">
            <x v="20"/>
          </reference>
          <reference field="2" count="1" selected="0">
            <x v="30"/>
          </reference>
          <reference field="3" count="0" selected="0"/>
          <reference field="4" count="1">
            <x v="7"/>
          </reference>
        </references>
      </pivotArea>
    </format>
    <format dxfId="153">
      <pivotArea dataOnly="0" labelOnly="1" outline="0" fieldPosition="0">
        <references count="5">
          <reference field="0" count="1" selected="0">
            <x v="0"/>
          </reference>
          <reference field="1" count="1" selected="0">
            <x v="21"/>
          </reference>
          <reference field="2" count="1" selected="0">
            <x v="0"/>
          </reference>
          <reference field="3" count="0" selected="0"/>
          <reference field="4" count="1">
            <x v="7"/>
          </reference>
        </references>
      </pivotArea>
    </format>
    <format dxfId="152">
      <pivotArea dataOnly="0" labelOnly="1" outline="0" fieldPosition="0">
        <references count="5">
          <reference field="0" count="1" selected="0">
            <x v="3"/>
          </reference>
          <reference field="1" count="1" selected="0">
            <x v="22"/>
          </reference>
          <reference field="2" count="1" selected="0">
            <x v="32"/>
          </reference>
          <reference field="3" count="0" selected="0"/>
          <reference field="4" count="1">
            <x v="8"/>
          </reference>
        </references>
      </pivotArea>
    </format>
    <format dxfId="151">
      <pivotArea dataOnly="0" labelOnly="1" outline="0" fieldPosition="0">
        <references count="1">
          <reference field="4294967294" count="3">
            <x v="0"/>
            <x v="1"/>
            <x v="2"/>
          </reference>
        </references>
      </pivotArea>
    </format>
  </formats>
  <pivotHierarchies count="23">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My_Payment].[Due Date (Year)].&amp;[2026]"/>
      </members>
    </pivotHierarchy>
    <pivotHierarchy dragToData="1"/>
    <pivotHierarchy multipleItemSelectionAllowed="1" dragToData="1">
      <members count="1" level="1">
        <member name="[My_Payment].[Due Date (Month)].&amp;[Jul]"/>
      </members>
    </pivotHierarchy>
    <pivotHierarchy dragToData="1"/>
    <pivotHierarchy dragToData="1"/>
    <pivotHierarchy dragToRow="0" dragToCol="0" dragToPage="0" dragToData="1"/>
    <pivotHierarchy dragToRow="0" dragToCol="0" dragToPage="0" dragToData="1"/>
    <pivotHierarchy dragToData="1" caption="Total AMT"/>
    <pivotHierarchy dragToData="1" caption="PK_AMT"/>
    <pivotHierarchy dragToData="1" caption="NC_AMT"/>
  </pivotHierarchies>
  <pivotTableStyleInfo name="PivotStyleLight16" showRowHeaders="1" showColHeaders="1" showRowStripes="1" showColStripes="0" showLastColumn="1"/>
  <rowHierarchiesUsage count="5">
    <rowHierarchyUsage hierarchyUsage="1"/>
    <rowHierarchyUsage hierarchyUsage="0"/>
    <rowHierarchyUsage hierarchyUsage="3"/>
    <rowHierarchyUsage hierarchyUsage="4"/>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_Paymen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Payment" xr10:uid="{D7C48280-F966-4150-8780-9159E61F2E07}" sourceName="[My_Payment].[App Payment]">
  <pivotTables>
    <pivotTable tabId="15" name="PivotTable1"/>
  </pivotTables>
  <data>
    <olap pivotCacheId="1099840290">
      <levels count="2">
        <level uniqueName="[My_Payment].[App Payment].[(All)]" sourceCaption="(All)" count="0"/>
        <level uniqueName="[My_Payment].[App Payment].[App Payment]" sourceCaption="App Payment" count="6">
          <ranges>
            <range startItem="0">
              <i n="[My_Payment].[App Payment].&amp;[K PLUS]" c="K PLUS"/>
              <i n="[My_Payment].[App Payment].&amp;[KMA]" c="KMA"/>
              <i n="[My_Payment].[App Payment].&amp;[Krungthai Next]" c="Krungthai Next"/>
              <i n="[My_Payment].[App Payment].&amp;[Truemoney]" c="Truemoney"/>
              <i n="[My_Payment].[App Payment].&amp;[UOB TRW]" c="UOB TRW"/>
              <i n="[My_Payment].[App Payment].&amp;" c="(blank)" nd="1"/>
            </range>
          </ranges>
        </level>
      </levels>
      <selections count="1">
        <selection n="[My_Payment].[App Pay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Date__Year" xr10:uid="{10C8041D-7416-46D8-B932-8480CAD37DEE}" sourceName="[My_Payment].[Due Date (Year)]">
  <pivotTables>
    <pivotTable tabId="15" name="PivotTable1"/>
    <pivotTable tabId="18" name="PivotTable1"/>
  </pivotTables>
  <data>
    <olap pivotCacheId="1099840290">
      <levels count="2">
        <level uniqueName="[My_Payment].[Due Date (Year)].[(All)]" sourceCaption="(All)" count="0"/>
        <level uniqueName="[My_Payment].[Due Date (Year)].[Due Date (Year)]" sourceCaption="Due Date (Year)" count="9">
          <ranges>
            <range startItem="0">
              <i n="[My_Payment].[Due Date (Year)].&amp;[2022]" c="2022"/>
              <i n="[My_Payment].[Due Date (Year)].&amp;[2023]" c="2023"/>
              <i n="[My_Payment].[Due Date (Year)].&amp;[2024]" c="2024"/>
              <i n="[My_Payment].[Due Date (Year)].&amp;[2025]" c="2025"/>
              <i n="[My_Payment].[Due Date (Year)].&amp;[2026]" c="2026"/>
              <i n="[My_Payment].[Due Date (Year)].&amp;[2027]" c="2027"/>
              <i n="[My_Payment].[Due Date (Year)].&amp;[2028]" c="2028"/>
              <i n="[My_Payment].[Due Date (Year)].&amp;[]" c=""/>
              <i n="[My_Payment].[Due Date (Year)].&amp;[2029]" c="2029"/>
            </range>
          </ranges>
        </level>
      </levels>
      <selections count="1">
        <selection n="[My_Payment].[Due Date (Year)].&amp;[202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Date__Month" xr10:uid="{5D1D0AF7-833C-4BAB-8BD8-E9FE0EC98D5E}" sourceName="[My_Payment].[Due Date (Month)]">
  <pivotTables>
    <pivotTable tabId="15" name="PivotTable1"/>
  </pivotTables>
  <data>
    <olap pivotCacheId="1099840290">
      <levels count="2">
        <level uniqueName="[My_Payment].[Due Date (Month)].[(All)]" sourceCaption="(All)" count="0"/>
        <level uniqueName="[My_Payment].[Due Date (Month)].[Due Date (Month)]" sourceCaption="Due Date (Month)" count="13">
          <ranges>
            <range startItem="0">
              <i n="[My_Payment].[Due Date (Month)].&amp;[Jan]" c="Jan"/>
              <i n="[My_Payment].[Due Date (Month)].&amp;[Feb]" c="Feb"/>
              <i n="[My_Payment].[Due Date (Month)].&amp;[Mar]" c="Mar"/>
              <i n="[My_Payment].[Due Date (Month)].&amp;[Apr]" c="Apr"/>
              <i n="[My_Payment].[Due Date (Month)].&amp;[May]" c="May"/>
              <i n="[My_Payment].[Due Date (Month)].&amp;[Jun]" c="Jun"/>
              <i n="[My_Payment].[Due Date (Month)].&amp;[Jul]" c="Jul"/>
              <i n="[My_Payment].[Due Date (Month)].&amp;[Aug]" c="Aug"/>
              <i n="[My_Payment].[Due Date (Month)].&amp;[Sep]" c="Sep"/>
              <i n="[My_Payment].[Due Date (Month)].&amp;[Oct]" c="Oct"/>
              <i n="[My_Payment].[Due Date (Month)].&amp;[Nov]" c="Nov"/>
              <i n="[My_Payment].[Due Date (Month)].&amp;[Dec]" c="Dec"/>
              <i n="[My_Payment].[Due Date (Month)].&amp;[]" c="" nd="1"/>
            </range>
          </ranges>
        </level>
      </levels>
      <selections count="1">
        <selection n="[My_Payment].[Due Date (Month)].&amp;[Ju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Code" xr10:uid="{82A91369-EA32-445F-BDD4-D9747DD91443}" sourceName="[My_Payment].[Payment_Code]">
  <pivotTables>
    <pivotTable tabId="15" name="PivotTable1"/>
  </pivotTables>
  <data>
    <olap pivotCacheId="1099840290">
      <levels count="2">
        <level uniqueName="[My_Payment].[Payment_Code].[(All)]" sourceCaption="(All)" count="0"/>
        <level uniqueName="[My_Payment].[Payment_Code].[Payment_Code]" sourceCaption="Payment_Code" count="4">
          <ranges>
            <range startItem="0">
              <i n="[My_Payment].[Payment_Code].&amp;" c="(blank)"/>
              <i n="[My_Payment].[Payment_Code].&amp;[P]" c="P"/>
              <i n="[My_Payment].[Payment_Code].&amp;[S]" c="S"/>
              <i n="[My_Payment].[Payment_Code].&amp;[N]" c="N" nd="1"/>
            </range>
          </ranges>
        </level>
      </levels>
      <selections count="1">
        <selection n="[My_Payment].[Payment_C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Date__Year1" xr10:uid="{D8132C47-70BA-4F1F-9040-F0123B234B9E}" sourceName="[My_Payment].[Due Date (Year)]">
  <pivotTables>
    <pivotTable tabId="16" name="Pivot_Total"/>
  </pivotTables>
  <data>
    <olap pivotCacheId="1219557046">
      <levels count="2">
        <level uniqueName="[My_Payment].[Due Date (Year)].[(All)]" sourceCaption="(All)" count="0"/>
        <level uniqueName="[My_Payment].[Due Date (Year)].[Due Date (Year)]" sourceCaption="Due Date (Year)" count="9">
          <ranges>
            <range startItem="0">
              <i n="[My_Payment].[Due Date (Year)].&amp;[2022]" c="2022"/>
              <i n="[My_Payment].[Due Date (Year)].&amp;[2023]" c="2023"/>
              <i n="[My_Payment].[Due Date (Year)].&amp;[2024]" c="2024"/>
              <i n="[My_Payment].[Due Date (Year)].&amp;[2025]" c="2025"/>
              <i n="[My_Payment].[Due Date (Year)].&amp;[2026]" c="2026"/>
              <i n="[My_Payment].[Due Date (Year)].&amp;[2027]" c="2027"/>
              <i n="[My_Payment].[Due Date (Year)].&amp;[2028]" c="2028"/>
              <i n="[My_Payment].[Due Date (Year)].&amp;[2029]" c="2029"/>
              <i n="[My_Payment].[Due Date (Year)].&amp;[]" c="" nd="1"/>
            </range>
          </ranges>
        </level>
      </levels>
      <selections count="1">
        <selection n="[My_Payment].[Due Date (Year)].&amp;[2026]"/>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Date__Year2" xr10:uid="{FBE978D0-961A-4BE9-8E59-DCACE92AC83E}" sourceName="[My_Payment].[Due Date (Year)]">
  <pivotTables>
    <pivotTable tabId="19" name="Pivot_Installment"/>
  </pivotTables>
  <data>
    <olap pivotCacheId="1635861996">
      <levels count="2">
        <level uniqueName="[My_Payment].[Due Date (Year)].[(All)]" sourceCaption="(All)" count="0"/>
        <level uniqueName="[My_Payment].[Due Date (Year)].[Due Date (Year)]" sourceCaption="Due Date (Year)" count="9">
          <ranges>
            <range startItem="0">
              <i n="[My_Payment].[Due Date (Year)].&amp;[2022]" c="2022"/>
              <i n="[My_Payment].[Due Date (Year)].&amp;[2023]" c="2023"/>
              <i n="[My_Payment].[Due Date (Year)].&amp;[2024]" c="2024"/>
              <i n="[My_Payment].[Due Date (Year)].&amp;[2025]" c="2025"/>
              <i n="[My_Payment].[Due Date (Year)].&amp;[2026]" c="2026"/>
              <i n="[My_Payment].[Due Date (Year)].&amp;[2027]" c="2027"/>
              <i n="[My_Payment].[Due Date (Year)].&amp;[2028]" c="2028"/>
              <i n="[My_Payment].[Due Date (Year)].&amp;[2029]" c="2029"/>
              <i n="[My_Payment].[Due Date (Year)].&amp;[]" c="" nd="1"/>
            </range>
          </ranges>
        </level>
      </levels>
      <selections count="1">
        <selection n="[My_Payment].[Due Date (Year)].&amp;[2026]"/>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Date__Year3" xr10:uid="{83FF667C-2E1C-43AD-9C7B-21BFAF627DF9}" sourceName="[My_Payment].[Due Date (Year)]">
  <pivotTables>
    <pivotTable tabId="20" name="PivotTable1"/>
  </pivotTables>
  <data>
    <olap pivotCacheId="650328162">
      <levels count="2">
        <level uniqueName="[My_Payment].[Due Date (Year)].[(All)]" sourceCaption="(All)" count="0"/>
        <level uniqueName="[My_Payment].[Due Date (Year)].[Due Date (Year)]" sourceCaption="Due Date (Year)" count="9">
          <ranges>
            <range startItem="0">
              <i n="[My_Payment].[Due Date (Year)].&amp;[]" c=""/>
              <i n="[My_Payment].[Due Date (Year)].&amp;[2022]" c="2022"/>
              <i n="[My_Payment].[Due Date (Year)].&amp;[2023]" c="2023"/>
              <i n="[My_Payment].[Due Date (Year)].&amp;[2024]" c="2024"/>
              <i n="[My_Payment].[Due Date (Year)].&amp;[2025]" c="2025"/>
              <i n="[My_Payment].[Due Date (Year)].&amp;[2026]" c="2026"/>
              <i n="[My_Payment].[Due Date (Year)].&amp;[2027]" c="2027"/>
              <i n="[My_Payment].[Due Date (Year)].&amp;[2028]" c="2028"/>
              <i n="[My_Payment].[Due Date (Year)].&amp;[2029]" c="2029"/>
            </range>
          </ranges>
        </level>
      </levels>
      <selections count="1">
        <selection n="[My_Payment].[Due Date (Year)].&amp;[202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e Date (Year) 1" xr10:uid="{F61F97AD-02A0-4039-AF83-10077479E395}" cache="Slicer_Due_Date__Year1" caption="Due Date (Year)" startItem="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e Date (Year) 2" xr10:uid="{2CA3774B-BCE1-4464-90CF-848D88524438}" cache="Slicer_Due_Date__Year" caption="Due Date (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e Date (Year) 4" xr10:uid="{FE506A2D-2030-4509-91F3-1C167BFD564E}" cache="Slicer_Due_Date__Year3" caption="Due Date (Yea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e Date (Year) 3" xr10:uid="{49B8A622-C076-4B82-B8D4-10D86E80EDEB}" cache="Slicer_Due_Date__Year2" caption="Due Date (Year)"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 Payment" xr10:uid="{890ED9D7-EC8F-4EB7-B357-422CC27CC12C}" cache="Slicer_App_Payment" caption="App Payment" level="1" rowHeight="234950"/>
  <slicer name="Due Date (Year)" xr10:uid="{01241A61-0A23-4DE7-87F6-B70F3044B90E}" cache="Slicer_Due_Date__Year" caption="Due Date (Year)" startItem="2" level="1" rowHeight="234950"/>
  <slicer name="Due Date (Month)" xr10:uid="{0338EC92-07D2-49AF-A1DE-71F6348E4B4B}" cache="Slicer_Due_Date__Month" caption="Due Date (Month)" level="1" rowHeight="234950"/>
  <slicer name="Payment_Code" xr10:uid="{F625A3EC-91A8-47D0-ABEA-FF8B8D7341DF}" cache="Slicer_Payment_Code" caption="Payment_C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9F8C2C-F8CC-4328-A925-89B5727A6A37}" name="My_Payment" displayName="My_Payment" ref="A1:J1635" totalsRowShown="0" headerRowDxfId="150" dataDxfId="149">
  <autoFilter ref="A1:J1635" xr:uid="{4A9F8C2C-F8CC-4328-A925-89B5727A6A37}"/>
  <tableColumns count="10">
    <tableColumn id="1" xr3:uid="{2FE1178A-3317-4D0A-9751-60E339A244C1}" name="Date" dataDxfId="148"/>
    <tableColumn id="2" xr3:uid="{A3ACAE67-496F-487D-9F30-F4D2EB3A9DB7}" name="Credit Card" dataDxfId="147"/>
    <tableColumn id="13" xr3:uid="{8408B09A-2F2A-4B98-869E-BBB52CCE773D}" name="App Payment" dataDxfId="146"/>
    <tableColumn id="3" xr3:uid="{224A84DD-BDBC-43FC-A267-5699BA48801D}" name="Detail" dataDxfId="145"/>
    <tableColumn id="9" xr3:uid="{13409914-BF66-4A85-97AE-9F92BADCF88A}" name="Inst.Period" dataDxfId="144"/>
    <tableColumn id="10" xr3:uid="{8E5137D7-A0F8-4257-AC75-35C530CE9771}" name="Due Date" dataDxfId="143"/>
    <tableColumn id="5" xr3:uid="{C993E9C6-1D4C-448C-8855-0D9BAF58E317}" name="Payment_Code" dataDxfId="142"/>
    <tableColumn id="6" xr3:uid="{A95655D6-BBE3-4511-BA63-3D1473427AED}" name="Total AMT" dataDxfId="141"/>
    <tableColumn id="7" xr3:uid="{984051AB-104A-427E-864D-20A390B2DC90}" name="PK_AMT" dataDxfId="140">
      <calculatedColumnFormula>IF(My_Payment[[#This Row],[Payment_Code]]="S",My_Payment[[#This Row],[Total AMT]]/2,IF(My_Payment[[#This Row],[Payment_Code]]="P",My_Payment[[#This Row],[Total AMT]],0))</calculatedColumnFormula>
    </tableColumn>
    <tableColumn id="8" xr3:uid="{F57FE3FD-1116-4407-B374-2B6F1BC72F2B}" name="NC_AMT" dataDxfId="139">
      <calculatedColumnFormula>IF(My_Payment[[#This Row],[Payment_Code]]="S",My_Payment[[#This Row],[Total AMT]]/2,IF(My_Payment[[#This Row],[Payment_Code]]="N",My_Payment[[#This Row],[Total AMT]],0))</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44468B-20A0-46C5-9CAA-E5A9F071CAD0}" name="Installment" displayName="Installment" ref="A1:AP17" totalsRowCount="1" headerRowDxfId="88" dataDxfId="87">
  <autoFilter ref="A1:AP16" xr:uid="{3E44468B-20A0-46C5-9CAA-E5A9F071CAD0}"/>
  <tableColumns count="42">
    <tableColumn id="1" xr3:uid="{E7DCFE63-693D-4031-87E0-4B88F425046A}" name="Detail" totalsRowLabel="Total" dataDxfId="86" totalsRowDxfId="85"/>
    <tableColumn id="2" xr3:uid="{884E6131-27F7-450C-A53C-B5EE8CC32C15}" name="Amt" totalsRowFunction="sum" dataDxfId="84" totalsRowDxfId="83"/>
    <tableColumn id="3" xr3:uid="{19EEB7DF-05B0-40DA-865D-D7C6C5A0E1F8}" name="Month" dataDxfId="82" totalsRowDxfId="81"/>
    <tableColumn id="4" xr3:uid="{2E2CB90E-885B-4DDB-9BA1-E01F8E7185E3}" name="Jan-22" totalsRowFunction="sum" dataDxfId="80" totalsRowDxfId="79">
      <calculatedColumnFormula>Installment[[#This Row],[Amt]]/Installment[[#This Row],[Month]]</calculatedColumnFormula>
    </tableColumn>
    <tableColumn id="5" xr3:uid="{D1537ACD-C2A5-4A32-A394-50A29DFA355A}" name="Feb-22" totalsRowFunction="sum" dataDxfId="78" totalsRowDxfId="77">
      <calculatedColumnFormula>Installment[[#This Row],[Amt]]/Installment[[#This Row],[Month]]</calculatedColumnFormula>
    </tableColumn>
    <tableColumn id="6" xr3:uid="{9F0B12B9-F231-473C-81BA-BF8FC246FA3B}" name="Mar-22" totalsRowFunction="sum" dataDxfId="76" totalsRowDxfId="75">
      <calculatedColumnFormula>Installment[[#This Row],[Amt]]/Installment[[#This Row],[Month]]</calculatedColumnFormula>
    </tableColumn>
    <tableColumn id="7" xr3:uid="{C1D3932E-931A-4745-A2EA-64AD9351BFB9}" name="Apr-22" totalsRowFunction="sum" dataDxfId="74" totalsRowDxfId="73">
      <calculatedColumnFormula>Installment[[#This Row],[Amt]]/Installment[[#This Row],[Month]]</calculatedColumnFormula>
    </tableColumn>
    <tableColumn id="8" xr3:uid="{54BBBFD7-8AD9-4269-9B93-0B5BC6BCC070}" name="May-22" totalsRowFunction="sum" dataDxfId="72" totalsRowDxfId="71">
      <calculatedColumnFormula>Installment[[#This Row],[Amt]]/Installment[[#This Row],[Month]]</calculatedColumnFormula>
    </tableColumn>
    <tableColumn id="9" xr3:uid="{CEA1EB0F-34B7-4308-9224-3F2D1BDBDD8E}" name="Jun-22" totalsRowFunction="sum" dataDxfId="70" totalsRowDxfId="69">
      <calculatedColumnFormula>Installment[[#This Row],[Amt]]/Installment[[#This Row],[Month]]</calculatedColumnFormula>
    </tableColumn>
    <tableColumn id="10" xr3:uid="{FF09300E-3A37-4C66-B817-23CB2204C65C}" name="Jul-22" totalsRowFunction="sum" dataDxfId="68" totalsRowDxfId="67">
      <calculatedColumnFormula>Installment[[#This Row],[Amt]]/Installment[[#This Row],[Month]]</calculatedColumnFormula>
    </tableColumn>
    <tableColumn id="11" xr3:uid="{55BED499-F2A7-4546-88B6-96F4B7688384}" name="Aug-22" totalsRowFunction="sum" dataDxfId="66" totalsRowDxfId="65">
      <calculatedColumnFormula>Installment[[#This Row],[Amt]]/Installment[[#This Row],[Month]]</calculatedColumnFormula>
    </tableColumn>
    <tableColumn id="12" xr3:uid="{83D34E18-3396-4B5A-932A-D26B98FD6454}" name="Sep-22" totalsRowFunction="sum" dataDxfId="64" totalsRowDxfId="63">
      <calculatedColumnFormula>Installment[[#This Row],[Amt]]/Installment[[#This Row],[Month]]</calculatedColumnFormula>
    </tableColumn>
    <tableColumn id="13" xr3:uid="{41F9997A-66EC-4E77-BE1D-BB6785F875DF}" name="Oct-22" totalsRowFunction="sum" dataDxfId="62" totalsRowDxfId="61">
      <calculatedColumnFormula>Installment[[#This Row],[Amt]]/Installment[[#This Row],[Month]]</calculatedColumnFormula>
    </tableColumn>
    <tableColumn id="14" xr3:uid="{B4FF18AB-4796-4AD2-9278-7EC1E3B4F878}" name="Nov-22" totalsRowFunction="sum" dataDxfId="60" totalsRowDxfId="59">
      <calculatedColumnFormula>Installment[[#This Row],[Amt]]/Installment[[#This Row],[Month]]</calculatedColumnFormula>
    </tableColumn>
    <tableColumn id="15" xr3:uid="{A0DB6AD5-047A-459D-BAC2-2A05766D7CDB}" name="Dec-22" totalsRowFunction="sum" dataDxfId="58" totalsRowDxfId="57">
      <calculatedColumnFormula>Installment[[#This Row],[Amt]]/Installment[[#This Row],[Month]]</calculatedColumnFormula>
    </tableColumn>
    <tableColumn id="16" xr3:uid="{361477FA-3FBF-489D-95A6-07E86F55D948}" name="Total-22" totalsRowFunction="sum" dataDxfId="56" totalsRowDxfId="55">
      <calculatedColumnFormula>SUM(Installment[[#This Row],[Jan-22]:[Dec-22]])</calculatedColumnFormula>
    </tableColumn>
    <tableColumn id="17" xr3:uid="{B167AA1B-9F60-42CB-920E-F69296E49BF9}" name="Jan-23" totalsRowFunction="sum" dataDxfId="54" totalsRowDxfId="53">
      <calculatedColumnFormula>Installment[[#This Row],[Amt]]/Installment[[#This Row],[Month]]</calculatedColumnFormula>
    </tableColumn>
    <tableColumn id="18" xr3:uid="{11C1C420-43D3-443C-95C8-797561524852}" name="Feb-23" totalsRowFunction="sum" dataDxfId="52" totalsRowDxfId="51">
      <calculatedColumnFormula>Installment[[#This Row],[Amt]]/Installment[[#This Row],[Month]]</calculatedColumnFormula>
    </tableColumn>
    <tableColumn id="19" xr3:uid="{CC6EE2C0-DD47-4227-901F-4E7BF2EF57FF}" name="Mar-23" totalsRowFunction="sum" dataDxfId="50" totalsRowDxfId="49">
      <calculatedColumnFormula>Installment[[#This Row],[Amt]]/Installment[[#This Row],[Month]]</calculatedColumnFormula>
    </tableColumn>
    <tableColumn id="20" xr3:uid="{89F48027-47B7-4A5D-8FE5-4091BB0D2068}" name="Apr-23" totalsRowFunction="sum" dataDxfId="48" totalsRowDxfId="47">
      <calculatedColumnFormula>Installment[[#This Row],[Amt]]/Installment[[#This Row],[Month]]</calculatedColumnFormula>
    </tableColumn>
    <tableColumn id="21" xr3:uid="{9B89A271-F905-4535-AC40-CEB832DA9457}" name="May-23" totalsRowFunction="sum" dataDxfId="46" totalsRowDxfId="45">
      <calculatedColumnFormula>Installment[[#This Row],[Amt]]/Installment[[#This Row],[Month]]</calculatedColumnFormula>
    </tableColumn>
    <tableColumn id="22" xr3:uid="{192DC4C6-ED8C-468F-909A-369C03757BE5}" name="Jun-23" totalsRowFunction="sum" dataDxfId="44" totalsRowDxfId="43">
      <calculatedColumnFormula>Installment[[#This Row],[Amt]]/Installment[[#This Row],[Month]]</calculatedColumnFormula>
    </tableColumn>
    <tableColumn id="23" xr3:uid="{78FA3AA1-9514-4DA4-9BEC-A06383C92D90}" name="Jul-23" totalsRowFunction="sum" dataDxfId="42" totalsRowDxfId="41">
      <calculatedColumnFormula>Installment[[#This Row],[Amt]]/Installment[[#This Row],[Month]]</calculatedColumnFormula>
    </tableColumn>
    <tableColumn id="24" xr3:uid="{99E22E7E-B346-4DA2-AA5C-34A6C24D9185}" name="Aug-23" totalsRowFunction="sum" dataDxfId="40" totalsRowDxfId="39">
      <calculatedColumnFormula>Installment[[#This Row],[Amt]]/Installment[[#This Row],[Month]]</calculatedColumnFormula>
    </tableColumn>
    <tableColumn id="25" xr3:uid="{8FB56B90-8A71-4273-B70C-18F37E46C717}" name="Sep-23" totalsRowFunction="sum" dataDxfId="38" totalsRowDxfId="37">
      <calculatedColumnFormula>Installment[[#This Row],[Amt]]/Installment[[#This Row],[Month]]</calculatedColumnFormula>
    </tableColumn>
    <tableColumn id="26" xr3:uid="{8E8C573F-D702-4A97-8722-73FC0CA228AE}" name="Oct-23" totalsRowFunction="sum" dataDxfId="36" totalsRowDxfId="35">
      <calculatedColumnFormula>Installment[[#This Row],[Amt]]/Installment[[#This Row],[Month]]</calculatedColumnFormula>
    </tableColumn>
    <tableColumn id="27" xr3:uid="{23B1AD35-E022-43C0-A19F-82675774C011}" name="Nov-23" totalsRowFunction="sum" dataDxfId="34" totalsRowDxfId="33">
      <calculatedColumnFormula>Installment[[#This Row],[Amt]]/Installment[[#This Row],[Month]]</calculatedColumnFormula>
    </tableColumn>
    <tableColumn id="28" xr3:uid="{222FBE09-7665-49C7-9DE3-7FF8D5156E83}" name="Dec-23" totalsRowFunction="sum" dataDxfId="32" totalsRowDxfId="31">
      <calculatedColumnFormula>Installment[[#This Row],[Amt]]/Installment[[#This Row],[Month]]</calculatedColumnFormula>
    </tableColumn>
    <tableColumn id="29" xr3:uid="{8BF5C5DB-856E-4192-AEE4-746AC1EEF845}" name="Total-23" totalsRowFunction="sum" dataDxfId="30" totalsRowDxfId="29">
      <calculatedColumnFormula>SUM(Installment[[#This Row],[Jan-23]:[Dec-23]])</calculatedColumnFormula>
    </tableColumn>
    <tableColumn id="30" xr3:uid="{556F0FA0-E8AE-4101-A7E4-E7FB57FEECBC}" name="Jan-24" totalsRowFunction="sum" dataDxfId="28" totalsRowDxfId="27">
      <calculatedColumnFormula>Installment[[#This Row],[Amt]]/Installment[[#This Row],[Month]]</calculatedColumnFormula>
    </tableColumn>
    <tableColumn id="31" xr3:uid="{A0912459-59E1-4F2E-8E5F-433391DD268E}" name="Feb-24" totalsRowFunction="sum" dataDxfId="26" totalsRowDxfId="25">
      <calculatedColumnFormula>Installment[[#This Row],[Amt]]/Installment[[#This Row],[Month]]</calculatedColumnFormula>
    </tableColumn>
    <tableColumn id="32" xr3:uid="{49FC96DE-4E03-470C-9AF2-3355B4F24634}" name="Mar-24" totalsRowFunction="sum" dataDxfId="24" totalsRowDxfId="23">
      <calculatedColumnFormula>Installment[[#This Row],[Amt]]/Installment[[#This Row],[Month]]</calculatedColumnFormula>
    </tableColumn>
    <tableColumn id="33" xr3:uid="{19BBC5EE-E21B-41F0-A89A-66FC17494449}" name="Apr-24" totalsRowFunction="sum" dataDxfId="22" totalsRowDxfId="21">
      <calculatedColumnFormula>Installment[[#This Row],[Amt]]/Installment[[#This Row],[Month]]</calculatedColumnFormula>
    </tableColumn>
    <tableColumn id="34" xr3:uid="{31D10B7C-4626-453E-940E-FC6A0713C827}" name="May-24" totalsRowFunction="sum" dataDxfId="20" totalsRowDxfId="19">
      <calculatedColumnFormula>Installment[[#This Row],[Amt]]/Installment[[#This Row],[Month]]</calculatedColumnFormula>
    </tableColumn>
    <tableColumn id="35" xr3:uid="{C8AFEA29-7DB2-4FD7-8763-4ED429DF7C07}" name="Jun-24" totalsRowFunction="sum" dataDxfId="18" totalsRowDxfId="17"/>
    <tableColumn id="36" xr3:uid="{69E17EB9-8B73-4B32-9B50-D4C5480A75B8}" name="Jul-24" totalsRowFunction="sum" dataDxfId="16" totalsRowDxfId="15"/>
    <tableColumn id="37" xr3:uid="{BE563C68-7761-487F-BD05-84F441F3D62D}" name="Aug-24" totalsRowFunction="sum" dataDxfId="14" totalsRowDxfId="13"/>
    <tableColumn id="38" xr3:uid="{57DC2559-33AB-42BF-846D-8A5243F4C46A}" name="Sep-24" totalsRowFunction="sum" dataDxfId="12" totalsRowDxfId="11"/>
    <tableColumn id="39" xr3:uid="{472FB2CA-1CF2-4F49-8B5E-28A78A7356C6}" name="Oct-24" totalsRowFunction="sum" dataDxfId="10" totalsRowDxfId="9"/>
    <tableColumn id="40" xr3:uid="{6767D4FE-8107-4250-B3E3-4A6F96D97471}" name="Nov-24" totalsRowFunction="sum" dataDxfId="8" totalsRowDxfId="7"/>
    <tableColumn id="41" xr3:uid="{977CC94C-63B6-4564-AF85-75B413EA1694}" name="Dec-24" totalsRowFunction="sum" dataDxfId="6" totalsRowDxfId="5"/>
    <tableColumn id="42" xr3:uid="{E5D08738-5AD5-4CD7-8940-E7E187C915FF}" name="Total-24" totalsRowFunction="sum" dataDxfId="4" totalsRowDxfId="3">
      <calculatedColumnFormula>SUM(Installment[[#This Row],[Jan-24]:[Dec-24]])</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3.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0811-FD5F-499C-A91C-77E6D42A23EB}">
  <dimension ref="A1:BX44"/>
  <sheetViews>
    <sheetView topLeftCell="A25" workbookViewId="0">
      <selection activeCell="D38" sqref="D38"/>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9.1640625" bestFit="1" customWidth="1"/>
  </cols>
  <sheetData>
    <row r="1" spans="1:76">
      <c r="A1" s="1"/>
      <c r="B1" s="1"/>
      <c r="U1" s="1"/>
      <c r="V1" s="1"/>
      <c r="AQ1" s="1"/>
      <c r="AR1" s="1"/>
      <c r="BG1" s="1"/>
      <c r="BH1" s="1"/>
      <c r="BW1" s="1"/>
      <c r="BX1" s="1"/>
    </row>
    <row r="2" spans="1:76">
      <c r="A2" s="4" t="s">
        <v>0</v>
      </c>
      <c r="B2" s="53">
        <v>44658</v>
      </c>
      <c r="C2" s="5"/>
      <c r="D2" s="5" t="s">
        <v>1</v>
      </c>
      <c r="E2" s="6" t="s">
        <v>2</v>
      </c>
      <c r="F2" s="6" t="s">
        <v>3</v>
      </c>
      <c r="H2" t="s">
        <v>4</v>
      </c>
      <c r="I2" t="s">
        <v>5</v>
      </c>
      <c r="J2" t="s">
        <v>6</v>
      </c>
    </row>
    <row r="3" spans="1:76">
      <c r="A3" s="4">
        <v>44618</v>
      </c>
      <c r="B3" t="s">
        <v>7</v>
      </c>
      <c r="C3" s="5"/>
      <c r="D3" s="5">
        <v>193.03</v>
      </c>
      <c r="E3" s="9">
        <f>D3/2</f>
        <v>96.515000000000001</v>
      </c>
      <c r="F3" s="10">
        <f>E3</f>
        <v>96.515000000000001</v>
      </c>
    </row>
    <row r="4" spans="1:76">
      <c r="A4" s="4">
        <v>44619</v>
      </c>
      <c r="B4" s="4" t="s">
        <v>8</v>
      </c>
      <c r="C4" s="5"/>
      <c r="D4" s="7">
        <v>775</v>
      </c>
      <c r="E4" s="9">
        <f>D4/2</f>
        <v>387.5</v>
      </c>
      <c r="F4" s="10">
        <f>E4</f>
        <v>387.5</v>
      </c>
    </row>
    <row r="5" spans="1:76">
      <c r="A5" s="4">
        <v>44558</v>
      </c>
      <c r="B5" s="5" t="s">
        <v>9</v>
      </c>
      <c r="C5" s="5" t="s">
        <v>10</v>
      </c>
      <c r="D5" s="7">
        <v>3564.88</v>
      </c>
      <c r="E5" s="8">
        <f>D5/2</f>
        <v>1782.44</v>
      </c>
      <c r="F5" s="8">
        <f>E5</f>
        <v>1782.44</v>
      </c>
    </row>
    <row r="6" spans="1:76">
      <c r="A6" s="4">
        <v>44611</v>
      </c>
      <c r="B6" s="5" t="s">
        <v>11</v>
      </c>
      <c r="C6" s="5" t="s">
        <v>12</v>
      </c>
      <c r="D6" s="7">
        <v>1590</v>
      </c>
      <c r="E6" s="7">
        <v>1590</v>
      </c>
      <c r="F6" s="8"/>
    </row>
    <row r="7" spans="1:76">
      <c r="A7" s="4">
        <v>44611</v>
      </c>
      <c r="B7" s="5" t="s">
        <v>13</v>
      </c>
      <c r="C7" s="5" t="s">
        <v>14</v>
      </c>
      <c r="D7" s="7">
        <v>512.24</v>
      </c>
      <c r="E7" s="7">
        <v>512.24</v>
      </c>
      <c r="F7" s="7">
        <v>0</v>
      </c>
      <c r="G7" s="2"/>
      <c r="H7" s="2">
        <v>1510</v>
      </c>
      <c r="I7" s="3">
        <f>H7/3</f>
        <v>503.33333333333331</v>
      </c>
      <c r="J7" s="3">
        <f>D7-I7</f>
        <v>8.9066666666666947</v>
      </c>
    </row>
    <row r="8" spans="1:76">
      <c r="A8" s="4">
        <v>44611</v>
      </c>
      <c r="B8" s="5" t="s">
        <v>13</v>
      </c>
      <c r="C8" s="5" t="s">
        <v>14</v>
      </c>
      <c r="D8" s="7">
        <v>736.14</v>
      </c>
      <c r="E8" s="7">
        <f>J8/2</f>
        <v>6.4033333333333076</v>
      </c>
      <c r="F8" s="7">
        <f>D8-E8</f>
        <v>729.73666666666668</v>
      </c>
      <c r="G8" s="2"/>
      <c r="H8" s="2">
        <v>2170</v>
      </c>
      <c r="I8" s="3">
        <f>H8/3</f>
        <v>723.33333333333337</v>
      </c>
      <c r="J8" s="3">
        <f>D8-I8</f>
        <v>12.806666666666615</v>
      </c>
    </row>
    <row r="9" spans="1:76">
      <c r="A9" s="4">
        <v>44611</v>
      </c>
      <c r="B9" s="5" t="s">
        <v>15</v>
      </c>
      <c r="C9" s="5" t="s">
        <v>14</v>
      </c>
      <c r="D9" s="7">
        <v>2035.06</v>
      </c>
      <c r="E9" s="7">
        <f>J9/2</f>
        <v>17.696666666666601</v>
      </c>
      <c r="F9" s="7">
        <f>D9-E9</f>
        <v>2017.3633333333332</v>
      </c>
      <c r="G9" s="2"/>
      <c r="H9" s="2">
        <v>5999</v>
      </c>
      <c r="I9" s="3">
        <f>H9/3</f>
        <v>1999.6666666666667</v>
      </c>
      <c r="J9" s="3">
        <f>D9-I9</f>
        <v>35.393333333333203</v>
      </c>
    </row>
    <row r="10" spans="1:76">
      <c r="A10" s="61" t="s">
        <v>16</v>
      </c>
      <c r="B10" s="61"/>
      <c r="C10" s="61"/>
      <c r="D10" s="13">
        <f>SUM(D3:D9)</f>
        <v>9406.35</v>
      </c>
      <c r="E10" s="8">
        <f>SUM(E3:E9)</f>
        <v>4392.7950000000001</v>
      </c>
      <c r="F10" s="8">
        <f>SUM(F3:F9)</f>
        <v>5013.5550000000003</v>
      </c>
    </row>
    <row r="12" spans="1:76">
      <c r="A12" s="4" t="s">
        <v>17</v>
      </c>
      <c r="B12" s="53">
        <v>44652</v>
      </c>
      <c r="C12" s="5"/>
      <c r="D12" s="5" t="s">
        <v>1</v>
      </c>
      <c r="E12" s="6" t="s">
        <v>2</v>
      </c>
      <c r="F12" s="6" t="s">
        <v>3</v>
      </c>
    </row>
    <row r="13" spans="1:76">
      <c r="A13" s="4">
        <v>44612</v>
      </c>
      <c r="B13" s="5" t="s">
        <v>18</v>
      </c>
      <c r="C13" s="5"/>
      <c r="D13" s="7">
        <v>854.93</v>
      </c>
      <c r="E13" s="9">
        <f>D13</f>
        <v>854.93</v>
      </c>
      <c r="F13" s="10"/>
    </row>
    <row r="14" spans="1:76">
      <c r="A14" s="4">
        <v>44612</v>
      </c>
      <c r="B14" t="s">
        <v>18</v>
      </c>
      <c r="C14" s="5"/>
      <c r="D14" s="7">
        <v>1603.93</v>
      </c>
      <c r="E14" s="9">
        <f>D14</f>
        <v>1603.93</v>
      </c>
      <c r="F14" s="10"/>
    </row>
    <row r="15" spans="1:76">
      <c r="A15" s="4">
        <v>44637</v>
      </c>
      <c r="B15" s="5" t="s">
        <v>11</v>
      </c>
      <c r="C15" s="11" t="s">
        <v>19</v>
      </c>
      <c r="D15" s="7">
        <v>319</v>
      </c>
      <c r="E15" s="8">
        <f>D15</f>
        <v>319</v>
      </c>
      <c r="F15" s="8"/>
    </row>
    <row r="16" spans="1:76">
      <c r="A16" s="4">
        <v>44637</v>
      </c>
      <c r="B16" s="5" t="s">
        <v>11</v>
      </c>
      <c r="C16" s="11" t="s">
        <v>12</v>
      </c>
      <c r="D16" s="7">
        <v>320</v>
      </c>
      <c r="E16" s="8">
        <f>D16</f>
        <v>320</v>
      </c>
      <c r="F16" s="8"/>
    </row>
    <row r="17" spans="1:8">
      <c r="A17" s="4">
        <v>44637</v>
      </c>
      <c r="B17" s="5" t="s">
        <v>20</v>
      </c>
      <c r="C17" s="11"/>
      <c r="D17" s="7">
        <v>-7.74</v>
      </c>
      <c r="E17" s="8">
        <f>D17</f>
        <v>-7.74</v>
      </c>
      <c r="F17" s="8"/>
    </row>
    <row r="18" spans="1:8">
      <c r="A18" s="61" t="s">
        <v>21</v>
      </c>
      <c r="B18" s="61"/>
      <c r="C18" s="61"/>
      <c r="D18" s="13">
        <f>SUM(D11:D17)</f>
        <v>3090.1200000000003</v>
      </c>
      <c r="E18" s="8">
        <f>SUM(E11:E17)</f>
        <v>3090.1200000000003</v>
      </c>
      <c r="F18" s="8">
        <f>SUM(F11:F17)</f>
        <v>0</v>
      </c>
    </row>
    <row r="19" spans="1:8">
      <c r="A19" s="1"/>
      <c r="B19" s="1"/>
    </row>
    <row r="20" spans="1:8">
      <c r="A20" s="4" t="s">
        <v>22</v>
      </c>
      <c r="B20" s="53">
        <v>44653</v>
      </c>
      <c r="C20" s="5"/>
      <c r="D20" s="5" t="s">
        <v>1</v>
      </c>
      <c r="E20" s="6" t="s">
        <v>2</v>
      </c>
      <c r="F20" s="6" t="s">
        <v>3</v>
      </c>
    </row>
    <row r="21" spans="1:8">
      <c r="A21" s="4">
        <v>44613</v>
      </c>
      <c r="B21" s="5" t="s">
        <v>23</v>
      </c>
      <c r="C21" s="5"/>
      <c r="D21" s="7">
        <v>1191.8699999999999</v>
      </c>
      <c r="E21" s="9">
        <f>D21</f>
        <v>1191.8699999999999</v>
      </c>
      <c r="F21" s="10"/>
    </row>
    <row r="22" spans="1:8">
      <c r="A22" s="4">
        <v>44616</v>
      </c>
      <c r="B22" s="5" t="s">
        <v>24</v>
      </c>
      <c r="C22" s="11" t="s">
        <v>25</v>
      </c>
      <c r="D22" s="7">
        <v>4601.16</v>
      </c>
      <c r="E22" s="9">
        <f>D22</f>
        <v>4601.16</v>
      </c>
      <c r="F22" s="10"/>
      <c r="H22" s="3">
        <f>D22*6</f>
        <v>27606.959999999999</v>
      </c>
    </row>
    <row r="23" spans="1:8">
      <c r="A23" s="4">
        <v>44616</v>
      </c>
      <c r="B23" t="s">
        <v>26</v>
      </c>
      <c r="C23" s="11" t="s">
        <v>25</v>
      </c>
      <c r="D23" s="7">
        <v>204.29</v>
      </c>
      <c r="E23" s="8">
        <f>D23</f>
        <v>204.29</v>
      </c>
      <c r="F23" s="8"/>
      <c r="H23" s="3">
        <f>D23*6</f>
        <v>1225.74</v>
      </c>
    </row>
    <row r="24" spans="1:8">
      <c r="A24" s="4"/>
      <c r="B24" s="5"/>
      <c r="C24" s="11"/>
      <c r="D24" s="7"/>
      <c r="E24" s="8"/>
      <c r="F24" s="8"/>
    </row>
    <row r="25" spans="1:8">
      <c r="A25" s="4"/>
      <c r="B25" s="5"/>
      <c r="C25" s="11"/>
      <c r="D25" s="7"/>
      <c r="E25" s="8">
        <f>D25</f>
        <v>0</v>
      </c>
      <c r="F25" s="8"/>
    </row>
    <row r="26" spans="1:8">
      <c r="A26" s="61" t="s">
        <v>27</v>
      </c>
      <c r="B26" s="61"/>
      <c r="C26" s="61"/>
      <c r="D26" s="13">
        <f>SUM(D21:D25)</f>
        <v>5997.32</v>
      </c>
      <c r="E26" s="8">
        <f>SUM(E19:E25)</f>
        <v>5997.32</v>
      </c>
      <c r="F26" s="8">
        <f>SUM(F19:F25)</f>
        <v>0</v>
      </c>
    </row>
    <row r="28" spans="1:8">
      <c r="A28" s="4" t="s">
        <v>28</v>
      </c>
      <c r="B28" s="53">
        <v>44653</v>
      </c>
      <c r="C28" s="5"/>
      <c r="D28" s="5" t="s">
        <v>1</v>
      </c>
      <c r="E28" s="6" t="s">
        <v>2</v>
      </c>
      <c r="F28" s="6" t="s">
        <v>3</v>
      </c>
    </row>
    <row r="29" spans="1:8">
      <c r="A29" s="4">
        <v>44618</v>
      </c>
      <c r="B29" s="5" t="s">
        <v>29</v>
      </c>
      <c r="C29" s="5"/>
      <c r="D29" s="7">
        <v>3452</v>
      </c>
      <c r="E29" s="9">
        <f>2137+237</f>
        <v>2374</v>
      </c>
      <c r="F29" s="10">
        <v>1078</v>
      </c>
    </row>
    <row r="30" spans="1:8">
      <c r="A30" s="4">
        <v>44602</v>
      </c>
      <c r="B30" s="5" t="s">
        <v>30</v>
      </c>
      <c r="C30" s="5"/>
      <c r="D30" s="7">
        <v>148</v>
      </c>
      <c r="E30" s="9">
        <v>74</v>
      </c>
      <c r="F30" s="10">
        <v>74</v>
      </c>
    </row>
    <row r="31" spans="1:8">
      <c r="A31" s="4"/>
      <c r="C31" s="11"/>
      <c r="D31" s="7"/>
      <c r="E31" s="8"/>
      <c r="F31" s="8"/>
    </row>
    <row r="32" spans="1:8">
      <c r="A32" s="4"/>
      <c r="B32" s="5"/>
      <c r="C32" s="11"/>
      <c r="D32" s="7"/>
      <c r="E32" s="8"/>
      <c r="F32" s="8"/>
    </row>
    <row r="33" spans="1:6">
      <c r="A33" s="4"/>
      <c r="B33" s="5"/>
      <c r="C33" s="11"/>
      <c r="D33" s="7"/>
      <c r="E33" s="8"/>
      <c r="F33" s="8"/>
    </row>
    <row r="34" spans="1:6">
      <c r="A34" s="61" t="s">
        <v>31</v>
      </c>
      <c r="B34" s="61"/>
      <c r="C34" s="61"/>
      <c r="D34" s="13">
        <f>SUM(D29:D33)</f>
        <v>3600</v>
      </c>
      <c r="E34" s="8">
        <f>SUM(E27:E33)</f>
        <v>2448</v>
      </c>
      <c r="F34" s="8">
        <f>SUM(F27:F33)</f>
        <v>1152</v>
      </c>
    </row>
    <row r="36" spans="1:6">
      <c r="A36" s="4" t="s">
        <v>32</v>
      </c>
      <c r="B36" s="53">
        <v>44673</v>
      </c>
      <c r="C36" s="5"/>
      <c r="D36" s="5" t="s">
        <v>1</v>
      </c>
      <c r="E36" s="6" t="s">
        <v>2</v>
      </c>
      <c r="F36" s="6" t="s">
        <v>3</v>
      </c>
    </row>
    <row r="37" spans="1:6">
      <c r="A37" s="4">
        <v>44622</v>
      </c>
      <c r="B37" s="5" t="s">
        <v>33</v>
      </c>
      <c r="C37" s="5"/>
      <c r="D37" s="7">
        <v>528.41999999999996</v>
      </c>
      <c r="E37" s="9">
        <f>D37</f>
        <v>528.41999999999996</v>
      </c>
      <c r="F37" s="10"/>
    </row>
    <row r="38" spans="1:6">
      <c r="A38" s="4">
        <v>44623</v>
      </c>
      <c r="B38" s="5" t="s">
        <v>34</v>
      </c>
      <c r="C38" s="5"/>
      <c r="D38" s="7">
        <v>419</v>
      </c>
      <c r="E38" s="9">
        <v>219</v>
      </c>
      <c r="F38" s="10">
        <v>200</v>
      </c>
    </row>
    <row r="39" spans="1:6">
      <c r="A39" s="4">
        <v>44626</v>
      </c>
      <c r="B39" t="s">
        <v>35</v>
      </c>
      <c r="C39" s="11"/>
      <c r="D39" s="7">
        <v>729</v>
      </c>
      <c r="E39" s="8">
        <f>D39/2</f>
        <v>364.5</v>
      </c>
      <c r="F39" s="8">
        <f>E39</f>
        <v>364.5</v>
      </c>
    </row>
    <row r="40" spans="1:6">
      <c r="A40" s="4">
        <v>44634</v>
      </c>
      <c r="B40" s="5" t="s">
        <v>36</v>
      </c>
      <c r="C40" s="11"/>
      <c r="D40" s="7">
        <v>1064.71</v>
      </c>
      <c r="E40" s="8">
        <f>D40/2</f>
        <v>532.35500000000002</v>
      </c>
      <c r="F40" s="8">
        <f>E40</f>
        <v>532.35500000000002</v>
      </c>
    </row>
    <row r="41" spans="1:6">
      <c r="A41" s="4">
        <v>44636</v>
      </c>
      <c r="B41" s="5" t="s">
        <v>37</v>
      </c>
      <c r="C41" s="11"/>
      <c r="D41" s="7">
        <v>284.7</v>
      </c>
      <c r="E41" s="8">
        <f>D41</f>
        <v>284.7</v>
      </c>
      <c r="F41" s="8"/>
    </row>
    <row r="42" spans="1:6">
      <c r="A42" s="61" t="s">
        <v>38</v>
      </c>
      <c r="B42" s="61"/>
      <c r="C42" s="61"/>
      <c r="D42" s="12">
        <f>SUM(D37:D41)</f>
        <v>3025.83</v>
      </c>
      <c r="E42" s="8">
        <f>SUM(E35:E41)</f>
        <v>1928.9750000000001</v>
      </c>
      <c r="F42" s="8">
        <f>SUM(F35:F41)</f>
        <v>1096.855</v>
      </c>
    </row>
    <row r="44" spans="1:6">
      <c r="E44" s="3">
        <f>SUM(E42,E34,E26,E18,E10)</f>
        <v>17857.21</v>
      </c>
      <c r="F44" s="3">
        <f>SUM(F42,F34,F26,F18,F10)</f>
        <v>7262.41</v>
      </c>
    </row>
  </sheetData>
  <mergeCells count="5">
    <mergeCell ref="A10:C10"/>
    <mergeCell ref="A18:C18"/>
    <mergeCell ref="A26:C26"/>
    <mergeCell ref="A34:C34"/>
    <mergeCell ref="A42:C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9DC8-0C85-4D97-8785-3E3B7008D815}">
  <dimension ref="A1:BX67"/>
  <sheetViews>
    <sheetView topLeftCell="A49" workbookViewId="0">
      <selection activeCell="D69" sqref="D69"/>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9.1640625" bestFit="1" customWidth="1"/>
  </cols>
  <sheetData>
    <row r="1" spans="1:76">
      <c r="A1" s="1"/>
      <c r="B1" s="1"/>
      <c r="U1" s="1"/>
      <c r="V1" s="1"/>
      <c r="AQ1" s="1"/>
      <c r="AR1" s="1"/>
      <c r="BG1" s="1"/>
      <c r="BH1" s="1"/>
      <c r="BW1" s="1"/>
      <c r="BX1" s="1"/>
    </row>
    <row r="2" spans="1:76">
      <c r="A2" s="4" t="s">
        <v>0</v>
      </c>
      <c r="B2" s="53">
        <v>44689</v>
      </c>
      <c r="C2" s="5" t="s">
        <v>39</v>
      </c>
      <c r="D2" s="5" t="s">
        <v>1</v>
      </c>
      <c r="E2" s="6" t="s">
        <v>2</v>
      </c>
      <c r="F2" s="6" t="s">
        <v>3</v>
      </c>
      <c r="H2" t="s">
        <v>4</v>
      </c>
      <c r="I2" t="s">
        <v>5</v>
      </c>
      <c r="J2" t="s">
        <v>6</v>
      </c>
    </row>
    <row r="3" spans="1:76">
      <c r="A3" s="4">
        <v>44639</v>
      </c>
      <c r="B3" t="s">
        <v>40</v>
      </c>
      <c r="C3" s="5"/>
      <c r="D3" s="7">
        <v>740</v>
      </c>
      <c r="E3" s="9">
        <f>D3</f>
        <v>740</v>
      </c>
      <c r="F3" s="10"/>
    </row>
    <row r="4" spans="1:76">
      <c r="A4" s="4">
        <v>44647</v>
      </c>
      <c r="B4" s="4" t="s">
        <v>41</v>
      </c>
      <c r="C4" s="5"/>
      <c r="D4" s="7">
        <v>1090</v>
      </c>
      <c r="E4" s="9">
        <f>D4</f>
        <v>1090</v>
      </c>
      <c r="F4" s="10"/>
    </row>
    <row r="5" spans="1:76">
      <c r="A5" s="4">
        <v>44647</v>
      </c>
      <c r="B5" s="4" t="s">
        <v>42</v>
      </c>
      <c r="C5" s="5"/>
      <c r="D5" s="7">
        <v>1049</v>
      </c>
      <c r="E5" s="9">
        <f>D5/2</f>
        <v>524.5</v>
      </c>
      <c r="F5" s="10">
        <f>E5</f>
        <v>524.5</v>
      </c>
    </row>
    <row r="6" spans="1:76">
      <c r="A6" s="4">
        <v>44669</v>
      </c>
      <c r="B6" s="4" t="s">
        <v>43</v>
      </c>
      <c r="C6" s="5"/>
      <c r="D6" s="7">
        <v>565</v>
      </c>
      <c r="E6" s="9">
        <f>D6/2</f>
        <v>282.5</v>
      </c>
      <c r="F6" s="10">
        <f>E6</f>
        <v>282.5</v>
      </c>
    </row>
    <row r="7" spans="1:76">
      <c r="A7" s="4">
        <v>44638</v>
      </c>
      <c r="B7" s="5" t="s">
        <v>9</v>
      </c>
      <c r="C7" s="5" t="s">
        <v>44</v>
      </c>
      <c r="D7" s="7">
        <v>3564.88</v>
      </c>
      <c r="E7" s="8">
        <f>D7/2</f>
        <v>1782.44</v>
      </c>
      <c r="F7" s="8">
        <f>E7</f>
        <v>1782.44</v>
      </c>
    </row>
    <row r="8" spans="1:76">
      <c r="A8" s="4">
        <v>44638</v>
      </c>
      <c r="B8" s="5" t="s">
        <v>11</v>
      </c>
      <c r="C8" s="5" t="s">
        <v>45</v>
      </c>
      <c r="D8" s="7">
        <v>1590</v>
      </c>
      <c r="E8" s="7">
        <v>1590</v>
      </c>
      <c r="F8" s="8"/>
    </row>
    <row r="9" spans="1:76">
      <c r="A9" s="4">
        <v>44638</v>
      </c>
      <c r="B9" s="5" t="s">
        <v>13</v>
      </c>
      <c r="C9" s="5" t="s">
        <v>46</v>
      </c>
      <c r="D9" s="7">
        <v>512.24</v>
      </c>
      <c r="E9" s="7">
        <v>512.24</v>
      </c>
      <c r="F9" s="7">
        <v>0</v>
      </c>
      <c r="G9" s="2"/>
      <c r="H9" s="2">
        <v>1510</v>
      </c>
      <c r="I9" s="3">
        <f>H9/3</f>
        <v>503.33333333333331</v>
      </c>
      <c r="J9" s="3">
        <f>D9-I9</f>
        <v>8.9066666666666947</v>
      </c>
    </row>
    <row r="10" spans="1:76">
      <c r="A10" s="4">
        <v>44638</v>
      </c>
      <c r="B10" s="5" t="s">
        <v>13</v>
      </c>
      <c r="C10" s="5" t="s">
        <v>46</v>
      </c>
      <c r="D10" s="7">
        <v>736.14</v>
      </c>
      <c r="E10" s="7">
        <f>J10/2</f>
        <v>6.4033333333333076</v>
      </c>
      <c r="F10" s="7">
        <f>D10-E10</f>
        <v>729.73666666666668</v>
      </c>
      <c r="G10" s="2"/>
      <c r="H10" s="2">
        <v>2170</v>
      </c>
      <c r="I10" s="3">
        <f>H10/3</f>
        <v>723.33333333333337</v>
      </c>
      <c r="J10" s="3">
        <f>D10-I10</f>
        <v>12.806666666666615</v>
      </c>
    </row>
    <row r="11" spans="1:76">
      <c r="A11" s="4">
        <v>44638</v>
      </c>
      <c r="B11" s="5" t="s">
        <v>15</v>
      </c>
      <c r="C11" s="5" t="s">
        <v>46</v>
      </c>
      <c r="D11" s="7">
        <v>2035.06</v>
      </c>
      <c r="E11" s="7">
        <f>J11/2</f>
        <v>17.696666666666601</v>
      </c>
      <c r="F11" s="7">
        <f>D11-E11</f>
        <v>2017.3633333333332</v>
      </c>
      <c r="G11" s="2"/>
      <c r="H11" s="2">
        <v>5999</v>
      </c>
      <c r="I11" s="3">
        <f>H11/3</f>
        <v>1999.6666666666667</v>
      </c>
      <c r="J11" s="3">
        <f>D11-I11</f>
        <v>35.393333333333203</v>
      </c>
    </row>
    <row r="12" spans="1:76">
      <c r="A12" s="61" t="s">
        <v>16</v>
      </c>
      <c r="B12" s="61"/>
      <c r="C12" s="61"/>
      <c r="D12" s="14">
        <f>SUM(D3:D11)</f>
        <v>11882.32</v>
      </c>
      <c r="E12" s="8">
        <f>SUM(E3:E11)</f>
        <v>6545.7800000000007</v>
      </c>
      <c r="F12" s="8">
        <f>SUM(F3:F11)</f>
        <v>5336.54</v>
      </c>
    </row>
    <row r="14" spans="1:76">
      <c r="A14" s="4" t="s">
        <v>17</v>
      </c>
      <c r="B14" s="53">
        <v>44684</v>
      </c>
      <c r="C14" s="5" t="s">
        <v>47</v>
      </c>
      <c r="D14" s="5" t="s">
        <v>1</v>
      </c>
      <c r="E14" s="6" t="s">
        <v>2</v>
      </c>
      <c r="F14" s="6" t="s">
        <v>3</v>
      </c>
    </row>
    <row r="15" spans="1:76">
      <c r="A15" s="4">
        <v>44640</v>
      </c>
      <c r="B15" s="5" t="s">
        <v>48</v>
      </c>
      <c r="C15" s="5"/>
      <c r="D15" s="7">
        <v>854.93</v>
      </c>
      <c r="E15" s="9">
        <f t="shared" ref="E15:E20" si="0">D15</f>
        <v>854.93</v>
      </c>
      <c r="F15" s="10"/>
    </row>
    <row r="16" spans="1:76">
      <c r="A16" s="4">
        <v>44640</v>
      </c>
      <c r="B16" s="5" t="s">
        <v>49</v>
      </c>
      <c r="C16" s="5"/>
      <c r="D16" s="7">
        <v>1603.93</v>
      </c>
      <c r="E16" s="9">
        <f t="shared" si="0"/>
        <v>1603.93</v>
      </c>
      <c r="F16" s="10"/>
    </row>
    <row r="17" spans="1:8">
      <c r="A17" s="4">
        <v>44640</v>
      </c>
      <c r="B17" s="5" t="s">
        <v>50</v>
      </c>
      <c r="C17" s="5"/>
      <c r="D17" s="7">
        <v>1183</v>
      </c>
      <c r="E17" s="9">
        <f t="shared" si="0"/>
        <v>1183</v>
      </c>
      <c r="F17" s="10"/>
    </row>
    <row r="18" spans="1:8">
      <c r="A18" s="4">
        <v>44668</v>
      </c>
      <c r="B18" s="5" t="s">
        <v>11</v>
      </c>
      <c r="C18" s="11" t="s">
        <v>51</v>
      </c>
      <c r="D18" s="7">
        <v>319</v>
      </c>
      <c r="E18" s="8">
        <f t="shared" si="0"/>
        <v>319</v>
      </c>
      <c r="F18" s="8"/>
    </row>
    <row r="19" spans="1:8">
      <c r="A19" s="4">
        <v>44668</v>
      </c>
      <c r="B19" s="5" t="s">
        <v>11</v>
      </c>
      <c r="C19" s="11" t="s">
        <v>45</v>
      </c>
      <c r="D19" s="7">
        <v>320</v>
      </c>
      <c r="E19" s="8">
        <f t="shared" si="0"/>
        <v>320</v>
      </c>
      <c r="F19" s="8"/>
    </row>
    <row r="20" spans="1:8">
      <c r="A20" s="4">
        <v>44668</v>
      </c>
      <c r="B20" s="5" t="s">
        <v>20</v>
      </c>
      <c r="C20" s="11"/>
      <c r="D20" s="7">
        <v>-10.7</v>
      </c>
      <c r="E20" s="8">
        <f t="shared" si="0"/>
        <v>-10.7</v>
      </c>
      <c r="F20" s="8"/>
    </row>
    <row r="21" spans="1:8">
      <c r="A21" s="61" t="s">
        <v>21</v>
      </c>
      <c r="B21" s="61"/>
      <c r="C21" s="61"/>
      <c r="D21" s="14">
        <f>SUM(D15:D20)</f>
        <v>4270.1600000000008</v>
      </c>
      <c r="E21" s="8">
        <f>SUM(E15:E20)</f>
        <v>4270.1600000000008</v>
      </c>
      <c r="F21" s="8">
        <f>SUM(F15:F20)</f>
        <v>0</v>
      </c>
    </row>
    <row r="22" spans="1:8">
      <c r="A22" s="1"/>
      <c r="B22" s="1"/>
    </row>
    <row r="23" spans="1:8">
      <c r="A23" s="4" t="s">
        <v>22</v>
      </c>
      <c r="B23" s="53">
        <v>44683</v>
      </c>
      <c r="C23" s="5" t="s">
        <v>39</v>
      </c>
      <c r="D23" s="5" t="s">
        <v>1</v>
      </c>
      <c r="E23" s="6" t="s">
        <v>2</v>
      </c>
      <c r="F23" s="6" t="s">
        <v>3</v>
      </c>
    </row>
    <row r="24" spans="1:8">
      <c r="A24" s="4">
        <v>44641</v>
      </c>
      <c r="B24" s="5" t="s">
        <v>23</v>
      </c>
      <c r="C24" s="5"/>
      <c r="D24" s="7">
        <v>1191.8699999999999</v>
      </c>
      <c r="E24" s="9">
        <f>D24</f>
        <v>1191.8699999999999</v>
      </c>
      <c r="F24" s="10"/>
    </row>
    <row r="25" spans="1:8">
      <c r="A25" s="4"/>
      <c r="B25" s="5"/>
      <c r="C25" s="11"/>
      <c r="D25" s="7"/>
      <c r="E25" s="9">
        <f>D25</f>
        <v>0</v>
      </c>
      <c r="F25" s="10"/>
      <c r="H25" s="3">
        <f>D25*6</f>
        <v>0</v>
      </c>
    </row>
    <row r="26" spans="1:8">
      <c r="A26" s="4"/>
      <c r="C26" s="11"/>
      <c r="D26" s="7"/>
      <c r="E26" s="8">
        <f>D26</f>
        <v>0</v>
      </c>
      <c r="F26" s="8"/>
      <c r="H26" s="3">
        <f>D26*6</f>
        <v>0</v>
      </c>
    </row>
    <row r="27" spans="1:8">
      <c r="A27" s="4"/>
      <c r="B27" s="5"/>
      <c r="C27" s="11"/>
      <c r="D27" s="7"/>
      <c r="E27" s="8"/>
      <c r="F27" s="8"/>
    </row>
    <row r="28" spans="1:8">
      <c r="A28" s="4"/>
      <c r="B28" s="5"/>
      <c r="C28" s="11"/>
      <c r="D28" s="7"/>
      <c r="E28" s="8">
        <f>D28</f>
        <v>0</v>
      </c>
      <c r="F28" s="8"/>
    </row>
    <row r="29" spans="1:8">
      <c r="A29" s="61" t="s">
        <v>27</v>
      </c>
      <c r="B29" s="61"/>
      <c r="C29" s="61"/>
      <c r="D29" s="14">
        <f>SUM(D24:D28)</f>
        <v>1191.8699999999999</v>
      </c>
      <c r="E29" s="8">
        <f>SUM(E24:E28)</f>
        <v>1191.8699999999999</v>
      </c>
      <c r="F29" s="8">
        <f>SUM(F24:F28)</f>
        <v>0</v>
      </c>
    </row>
    <row r="31" spans="1:8">
      <c r="A31" s="4" t="s">
        <v>28</v>
      </c>
      <c r="B31" s="53">
        <v>44683</v>
      </c>
      <c r="C31" s="5" t="s">
        <v>52</v>
      </c>
      <c r="D31" s="5" t="s">
        <v>1</v>
      </c>
      <c r="E31" s="6" t="s">
        <v>2</v>
      </c>
      <c r="F31" s="6" t="s">
        <v>3</v>
      </c>
    </row>
    <row r="32" spans="1:8">
      <c r="A32" s="4">
        <v>44633</v>
      </c>
      <c r="B32" s="5" t="s">
        <v>53</v>
      </c>
      <c r="C32" s="5"/>
      <c r="D32" s="7">
        <v>1121</v>
      </c>
      <c r="E32" s="9">
        <f>D32/2</f>
        <v>560.5</v>
      </c>
      <c r="F32" s="10">
        <f>E32</f>
        <v>560.5</v>
      </c>
    </row>
    <row r="33" spans="1:6">
      <c r="A33" s="4"/>
      <c r="B33" s="5"/>
      <c r="C33" s="5"/>
      <c r="D33" s="7"/>
      <c r="E33" s="9"/>
      <c r="F33" s="10"/>
    </row>
    <row r="34" spans="1:6">
      <c r="A34" s="4"/>
      <c r="B34" s="5" t="s">
        <v>30</v>
      </c>
      <c r="C34" s="11"/>
      <c r="D34" s="7"/>
      <c r="E34" s="8"/>
      <c r="F34" s="8"/>
    </row>
    <row r="35" spans="1:6">
      <c r="A35" s="4"/>
      <c r="B35" s="5"/>
      <c r="C35" s="11"/>
      <c r="D35" s="7"/>
      <c r="E35" s="8"/>
      <c r="F35" s="8"/>
    </row>
    <row r="36" spans="1:6">
      <c r="A36" s="4"/>
      <c r="B36" s="5"/>
      <c r="C36" s="11"/>
      <c r="D36" s="7"/>
      <c r="E36" s="8"/>
      <c r="F36" s="8"/>
    </row>
    <row r="37" spans="1:6">
      <c r="A37" s="61" t="s">
        <v>31</v>
      </c>
      <c r="B37" s="61"/>
      <c r="C37" s="61"/>
      <c r="D37" s="14">
        <f>SUM(D32:D36)</f>
        <v>1121</v>
      </c>
      <c r="E37" s="8">
        <f>SUM(E32:E36)</f>
        <v>560.5</v>
      </c>
      <c r="F37" s="8">
        <f>SUM(F32:F36)</f>
        <v>560.5</v>
      </c>
    </row>
    <row r="39" spans="1:6">
      <c r="A39" s="4" t="s">
        <v>54</v>
      </c>
      <c r="B39" s="53">
        <v>44682</v>
      </c>
      <c r="C39" s="5" t="s">
        <v>55</v>
      </c>
      <c r="D39" s="5" t="s">
        <v>1</v>
      </c>
      <c r="E39" s="6" t="s">
        <v>2</v>
      </c>
      <c r="F39" s="6" t="s">
        <v>3</v>
      </c>
    </row>
    <row r="40" spans="1:6">
      <c r="A40" s="4"/>
      <c r="B40" s="5"/>
      <c r="C40" s="5"/>
      <c r="D40" s="7"/>
      <c r="E40" s="9">
        <f>D40</f>
        <v>0</v>
      </c>
      <c r="F40" s="10"/>
    </row>
    <row r="41" spans="1:6">
      <c r="A41" s="4"/>
      <c r="B41" s="5"/>
      <c r="C41" s="5"/>
      <c r="D41" s="7"/>
      <c r="E41" s="9"/>
      <c r="F41" s="10"/>
    </row>
    <row r="42" spans="1:6">
      <c r="A42" s="4"/>
      <c r="C42" s="11"/>
      <c r="D42" s="7"/>
      <c r="E42" s="8">
        <f>D42/2</f>
        <v>0</v>
      </c>
      <c r="F42" s="8">
        <f>E42</f>
        <v>0</v>
      </c>
    </row>
    <row r="43" spans="1:6">
      <c r="A43" s="4"/>
      <c r="B43" s="5"/>
      <c r="C43" s="11"/>
      <c r="D43" s="7"/>
      <c r="E43" s="8">
        <f>D43/2</f>
        <v>0</v>
      </c>
      <c r="F43" s="8">
        <f>E43</f>
        <v>0</v>
      </c>
    </row>
    <row r="44" spans="1:6">
      <c r="A44" s="4"/>
      <c r="B44" s="5"/>
      <c r="C44" s="11"/>
      <c r="D44" s="7"/>
      <c r="E44" s="8">
        <f>D44</f>
        <v>0</v>
      </c>
      <c r="F44" s="8"/>
    </row>
    <row r="45" spans="1:6">
      <c r="A45" s="61" t="s">
        <v>56</v>
      </c>
      <c r="B45" s="61"/>
      <c r="C45" s="61"/>
      <c r="D45" s="8">
        <f>SUM(D40:D44)</f>
        <v>0</v>
      </c>
      <c r="E45" s="8">
        <f>SUM(E40:E44)</f>
        <v>0</v>
      </c>
      <c r="F45" s="8">
        <f>SUM(F40:F44)</f>
        <v>0</v>
      </c>
    </row>
    <row r="47" spans="1:6">
      <c r="A47" s="4" t="s">
        <v>57</v>
      </c>
      <c r="B47" s="53">
        <v>44682</v>
      </c>
      <c r="C47" s="5" t="s">
        <v>58</v>
      </c>
      <c r="D47" s="5" t="s">
        <v>1</v>
      </c>
      <c r="E47" s="6" t="s">
        <v>2</v>
      </c>
      <c r="F47" s="6" t="s">
        <v>3</v>
      </c>
    </row>
    <row r="48" spans="1:6">
      <c r="A48" s="4">
        <v>44671</v>
      </c>
      <c r="B48" s="5" t="s">
        <v>59</v>
      </c>
      <c r="C48" s="5"/>
      <c r="D48" s="7">
        <v>452</v>
      </c>
      <c r="E48" s="9">
        <f>D48</f>
        <v>452</v>
      </c>
      <c r="F48" s="10"/>
    </row>
    <row r="49" spans="1:6">
      <c r="A49" s="4"/>
      <c r="B49" s="5"/>
      <c r="C49" s="5"/>
      <c r="D49" s="7"/>
      <c r="E49" s="9"/>
      <c r="F49" s="10"/>
    </row>
    <row r="50" spans="1:6">
      <c r="A50" s="4"/>
      <c r="C50" s="11"/>
      <c r="D50" s="7"/>
      <c r="E50" s="8">
        <f>D50/2</f>
        <v>0</v>
      </c>
      <c r="F50" s="8">
        <f>E50</f>
        <v>0</v>
      </c>
    </row>
    <row r="51" spans="1:6">
      <c r="A51" s="4"/>
      <c r="B51" s="5"/>
      <c r="C51" s="11"/>
      <c r="D51" s="7"/>
      <c r="E51" s="8">
        <f>D51/2</f>
        <v>0</v>
      </c>
      <c r="F51" s="8">
        <f>E51</f>
        <v>0</v>
      </c>
    </row>
    <row r="52" spans="1:6">
      <c r="A52" s="4"/>
      <c r="B52" s="5"/>
      <c r="C52" s="11"/>
      <c r="D52" s="7"/>
      <c r="E52" s="8">
        <f>D52</f>
        <v>0</v>
      </c>
      <c r="F52" s="8"/>
    </row>
    <row r="53" spans="1:6">
      <c r="A53" s="61" t="s">
        <v>60</v>
      </c>
      <c r="B53" s="61"/>
      <c r="C53" s="61"/>
      <c r="D53" s="14">
        <f>SUM(D48:D52)</f>
        <v>452</v>
      </c>
      <c r="E53" s="8">
        <f>SUM(E39:E52)</f>
        <v>452</v>
      </c>
      <c r="F53" s="8">
        <f>SUM(F39:F52)</f>
        <v>0</v>
      </c>
    </row>
    <row r="55" spans="1:6">
      <c r="A55" s="4" t="s">
        <v>32</v>
      </c>
      <c r="B55" s="53">
        <v>44703</v>
      </c>
      <c r="C55" s="5" t="s">
        <v>61</v>
      </c>
      <c r="D55" s="5" t="s">
        <v>1</v>
      </c>
      <c r="E55" s="6" t="s">
        <v>2</v>
      </c>
      <c r="F55" s="6" t="s">
        <v>3</v>
      </c>
    </row>
    <row r="56" spans="1:6">
      <c r="A56" s="4"/>
      <c r="B56" s="5" t="s">
        <v>33</v>
      </c>
      <c r="C56" s="5"/>
      <c r="D56" s="7"/>
      <c r="E56" s="9">
        <f>D56</f>
        <v>0</v>
      </c>
      <c r="F56" s="10"/>
    </row>
    <row r="57" spans="1:6">
      <c r="A57" s="4">
        <v>44654</v>
      </c>
      <c r="B57" s="5" t="s">
        <v>34</v>
      </c>
      <c r="C57" s="5"/>
      <c r="D57" s="7">
        <v>419</v>
      </c>
      <c r="E57" s="9">
        <v>219</v>
      </c>
      <c r="F57" s="10">
        <v>200</v>
      </c>
    </row>
    <row r="58" spans="1:6">
      <c r="A58" s="4">
        <v>44654</v>
      </c>
      <c r="B58" s="5" t="s">
        <v>62</v>
      </c>
      <c r="C58" s="5"/>
      <c r="D58" s="7">
        <v>224</v>
      </c>
      <c r="E58" s="9">
        <f>D58/2</f>
        <v>112</v>
      </c>
      <c r="F58" s="10">
        <f>E58</f>
        <v>112</v>
      </c>
    </row>
    <row r="59" spans="1:6">
      <c r="A59" s="4">
        <v>44656</v>
      </c>
      <c r="B59" t="s">
        <v>63</v>
      </c>
      <c r="C59" s="11"/>
      <c r="D59" s="7">
        <v>1105</v>
      </c>
      <c r="E59" s="8">
        <f>D59</f>
        <v>1105</v>
      </c>
      <c r="F59" s="8"/>
    </row>
    <row r="60" spans="1:6">
      <c r="A60" s="4">
        <v>44656</v>
      </c>
      <c r="B60" s="5" t="s">
        <v>64</v>
      </c>
      <c r="C60" s="11"/>
      <c r="D60" s="7">
        <v>1765</v>
      </c>
      <c r="E60" s="8"/>
      <c r="F60" s="8">
        <f>D60-65</f>
        <v>1700</v>
      </c>
    </row>
    <row r="61" spans="1:6">
      <c r="A61" s="4">
        <v>44657</v>
      </c>
      <c r="B61" s="5" t="s">
        <v>65</v>
      </c>
      <c r="C61" s="11"/>
      <c r="D61" s="7">
        <v>1390</v>
      </c>
      <c r="E61" s="8">
        <f>D61/2</f>
        <v>695</v>
      </c>
      <c r="F61" s="8">
        <f>E61</f>
        <v>695</v>
      </c>
    </row>
    <row r="62" spans="1:6">
      <c r="A62" s="4">
        <v>44661</v>
      </c>
      <c r="B62" s="5" t="s">
        <v>66</v>
      </c>
      <c r="C62" s="11"/>
      <c r="D62" s="7">
        <v>529</v>
      </c>
      <c r="E62" s="8">
        <v>500</v>
      </c>
      <c r="F62" s="8">
        <v>29</v>
      </c>
    </row>
    <row r="63" spans="1:6">
      <c r="A63" s="4">
        <v>44680</v>
      </c>
      <c r="B63" s="5" t="s">
        <v>67</v>
      </c>
      <c r="C63" s="11"/>
      <c r="D63" s="7">
        <v>320</v>
      </c>
      <c r="E63" s="8">
        <v>320</v>
      </c>
      <c r="F63" s="8"/>
    </row>
    <row r="64" spans="1:6">
      <c r="A64" s="4">
        <v>44682</v>
      </c>
      <c r="B64" s="5" t="s">
        <v>68</v>
      </c>
      <c r="C64" s="11"/>
      <c r="D64" s="7">
        <v>1315.89</v>
      </c>
      <c r="E64" s="8">
        <f>D64/2</f>
        <v>657.94500000000005</v>
      </c>
      <c r="F64" s="8">
        <f>E64</f>
        <v>657.94500000000005</v>
      </c>
    </row>
    <row r="65" spans="1:6">
      <c r="A65" s="61" t="s">
        <v>38</v>
      </c>
      <c r="B65" s="61"/>
      <c r="C65" s="61"/>
      <c r="D65" s="14">
        <f>SUM(D56:D64)</f>
        <v>7067.89</v>
      </c>
      <c r="E65" s="8">
        <f>SUM(E56:E64)</f>
        <v>3608.9450000000002</v>
      </c>
      <c r="F65" s="8">
        <f>SUM(F56:F64)</f>
        <v>3393.9450000000002</v>
      </c>
    </row>
    <row r="67" spans="1:6">
      <c r="E67" s="3">
        <f>SUM(E65,E37,E29,E21,E12,E45,E53)</f>
        <v>16629.255000000001</v>
      </c>
      <c r="F67" s="3">
        <f>SUM(F65,F37,F29,F21,F12,F45,F53)</f>
        <v>9290.9850000000006</v>
      </c>
    </row>
  </sheetData>
  <mergeCells count="7">
    <mergeCell ref="A12:C12"/>
    <mergeCell ref="A21:C21"/>
    <mergeCell ref="A29:C29"/>
    <mergeCell ref="A37:C37"/>
    <mergeCell ref="A65:C65"/>
    <mergeCell ref="A45:C45"/>
    <mergeCell ref="A53:C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973E-FC71-4BF9-93E2-20D26F8CB613}">
  <dimension ref="A1:BX72"/>
  <sheetViews>
    <sheetView topLeftCell="A49" workbookViewId="0">
      <selection activeCell="B69" sqref="B69"/>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1" width="9.1640625" bestFit="1" customWidth="1"/>
    <col min="12" max="12" width="11.33203125" customWidth="1"/>
    <col min="13" max="13" width="10.33203125" customWidth="1"/>
    <col min="14" max="14" width="10.1640625" bestFit="1" customWidth="1"/>
  </cols>
  <sheetData>
    <row r="1" spans="1:76">
      <c r="A1" s="1"/>
      <c r="B1" s="1"/>
      <c r="U1" s="1"/>
      <c r="V1" s="1"/>
      <c r="AQ1" s="1"/>
      <c r="AR1" s="1"/>
      <c r="BG1" s="1"/>
      <c r="BH1" s="1"/>
      <c r="BW1" s="1"/>
      <c r="BX1" s="1"/>
    </row>
    <row r="2" spans="1:76">
      <c r="A2" s="4" t="s">
        <v>0</v>
      </c>
      <c r="B2" s="53">
        <v>44719</v>
      </c>
      <c r="C2" s="5" t="s">
        <v>39</v>
      </c>
      <c r="D2" s="5" t="s">
        <v>1</v>
      </c>
      <c r="E2" s="6" t="s">
        <v>2</v>
      </c>
      <c r="F2" s="6" t="s">
        <v>3</v>
      </c>
      <c r="H2" t="s">
        <v>4</v>
      </c>
      <c r="I2" t="s">
        <v>5</v>
      </c>
      <c r="J2" t="s">
        <v>6</v>
      </c>
      <c r="L2" t="s">
        <v>69</v>
      </c>
      <c r="M2" t="s">
        <v>70</v>
      </c>
      <c r="N2" t="s">
        <v>71</v>
      </c>
    </row>
    <row r="3" spans="1:76">
      <c r="A3" s="4">
        <v>44669</v>
      </c>
      <c r="B3" s="5" t="s">
        <v>33</v>
      </c>
      <c r="C3" s="5"/>
      <c r="D3" s="7">
        <v>836.83</v>
      </c>
      <c r="E3" s="9">
        <f>D3</f>
        <v>836.83</v>
      </c>
      <c r="F3" s="10"/>
    </row>
    <row r="4" spans="1:76">
      <c r="A4" s="4">
        <v>44670</v>
      </c>
      <c r="B4" s="5" t="s">
        <v>72</v>
      </c>
      <c r="C4" s="5"/>
      <c r="D4" s="7">
        <v>1350</v>
      </c>
      <c r="E4" s="9"/>
      <c r="F4" s="10">
        <v>1350</v>
      </c>
    </row>
    <row r="5" spans="1:76">
      <c r="A5" s="4">
        <v>44675</v>
      </c>
      <c r="B5" s="4" t="s">
        <v>73</v>
      </c>
      <c r="C5" s="5"/>
      <c r="D5" s="24">
        <v>658</v>
      </c>
      <c r="E5" s="9">
        <f>D5/2</f>
        <v>329</v>
      </c>
      <c r="F5" s="10">
        <f>D5/2</f>
        <v>329</v>
      </c>
    </row>
    <row r="6" spans="1:76">
      <c r="A6" s="4">
        <v>44677</v>
      </c>
      <c r="B6" s="4" t="s">
        <v>74</v>
      </c>
      <c r="C6" s="5"/>
      <c r="D6" s="25">
        <v>3549</v>
      </c>
      <c r="E6" s="9">
        <f>D6</f>
        <v>3549</v>
      </c>
      <c r="F6" s="10"/>
      <c r="K6" s="3"/>
    </row>
    <row r="7" spans="1:76">
      <c r="A7" s="4">
        <v>44678</v>
      </c>
      <c r="B7" s="4" t="s">
        <v>75</v>
      </c>
      <c r="C7" s="5"/>
      <c r="D7" s="25">
        <v>230</v>
      </c>
      <c r="E7" s="9">
        <f>D7</f>
        <v>230</v>
      </c>
      <c r="F7" s="10"/>
    </row>
    <row r="8" spans="1:76">
      <c r="A8" s="4">
        <v>44699</v>
      </c>
      <c r="B8" s="5" t="s">
        <v>9</v>
      </c>
      <c r="C8" s="5" t="s">
        <v>76</v>
      </c>
      <c r="D8" s="7">
        <v>3564.88</v>
      </c>
      <c r="E8" s="8">
        <f>D8/2</f>
        <v>1782.44</v>
      </c>
      <c r="F8" s="8">
        <f>E8</f>
        <v>1782.44</v>
      </c>
    </row>
    <row r="9" spans="1:76">
      <c r="A9" s="4">
        <v>44699</v>
      </c>
      <c r="B9" s="5" t="s">
        <v>11</v>
      </c>
      <c r="C9" s="5" t="s">
        <v>77</v>
      </c>
      <c r="D9" s="7">
        <v>1590</v>
      </c>
      <c r="E9" s="7">
        <v>1590</v>
      </c>
      <c r="F9" s="8">
        <v>0</v>
      </c>
    </row>
    <row r="10" spans="1:76">
      <c r="A10" s="4">
        <v>44699</v>
      </c>
      <c r="B10" s="5" t="s">
        <v>78</v>
      </c>
      <c r="C10" s="5" t="s">
        <v>79</v>
      </c>
      <c r="D10" s="7">
        <f>14082/10</f>
        <v>1408.2</v>
      </c>
      <c r="E10" s="7">
        <f>D10</f>
        <v>1408.2</v>
      </c>
      <c r="F10" s="8"/>
    </row>
    <row r="11" spans="1:76">
      <c r="A11" s="4">
        <v>44699</v>
      </c>
      <c r="B11" s="5" t="s">
        <v>13</v>
      </c>
      <c r="C11" s="5" t="s">
        <v>80</v>
      </c>
      <c r="D11" s="7">
        <v>518.58000000000004</v>
      </c>
      <c r="E11" s="7">
        <f>D11</f>
        <v>518.58000000000004</v>
      </c>
      <c r="F11" s="7"/>
      <c r="G11" s="2"/>
      <c r="H11" s="2">
        <v>1510</v>
      </c>
      <c r="I11" s="3">
        <f>H11/3</f>
        <v>503.33333333333331</v>
      </c>
      <c r="J11" s="3">
        <f>D11-I11</f>
        <v>15.246666666666727</v>
      </c>
    </row>
    <row r="12" spans="1:76">
      <c r="A12" s="4">
        <v>44699</v>
      </c>
      <c r="B12" s="5" t="s">
        <v>13</v>
      </c>
      <c r="C12" s="5" t="s">
        <v>80</v>
      </c>
      <c r="D12" s="7">
        <v>745.25</v>
      </c>
      <c r="E12" s="7">
        <f>J12/2</f>
        <v>10.958333333333314</v>
      </c>
      <c r="F12" s="7">
        <f>D12-E12</f>
        <v>734.29166666666674</v>
      </c>
      <c r="G12" s="2"/>
      <c r="H12" s="2">
        <v>2170</v>
      </c>
      <c r="I12" s="3">
        <f>H12/3</f>
        <v>723.33333333333337</v>
      </c>
      <c r="J12" s="3">
        <f>D12-I12</f>
        <v>21.916666666666629</v>
      </c>
    </row>
    <row r="13" spans="1:76">
      <c r="A13" s="4">
        <v>44699</v>
      </c>
      <c r="B13" s="5" t="s">
        <v>15</v>
      </c>
      <c r="C13" s="5" t="s">
        <v>80</v>
      </c>
      <c r="D13" s="7">
        <v>2060.3200000000002</v>
      </c>
      <c r="E13" s="7">
        <f>J13/2</f>
        <v>30.326666666666711</v>
      </c>
      <c r="F13" s="7">
        <f>D13-E13</f>
        <v>2029.9933333333333</v>
      </c>
      <c r="G13" s="2"/>
      <c r="H13" s="2">
        <v>5999</v>
      </c>
      <c r="I13" s="3">
        <f>H13/3</f>
        <v>1999.6666666666667</v>
      </c>
      <c r="J13" s="3">
        <f>D13-I13</f>
        <v>60.653333333333421</v>
      </c>
    </row>
    <row r="14" spans="1:76">
      <c r="A14" s="61" t="s">
        <v>16</v>
      </c>
      <c r="B14" s="61"/>
      <c r="C14" s="61"/>
      <c r="D14" s="8">
        <f>SUM(D3:D13)</f>
        <v>16511.060000000001</v>
      </c>
      <c r="E14" s="8">
        <f>SUM(E3:E13)</f>
        <v>10285.335000000001</v>
      </c>
      <c r="F14" s="8">
        <f>SUM(F3:F13)</f>
        <v>6225.7250000000004</v>
      </c>
      <c r="N14" s="3">
        <f>D14</f>
        <v>16511.060000000001</v>
      </c>
    </row>
    <row r="16" spans="1:76">
      <c r="A16" s="4" t="s">
        <v>17</v>
      </c>
      <c r="B16" s="53">
        <v>44713</v>
      </c>
      <c r="C16" s="5" t="s">
        <v>47</v>
      </c>
      <c r="D16" s="5" t="s">
        <v>1</v>
      </c>
      <c r="E16" s="6" t="s">
        <v>2</v>
      </c>
      <c r="F16" s="6" t="s">
        <v>3</v>
      </c>
    </row>
    <row r="17" spans="1:12">
      <c r="A17" s="4">
        <v>44671</v>
      </c>
      <c r="B17" s="5" t="s">
        <v>48</v>
      </c>
      <c r="C17" s="5"/>
      <c r="D17" s="7">
        <v>854.93</v>
      </c>
      <c r="E17" s="9">
        <f t="shared" ref="E17:E22" si="0">D17</f>
        <v>854.93</v>
      </c>
      <c r="F17" s="10"/>
    </row>
    <row r="18" spans="1:12">
      <c r="A18" s="4">
        <v>44671</v>
      </c>
      <c r="B18" s="5" t="s">
        <v>49</v>
      </c>
      <c r="C18" s="5"/>
      <c r="D18" s="7">
        <v>1603.93</v>
      </c>
      <c r="E18" s="9">
        <f t="shared" si="0"/>
        <v>1603.93</v>
      </c>
      <c r="F18" s="10"/>
    </row>
    <row r="19" spans="1:12">
      <c r="A19" s="4">
        <v>44697</v>
      </c>
      <c r="B19" s="5" t="s">
        <v>81</v>
      </c>
      <c r="C19" s="5"/>
      <c r="D19" s="7">
        <v>86.02</v>
      </c>
      <c r="E19" s="9">
        <f t="shared" si="0"/>
        <v>86.02</v>
      </c>
      <c r="F19" s="10"/>
    </row>
    <row r="20" spans="1:12">
      <c r="A20" s="4">
        <v>44698</v>
      </c>
      <c r="B20" s="5" t="s">
        <v>82</v>
      </c>
      <c r="C20" s="11" t="s">
        <v>83</v>
      </c>
      <c r="D20" s="7">
        <v>319</v>
      </c>
      <c r="E20" s="8">
        <f t="shared" si="0"/>
        <v>319</v>
      </c>
      <c r="F20" s="8"/>
    </row>
    <row r="21" spans="1:12">
      <c r="A21" s="4">
        <v>44698</v>
      </c>
      <c r="B21" s="5" t="s">
        <v>84</v>
      </c>
      <c r="C21" s="11" t="s">
        <v>77</v>
      </c>
      <c r="D21" s="7">
        <v>320</v>
      </c>
      <c r="E21" s="8">
        <f t="shared" si="0"/>
        <v>320</v>
      </c>
      <c r="F21" s="8"/>
    </row>
    <row r="22" spans="1:12">
      <c r="A22" s="4">
        <v>44698</v>
      </c>
      <c r="B22" s="5" t="s">
        <v>20</v>
      </c>
      <c r="C22" s="11"/>
      <c r="D22" s="7">
        <v>-7.95</v>
      </c>
      <c r="E22" s="8">
        <f t="shared" si="0"/>
        <v>-7.95</v>
      </c>
      <c r="F22" s="8"/>
    </row>
    <row r="23" spans="1:12">
      <c r="A23" s="61" t="s">
        <v>21</v>
      </c>
      <c r="B23" s="61"/>
      <c r="C23" s="61"/>
      <c r="D23" s="8">
        <f>SUM(D17:D22)</f>
        <v>3175.9300000000003</v>
      </c>
      <c r="E23" s="8">
        <f>SUM(E17:E22)</f>
        <v>3175.9300000000003</v>
      </c>
      <c r="F23" s="8">
        <f>SUM(F17:F22)</f>
        <v>0</v>
      </c>
      <c r="L23" s="3">
        <f>D23</f>
        <v>3175.9300000000003</v>
      </c>
    </row>
    <row r="24" spans="1:12">
      <c r="A24" s="1"/>
      <c r="B24" s="1"/>
    </row>
    <row r="25" spans="1:12">
      <c r="A25" s="4" t="s">
        <v>22</v>
      </c>
      <c r="B25" s="53">
        <v>44713</v>
      </c>
      <c r="C25" s="5" t="s">
        <v>39</v>
      </c>
      <c r="D25" s="5" t="s">
        <v>1</v>
      </c>
      <c r="E25" s="6" t="s">
        <v>2</v>
      </c>
      <c r="F25" s="6" t="s">
        <v>3</v>
      </c>
    </row>
    <row r="26" spans="1:12">
      <c r="A26" s="4">
        <v>44671</v>
      </c>
      <c r="B26" s="5" t="s">
        <v>23</v>
      </c>
      <c r="C26" s="5"/>
      <c r="D26" s="7">
        <v>1191.8699999999999</v>
      </c>
      <c r="E26" s="9">
        <f>D26</f>
        <v>1191.8699999999999</v>
      </c>
      <c r="F26" s="10"/>
    </row>
    <row r="27" spans="1:12">
      <c r="A27" s="4"/>
      <c r="B27" s="5"/>
      <c r="C27" s="11"/>
      <c r="D27" s="7"/>
      <c r="E27" s="9">
        <f>D27</f>
        <v>0</v>
      </c>
      <c r="F27" s="10"/>
      <c r="H27" s="3">
        <f>D27*6</f>
        <v>0</v>
      </c>
    </row>
    <row r="28" spans="1:12">
      <c r="A28" s="4"/>
      <c r="C28" s="11"/>
      <c r="D28" s="7"/>
      <c r="E28" s="8">
        <f>D28</f>
        <v>0</v>
      </c>
      <c r="F28" s="8"/>
      <c r="H28" s="3">
        <f>D28*6</f>
        <v>0</v>
      </c>
    </row>
    <row r="29" spans="1:12">
      <c r="A29" s="4"/>
      <c r="B29" s="5"/>
      <c r="C29" s="11"/>
      <c r="D29" s="7"/>
      <c r="E29" s="8"/>
      <c r="F29" s="8"/>
    </row>
    <row r="30" spans="1:12">
      <c r="A30" s="4"/>
      <c r="B30" s="5"/>
      <c r="C30" s="11"/>
      <c r="D30" s="7"/>
      <c r="E30" s="8">
        <f>D30</f>
        <v>0</v>
      </c>
      <c r="F30" s="8"/>
    </row>
    <row r="31" spans="1:12">
      <c r="A31" s="61" t="s">
        <v>27</v>
      </c>
      <c r="B31" s="61"/>
      <c r="C31" s="61"/>
      <c r="D31" s="8">
        <f>SUM(D26:D30)</f>
        <v>1191.8699999999999</v>
      </c>
      <c r="E31" s="8">
        <f>SUM(E26:E30)</f>
        <v>1191.8699999999999</v>
      </c>
      <c r="F31" s="8">
        <f>SUM(F26:F30)</f>
        <v>0</v>
      </c>
    </row>
    <row r="33" spans="1:12">
      <c r="A33" s="4" t="s">
        <v>28</v>
      </c>
      <c r="B33" s="53">
        <v>44713</v>
      </c>
      <c r="C33" s="5" t="s">
        <v>52</v>
      </c>
      <c r="D33" s="5" t="s">
        <v>1</v>
      </c>
      <c r="E33" s="6" t="s">
        <v>2</v>
      </c>
      <c r="F33" s="6" t="s">
        <v>3</v>
      </c>
    </row>
    <row r="34" spans="1:12">
      <c r="A34" s="4">
        <v>44661</v>
      </c>
      <c r="B34" s="5" t="s">
        <v>85</v>
      </c>
      <c r="C34" s="5"/>
      <c r="D34" s="7">
        <v>1400</v>
      </c>
      <c r="E34" s="9">
        <f>D34</f>
        <v>1400</v>
      </c>
      <c r="F34" s="10"/>
    </row>
    <row r="35" spans="1:12">
      <c r="A35" s="4">
        <v>44664</v>
      </c>
      <c r="B35" s="5" t="s">
        <v>86</v>
      </c>
      <c r="C35" s="5"/>
      <c r="D35" s="7">
        <v>1197</v>
      </c>
      <c r="E35" s="9">
        <f>D35/2</f>
        <v>598.5</v>
      </c>
      <c r="F35" s="10">
        <f>E35</f>
        <v>598.5</v>
      </c>
    </row>
    <row r="36" spans="1:12">
      <c r="A36" s="4">
        <v>44665</v>
      </c>
      <c r="B36" s="5" t="s">
        <v>87</v>
      </c>
      <c r="C36" s="11"/>
      <c r="D36" s="24">
        <v>1846</v>
      </c>
      <c r="E36" s="8">
        <v>1078</v>
      </c>
      <c r="F36" s="8">
        <v>768</v>
      </c>
    </row>
    <row r="37" spans="1:12">
      <c r="A37" s="4">
        <v>44667</v>
      </c>
      <c r="B37" s="5" t="s">
        <v>88</v>
      </c>
      <c r="C37" s="11"/>
      <c r="D37" s="24">
        <v>443.5</v>
      </c>
      <c r="E37" s="8">
        <v>280.5</v>
      </c>
      <c r="F37" s="8">
        <v>163</v>
      </c>
    </row>
    <row r="38" spans="1:12">
      <c r="A38" s="4">
        <v>44675</v>
      </c>
      <c r="B38" s="5" t="s">
        <v>89</v>
      </c>
      <c r="C38" s="11"/>
      <c r="D38" s="24">
        <v>730.25</v>
      </c>
      <c r="E38" s="8">
        <v>365.125</v>
      </c>
      <c r="F38" s="8">
        <v>365.125</v>
      </c>
    </row>
    <row r="39" spans="1:12">
      <c r="A39" s="61" t="s">
        <v>31</v>
      </c>
      <c r="B39" s="61"/>
      <c r="C39" s="61"/>
      <c r="D39" s="8">
        <f>SUM(D34:D38)</f>
        <v>5616.75</v>
      </c>
      <c r="E39" s="8">
        <f>SUM(E34:E38)</f>
        <v>3722.125</v>
      </c>
      <c r="F39" s="8">
        <f>SUM(F34:F38)</f>
        <v>1894.625</v>
      </c>
      <c r="L39" s="3">
        <f>D39</f>
        <v>5616.75</v>
      </c>
    </row>
    <row r="41" spans="1:12">
      <c r="A41" s="4" t="s">
        <v>54</v>
      </c>
      <c r="B41" s="53">
        <v>44713</v>
      </c>
      <c r="C41" s="5" t="s">
        <v>55</v>
      </c>
      <c r="D41" s="5" t="s">
        <v>1</v>
      </c>
      <c r="E41" s="6" t="s">
        <v>2</v>
      </c>
      <c r="F41" s="6" t="s">
        <v>3</v>
      </c>
    </row>
    <row r="42" spans="1:12">
      <c r="A42" s="4">
        <v>44668</v>
      </c>
      <c r="B42" s="5" t="s">
        <v>90</v>
      </c>
      <c r="C42" s="11" t="s">
        <v>91</v>
      </c>
      <c r="D42" s="7">
        <v>1390.24</v>
      </c>
      <c r="E42" s="9">
        <f>D42</f>
        <v>1390.24</v>
      </c>
      <c r="F42" s="10"/>
      <c r="H42" s="2">
        <v>33363</v>
      </c>
      <c r="I42" s="3">
        <f>H42/24</f>
        <v>1390.125</v>
      </c>
    </row>
    <row r="43" spans="1:12">
      <c r="A43" s="4"/>
      <c r="B43" s="5"/>
      <c r="C43" s="5"/>
      <c r="D43" s="7"/>
      <c r="E43" s="9"/>
      <c r="F43" s="10"/>
    </row>
    <row r="44" spans="1:12">
      <c r="A44" s="4"/>
      <c r="C44" s="11"/>
      <c r="D44" s="7"/>
      <c r="E44" s="8">
        <f>D44/2</f>
        <v>0</v>
      </c>
      <c r="F44" s="8">
        <f>E44</f>
        <v>0</v>
      </c>
    </row>
    <row r="45" spans="1:12">
      <c r="A45" s="4"/>
      <c r="B45" s="5"/>
      <c r="C45" s="11"/>
      <c r="D45" s="7"/>
      <c r="E45" s="8">
        <f>D45/2</f>
        <v>0</v>
      </c>
      <c r="F45" s="8">
        <f>E45</f>
        <v>0</v>
      </c>
    </row>
    <row r="46" spans="1:12">
      <c r="A46" s="4"/>
      <c r="B46" s="5"/>
      <c r="C46" s="11"/>
      <c r="D46" s="7"/>
      <c r="E46" s="8">
        <f>D46</f>
        <v>0</v>
      </c>
      <c r="F46" s="8"/>
    </row>
    <row r="47" spans="1:12">
      <c r="A47" s="61" t="s">
        <v>56</v>
      </c>
      <c r="B47" s="61"/>
      <c r="C47" s="61"/>
      <c r="D47" s="8">
        <f>SUM(D42:D46)</f>
        <v>1390.24</v>
      </c>
      <c r="E47" s="8">
        <f>SUM(E42:E46)</f>
        <v>1390.24</v>
      </c>
      <c r="F47" s="8">
        <f>SUM(F42:F46)</f>
        <v>0</v>
      </c>
    </row>
    <row r="49" spans="1:6">
      <c r="A49" s="4" t="s">
        <v>92</v>
      </c>
      <c r="B49" s="53">
        <v>44713</v>
      </c>
      <c r="C49" s="5"/>
      <c r="D49" s="5" t="s">
        <v>1</v>
      </c>
      <c r="E49" s="6" t="s">
        <v>2</v>
      </c>
      <c r="F49" s="6" t="s">
        <v>3</v>
      </c>
    </row>
    <row r="50" spans="1:6">
      <c r="A50" s="4">
        <v>44686</v>
      </c>
      <c r="B50" s="5" t="s">
        <v>93</v>
      </c>
      <c r="C50" s="5"/>
      <c r="D50" s="7">
        <v>176</v>
      </c>
      <c r="E50" s="9">
        <f t="shared" ref="E50:E55" si="1">D50</f>
        <v>176</v>
      </c>
      <c r="F50" s="10"/>
    </row>
    <row r="51" spans="1:6">
      <c r="A51" s="4">
        <v>44687</v>
      </c>
      <c r="B51" s="5" t="s">
        <v>94</v>
      </c>
      <c r="C51" s="5"/>
      <c r="D51" s="7">
        <v>187</v>
      </c>
      <c r="E51" s="8">
        <f t="shared" si="1"/>
        <v>187</v>
      </c>
      <c r="F51" s="10"/>
    </row>
    <row r="52" spans="1:6">
      <c r="A52" s="4">
        <v>44688</v>
      </c>
      <c r="B52" t="s">
        <v>95</v>
      </c>
      <c r="C52" s="11"/>
      <c r="D52" s="7">
        <v>124</v>
      </c>
      <c r="E52" s="8">
        <f t="shared" si="1"/>
        <v>124</v>
      </c>
      <c r="F52" s="8"/>
    </row>
    <row r="53" spans="1:6">
      <c r="A53" s="4">
        <v>44692</v>
      </c>
      <c r="B53" s="5" t="s">
        <v>96</v>
      </c>
      <c r="C53" s="11"/>
      <c r="D53" s="7">
        <v>61</v>
      </c>
      <c r="E53" s="8">
        <f t="shared" si="1"/>
        <v>61</v>
      </c>
      <c r="F53" s="8"/>
    </row>
    <row r="54" spans="1:6">
      <c r="A54" s="4">
        <v>44698</v>
      </c>
      <c r="B54" s="5" t="s">
        <v>97</v>
      </c>
      <c r="C54" s="11"/>
      <c r="D54" s="7">
        <v>91</v>
      </c>
      <c r="E54" s="8">
        <f t="shared" si="1"/>
        <v>91</v>
      </c>
      <c r="F54" s="8"/>
    </row>
    <row r="55" spans="1:6">
      <c r="A55" s="4">
        <v>44700</v>
      </c>
      <c r="B55" s="5" t="s">
        <v>98</v>
      </c>
      <c r="C55" s="11"/>
      <c r="D55" s="7">
        <v>107</v>
      </c>
      <c r="E55" s="8">
        <f t="shared" si="1"/>
        <v>107</v>
      </c>
      <c r="F55" s="8"/>
    </row>
    <row r="56" spans="1:6">
      <c r="A56" s="61" t="s">
        <v>60</v>
      </c>
      <c r="B56" s="61"/>
      <c r="C56" s="61"/>
      <c r="D56" s="8">
        <f>SUM(D50:D55)</f>
        <v>746</v>
      </c>
      <c r="E56" s="8">
        <f>SUM(E50:E55)</f>
        <v>746</v>
      </c>
      <c r="F56" s="8">
        <f>SUM(F50:F55)</f>
        <v>0</v>
      </c>
    </row>
    <row r="58" spans="1:6">
      <c r="A58" s="4" t="s">
        <v>32</v>
      </c>
      <c r="B58" s="53">
        <v>44734</v>
      </c>
      <c r="C58" s="5" t="s">
        <v>61</v>
      </c>
      <c r="D58" s="5" t="s">
        <v>1</v>
      </c>
      <c r="E58" s="6" t="s">
        <v>2</v>
      </c>
      <c r="F58" s="6" t="s">
        <v>3</v>
      </c>
    </row>
    <row r="59" spans="1:6">
      <c r="A59" s="4">
        <v>44683</v>
      </c>
      <c r="B59" s="5" t="s">
        <v>99</v>
      </c>
      <c r="C59" s="5"/>
      <c r="D59" s="7">
        <v>573</v>
      </c>
      <c r="E59" s="9">
        <f>D59/2</f>
        <v>286.5</v>
      </c>
      <c r="F59" s="10">
        <f>E59</f>
        <v>286.5</v>
      </c>
    </row>
    <row r="60" spans="1:6">
      <c r="A60" s="4">
        <v>44684</v>
      </c>
      <c r="B60" s="5" t="s">
        <v>34</v>
      </c>
      <c r="C60" s="5"/>
      <c r="D60" s="7">
        <f>419</f>
        <v>419</v>
      </c>
      <c r="E60" s="9">
        <f>D60</f>
        <v>419</v>
      </c>
      <c r="F60" s="10"/>
    </row>
    <row r="61" spans="1:6">
      <c r="A61" s="4">
        <v>44684</v>
      </c>
      <c r="B61" s="4" t="s">
        <v>74</v>
      </c>
      <c r="C61" s="5"/>
      <c r="D61" s="7">
        <v>1195</v>
      </c>
      <c r="E61" s="9">
        <f>D61</f>
        <v>1195</v>
      </c>
      <c r="F61" s="10"/>
    </row>
    <row r="62" spans="1:6">
      <c r="A62" s="4">
        <v>44684</v>
      </c>
      <c r="B62" t="s">
        <v>100</v>
      </c>
      <c r="C62" s="11"/>
      <c r="D62" s="7">
        <v>1440</v>
      </c>
      <c r="E62" s="8">
        <f>D62</f>
        <v>1440</v>
      </c>
      <c r="F62" s="8"/>
    </row>
    <row r="63" spans="1:6">
      <c r="A63" s="4">
        <v>44685</v>
      </c>
      <c r="B63" s="5" t="s">
        <v>101</v>
      </c>
      <c r="C63" s="11"/>
      <c r="D63" s="7">
        <v>442</v>
      </c>
      <c r="E63" s="8">
        <f>D63</f>
        <v>442</v>
      </c>
      <c r="F63" s="8"/>
    </row>
    <row r="64" spans="1:6">
      <c r="A64" s="4">
        <v>44693</v>
      </c>
      <c r="B64" s="5" t="s">
        <v>11</v>
      </c>
      <c r="C64" s="11"/>
      <c r="D64" s="7">
        <v>231</v>
      </c>
      <c r="E64" s="8">
        <f>D64</f>
        <v>231</v>
      </c>
      <c r="F64" s="8"/>
    </row>
    <row r="65" spans="1:14">
      <c r="A65" s="4"/>
      <c r="B65" s="5"/>
      <c r="C65" s="11"/>
      <c r="D65" s="7"/>
      <c r="E65" s="8"/>
      <c r="F65" s="8"/>
    </row>
    <row r="66" spans="1:14">
      <c r="A66" s="61" t="s">
        <v>38</v>
      </c>
      <c r="B66" s="61"/>
      <c r="C66" s="61"/>
      <c r="D66" s="8">
        <f>SUM(D59:D65)</f>
        <v>4300</v>
      </c>
      <c r="E66" s="8">
        <f>SUM(E59:E65)</f>
        <v>4013.5</v>
      </c>
      <c r="F66" s="8">
        <f>SUM(F59:F65)</f>
        <v>286.5</v>
      </c>
      <c r="N66" s="3">
        <f>D66</f>
        <v>4300</v>
      </c>
    </row>
    <row r="68" spans="1:14">
      <c r="D68" s="3">
        <f>SUM(E68:F68)</f>
        <v>32931.850000000006</v>
      </c>
      <c r="E68" s="3">
        <f>SUM(E66,E39,E31,E23,E14,E47,E56)</f>
        <v>24525.000000000004</v>
      </c>
      <c r="F68" s="3">
        <f>SUM(F66,F39,F31,F23,F14,F47,F56)</f>
        <v>8406.85</v>
      </c>
      <c r="L68" s="2">
        <f>SUM(L3:L67)</f>
        <v>8792.68</v>
      </c>
      <c r="M68" s="2">
        <f>SUM(M3:M67)</f>
        <v>0</v>
      </c>
      <c r="N68" s="2">
        <f>SUM(N3:N67)</f>
        <v>20811.060000000001</v>
      </c>
    </row>
    <row r="69" spans="1:14">
      <c r="L69" s="2">
        <v>1007.32</v>
      </c>
      <c r="M69" s="2">
        <v>1000</v>
      </c>
      <c r="N69">
        <v>88.94</v>
      </c>
    </row>
    <row r="70" spans="1:14">
      <c r="L70" s="2">
        <f>SUM(L68:L69)</f>
        <v>9800</v>
      </c>
      <c r="M70" s="2">
        <f>SUM(M68:M69)</f>
        <v>1000</v>
      </c>
      <c r="N70" s="2">
        <f>SUM(N68:N69)</f>
        <v>20900</v>
      </c>
    </row>
    <row r="72" spans="1:14">
      <c r="N72" s="3"/>
    </row>
  </sheetData>
  <mergeCells count="7">
    <mergeCell ref="A66:C66"/>
    <mergeCell ref="A14:C14"/>
    <mergeCell ref="A23:C23"/>
    <mergeCell ref="A31:C31"/>
    <mergeCell ref="A39:C39"/>
    <mergeCell ref="A47:C47"/>
    <mergeCell ref="A56:C5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6BA4-C32E-40DB-A112-FF4A2EBC8196}">
  <dimension ref="A1:BX73"/>
  <sheetViews>
    <sheetView topLeftCell="A55" workbookViewId="0">
      <selection activeCell="E63" sqref="E63"/>
    </sheetView>
  </sheetViews>
  <sheetFormatPr baseColWidth="10" defaultColWidth="8.83203125" defaultRowHeight="15"/>
  <cols>
    <col min="1" max="1" width="16.5" bestFit="1" customWidth="1"/>
    <col min="2" max="2" width="35" bestFit="1" customWidth="1"/>
    <col min="3" max="3" width="12.16406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10.1640625" bestFit="1" customWidth="1"/>
    <col min="11" max="11" width="13" customWidth="1"/>
    <col min="12" max="12" width="12.6640625" customWidth="1"/>
    <col min="13" max="13" width="13" customWidth="1"/>
    <col min="14" max="14" width="12.6640625" customWidth="1"/>
  </cols>
  <sheetData>
    <row r="1" spans="1:76">
      <c r="A1" s="26" t="s">
        <v>102</v>
      </c>
      <c r="B1" s="1"/>
      <c r="U1" s="1"/>
      <c r="V1" s="1"/>
      <c r="AQ1" s="1"/>
      <c r="AR1" s="1"/>
      <c r="BG1" s="1"/>
      <c r="BH1" s="1"/>
      <c r="BW1" s="1"/>
      <c r="BX1" s="1"/>
    </row>
    <row r="2" spans="1:76">
      <c r="A2" s="4" t="s">
        <v>0</v>
      </c>
      <c r="B2" s="53">
        <v>44750</v>
      </c>
      <c r="C2" s="5" t="s">
        <v>39</v>
      </c>
      <c r="D2" s="5" t="s">
        <v>1</v>
      </c>
      <c r="E2" s="6" t="s">
        <v>2</v>
      </c>
      <c r="F2" s="6" t="s">
        <v>3</v>
      </c>
      <c r="H2" t="s">
        <v>4</v>
      </c>
      <c r="I2" t="s">
        <v>5</v>
      </c>
      <c r="J2" t="s">
        <v>6</v>
      </c>
      <c r="L2" s="5" t="s">
        <v>69</v>
      </c>
      <c r="M2" s="5" t="s">
        <v>70</v>
      </c>
      <c r="N2" s="5" t="s">
        <v>71</v>
      </c>
    </row>
    <row r="3" spans="1:76">
      <c r="A3" s="4">
        <v>44700</v>
      </c>
      <c r="B3" t="s">
        <v>103</v>
      </c>
      <c r="C3" s="5"/>
      <c r="D3" s="7">
        <v>750</v>
      </c>
      <c r="E3" s="7">
        <v>750</v>
      </c>
      <c r="F3" s="10"/>
    </row>
    <row r="4" spans="1:76">
      <c r="A4" s="4">
        <v>44700</v>
      </c>
      <c r="B4" s="4" t="s">
        <v>104</v>
      </c>
      <c r="C4" s="5"/>
      <c r="D4" s="7">
        <v>216</v>
      </c>
      <c r="E4" s="9">
        <f>D4</f>
        <v>216</v>
      </c>
      <c r="F4" s="10"/>
    </row>
    <row r="5" spans="1:76">
      <c r="A5" s="4">
        <v>44703</v>
      </c>
      <c r="B5" s="4" t="s">
        <v>105</v>
      </c>
      <c r="C5" s="5"/>
      <c r="D5" s="24">
        <v>324.25</v>
      </c>
      <c r="E5" s="9">
        <v>162.13</v>
      </c>
      <c r="F5" s="9">
        <v>162.13</v>
      </c>
    </row>
    <row r="6" spans="1:76">
      <c r="A6" s="4">
        <v>44706</v>
      </c>
      <c r="B6" s="4" t="s">
        <v>106</v>
      </c>
      <c r="C6" s="5"/>
      <c r="D6" s="7">
        <v>130</v>
      </c>
      <c r="E6" s="9">
        <f>D6</f>
        <v>130</v>
      </c>
      <c r="F6" s="10"/>
    </row>
    <row r="7" spans="1:76">
      <c r="A7" s="4">
        <v>44706</v>
      </c>
      <c r="B7" s="5" t="s">
        <v>33</v>
      </c>
      <c r="C7" s="5"/>
      <c r="D7" s="7">
        <v>198.6</v>
      </c>
      <c r="E7" s="9">
        <f>D7</f>
        <v>198.6</v>
      </c>
      <c r="F7" s="10"/>
    </row>
    <row r="8" spans="1:76">
      <c r="A8" s="4">
        <v>44709</v>
      </c>
      <c r="B8" s="5" t="s">
        <v>107</v>
      </c>
      <c r="C8" s="5"/>
      <c r="D8" s="7">
        <v>575.6</v>
      </c>
      <c r="E8" s="7">
        <v>575.6</v>
      </c>
      <c r="F8" s="10"/>
    </row>
    <row r="9" spans="1:76">
      <c r="A9" s="4">
        <v>44710</v>
      </c>
      <c r="B9" s="5" t="s">
        <v>108</v>
      </c>
      <c r="C9" s="5"/>
      <c r="D9" s="7">
        <v>990</v>
      </c>
      <c r="E9" s="7">
        <v>990</v>
      </c>
      <c r="F9" s="10"/>
    </row>
    <row r="10" spans="1:76">
      <c r="A10" s="4">
        <v>44717</v>
      </c>
      <c r="B10" s="5" t="s">
        <v>33</v>
      </c>
      <c r="C10" s="5"/>
      <c r="D10" s="7">
        <v>198.6</v>
      </c>
      <c r="E10" s="9">
        <f>D10</f>
        <v>198.6</v>
      </c>
      <c r="F10" s="10"/>
    </row>
    <row r="11" spans="1:76">
      <c r="A11" s="4">
        <v>44723</v>
      </c>
      <c r="B11" s="5" t="s">
        <v>33</v>
      </c>
      <c r="C11" s="5"/>
      <c r="D11" s="7">
        <v>139</v>
      </c>
      <c r="E11" s="9">
        <f>D11</f>
        <v>139</v>
      </c>
      <c r="F11" s="10"/>
    </row>
    <row r="12" spans="1:76">
      <c r="A12" s="4">
        <v>44730</v>
      </c>
      <c r="B12" s="5" t="s">
        <v>9</v>
      </c>
      <c r="C12" s="5" t="s">
        <v>25</v>
      </c>
      <c r="D12" s="7">
        <v>3564.9</v>
      </c>
      <c r="E12" s="8">
        <f>D12/2</f>
        <v>1782.45</v>
      </c>
      <c r="F12" s="8">
        <f>D12/2</f>
        <v>1782.45</v>
      </c>
    </row>
    <row r="13" spans="1:76">
      <c r="A13" s="4">
        <v>44730</v>
      </c>
      <c r="B13" s="5" t="s">
        <v>109</v>
      </c>
      <c r="C13" s="5" t="s">
        <v>110</v>
      </c>
      <c r="D13" s="7">
        <v>1590</v>
      </c>
      <c r="E13" s="7">
        <v>1590</v>
      </c>
      <c r="F13" s="8"/>
    </row>
    <row r="14" spans="1:76">
      <c r="A14" s="4">
        <v>44730</v>
      </c>
      <c r="B14" s="5" t="s">
        <v>78</v>
      </c>
      <c r="C14" s="5" t="s">
        <v>12</v>
      </c>
      <c r="D14" s="7">
        <f>14082/10</f>
        <v>1408.2</v>
      </c>
      <c r="E14" s="7">
        <f>D14</f>
        <v>1408.2</v>
      </c>
      <c r="F14" s="8"/>
      <c r="G14" s="2"/>
      <c r="H14" s="2"/>
      <c r="I14" s="3"/>
      <c r="J14" s="3"/>
    </row>
    <row r="15" spans="1:76">
      <c r="A15" s="4"/>
      <c r="B15" s="5"/>
      <c r="C15" s="5"/>
      <c r="D15" s="7"/>
      <c r="E15" s="7"/>
      <c r="F15" s="7"/>
      <c r="G15" s="2"/>
      <c r="H15" s="2"/>
      <c r="I15" s="3"/>
      <c r="J15" s="3"/>
    </row>
    <row r="16" spans="1:76">
      <c r="A16" s="4"/>
      <c r="B16" s="5"/>
      <c r="C16" s="5"/>
      <c r="D16" s="7"/>
      <c r="E16" s="7"/>
      <c r="F16" s="7"/>
      <c r="G16" s="2"/>
      <c r="H16" s="2"/>
      <c r="I16" s="3"/>
      <c r="J16" s="3"/>
    </row>
    <row r="17" spans="1:14">
      <c r="A17" s="61" t="s">
        <v>16</v>
      </c>
      <c r="B17" s="61"/>
      <c r="C17" s="61"/>
      <c r="D17" s="8">
        <f>SUM(D3:D16)</f>
        <v>10085.150000000001</v>
      </c>
      <c r="E17" s="8">
        <f>SUM(E3:E16)</f>
        <v>8140.58</v>
      </c>
      <c r="F17" s="8">
        <f>SUM(F3:F16)</f>
        <v>1944.58</v>
      </c>
      <c r="L17" s="5"/>
      <c r="M17" s="5"/>
      <c r="N17" s="8">
        <f>D17</f>
        <v>10085.150000000001</v>
      </c>
    </row>
    <row r="19" spans="1:14">
      <c r="A19" s="4" t="s">
        <v>17</v>
      </c>
      <c r="B19" s="53">
        <v>44746</v>
      </c>
      <c r="C19" s="5" t="s">
        <v>47</v>
      </c>
      <c r="D19" s="5" t="s">
        <v>1</v>
      </c>
      <c r="E19" s="6" t="s">
        <v>2</v>
      </c>
      <c r="F19" s="6" t="s">
        <v>3</v>
      </c>
    </row>
    <row r="20" spans="1:14">
      <c r="A20" s="4">
        <v>44701</v>
      </c>
      <c r="B20" s="5" t="s">
        <v>48</v>
      </c>
      <c r="C20" s="5"/>
      <c r="D20" s="7">
        <v>854.93</v>
      </c>
      <c r="E20" s="9">
        <f>D20</f>
        <v>854.93</v>
      </c>
      <c r="F20" s="10"/>
    </row>
    <row r="21" spans="1:14">
      <c r="A21" s="4">
        <v>44701</v>
      </c>
      <c r="B21" s="5" t="s">
        <v>49</v>
      </c>
      <c r="C21" s="5"/>
      <c r="D21" s="7">
        <v>1603.93</v>
      </c>
      <c r="E21" s="9">
        <f>D21</f>
        <v>1603.93</v>
      </c>
      <c r="F21" s="10"/>
    </row>
    <row r="22" spans="1:14">
      <c r="A22" s="4">
        <v>44699</v>
      </c>
      <c r="B22" s="5" t="s">
        <v>111</v>
      </c>
      <c r="C22" s="5"/>
      <c r="D22" s="7"/>
      <c r="E22" s="9"/>
      <c r="F22" s="10"/>
    </row>
    <row r="23" spans="1:14">
      <c r="A23" s="4">
        <v>44729</v>
      </c>
      <c r="B23" s="5" t="s">
        <v>82</v>
      </c>
      <c r="C23" s="11" t="s">
        <v>112</v>
      </c>
      <c r="D23" s="7">
        <v>319</v>
      </c>
      <c r="E23" s="8">
        <f>D23</f>
        <v>319</v>
      </c>
      <c r="F23" s="8"/>
    </row>
    <row r="24" spans="1:14">
      <c r="A24" s="4">
        <v>44729</v>
      </c>
      <c r="B24" s="5" t="s">
        <v>113</v>
      </c>
      <c r="C24" s="11" t="s">
        <v>110</v>
      </c>
      <c r="D24" s="7">
        <v>320</v>
      </c>
      <c r="E24" s="8">
        <f>D24</f>
        <v>320</v>
      </c>
      <c r="F24" s="8"/>
    </row>
    <row r="25" spans="1:14">
      <c r="A25" s="4">
        <v>44729</v>
      </c>
      <c r="B25" s="5" t="s">
        <v>20</v>
      </c>
      <c r="C25" s="11"/>
      <c r="D25" s="7">
        <v>-7.74</v>
      </c>
      <c r="E25" s="8">
        <f>D25</f>
        <v>-7.74</v>
      </c>
      <c r="F25" s="8"/>
    </row>
    <row r="26" spans="1:14">
      <c r="A26" s="61" t="s">
        <v>21</v>
      </c>
      <c r="B26" s="61"/>
      <c r="C26" s="61"/>
      <c r="D26" s="8">
        <f>SUM(D20:D25)</f>
        <v>3090.1200000000003</v>
      </c>
      <c r="E26" s="8">
        <f>SUM(E20:E25)</f>
        <v>3090.1200000000003</v>
      </c>
      <c r="F26" s="8">
        <f>SUM(F20:F25)</f>
        <v>0</v>
      </c>
      <c r="L26" s="8">
        <f>D26</f>
        <v>3090.1200000000003</v>
      </c>
      <c r="M26" s="5"/>
      <c r="N26" s="8"/>
    </row>
    <row r="27" spans="1:14">
      <c r="A27" s="1"/>
      <c r="B27" s="1"/>
    </row>
    <row r="28" spans="1:14">
      <c r="A28" s="4" t="s">
        <v>22</v>
      </c>
      <c r="B28" s="53">
        <v>44745</v>
      </c>
      <c r="C28" s="5" t="s">
        <v>39</v>
      </c>
      <c r="D28" s="5" t="s">
        <v>1</v>
      </c>
      <c r="E28" s="6" t="s">
        <v>2</v>
      </c>
      <c r="F28" s="6" t="s">
        <v>3</v>
      </c>
    </row>
    <row r="29" spans="1:14">
      <c r="A29" s="4">
        <v>44701</v>
      </c>
      <c r="B29" s="5" t="s">
        <v>23</v>
      </c>
      <c r="C29" s="5"/>
      <c r="D29" s="7">
        <v>1191.8699999999999</v>
      </c>
      <c r="E29" s="9">
        <f>D29</f>
        <v>1191.8699999999999</v>
      </c>
      <c r="F29" s="10"/>
    </row>
    <row r="30" spans="1:14">
      <c r="A30" s="4"/>
      <c r="B30" s="5"/>
      <c r="C30" s="11"/>
      <c r="D30" s="7"/>
      <c r="E30" s="9">
        <f>D30</f>
        <v>0</v>
      </c>
      <c r="F30" s="10"/>
      <c r="H30" s="3">
        <f>D30*6</f>
        <v>0</v>
      </c>
    </row>
    <row r="31" spans="1:14">
      <c r="A31" s="4"/>
      <c r="C31" s="11"/>
      <c r="D31" s="7"/>
      <c r="E31" s="8">
        <f>D31</f>
        <v>0</v>
      </c>
      <c r="F31" s="8"/>
      <c r="H31" s="3">
        <f>D31*6</f>
        <v>0</v>
      </c>
    </row>
    <row r="32" spans="1:14">
      <c r="A32" s="4"/>
      <c r="B32" s="5"/>
      <c r="C32" s="11"/>
      <c r="D32" s="7"/>
      <c r="E32" s="8"/>
      <c r="F32" s="8"/>
    </row>
    <row r="33" spans="1:14">
      <c r="A33" s="4"/>
      <c r="B33" s="5"/>
      <c r="C33" s="11"/>
      <c r="D33" s="7"/>
      <c r="E33" s="8">
        <f>D33</f>
        <v>0</v>
      </c>
      <c r="F33" s="8"/>
    </row>
    <row r="34" spans="1:14">
      <c r="A34" s="61" t="s">
        <v>27</v>
      </c>
      <c r="B34" s="61"/>
      <c r="C34" s="61"/>
      <c r="D34" s="29">
        <f>SUM(D29:D33)</f>
        <v>1191.8699999999999</v>
      </c>
      <c r="E34" s="8">
        <f>SUM(E29:E33)</f>
        <v>1191.8699999999999</v>
      </c>
      <c r="F34" s="8">
        <f>SUM(F29:F33)</f>
        <v>0</v>
      </c>
    </row>
    <row r="36" spans="1:14">
      <c r="A36" s="4" t="s">
        <v>28</v>
      </c>
      <c r="B36" s="53">
        <v>44744</v>
      </c>
      <c r="C36" s="5" t="s">
        <v>52</v>
      </c>
      <c r="D36" s="5" t="s">
        <v>1</v>
      </c>
      <c r="E36" s="6" t="s">
        <v>2</v>
      </c>
      <c r="F36" s="6" t="s">
        <v>3</v>
      </c>
    </row>
    <row r="37" spans="1:14">
      <c r="A37" s="4">
        <v>44691</v>
      </c>
      <c r="B37" s="4" t="s">
        <v>74</v>
      </c>
      <c r="C37" s="5"/>
      <c r="D37" s="7">
        <v>1035</v>
      </c>
      <c r="E37" s="9">
        <f>D37</f>
        <v>1035</v>
      </c>
      <c r="F37" s="10"/>
    </row>
    <row r="38" spans="1:14">
      <c r="A38" s="4">
        <v>44696</v>
      </c>
      <c r="B38" s="5" t="s">
        <v>114</v>
      </c>
      <c r="C38" s="5"/>
      <c r="D38" s="7">
        <v>979</v>
      </c>
      <c r="E38" s="9">
        <f>D38/2</f>
        <v>489.5</v>
      </c>
      <c r="F38" s="10">
        <f>E38</f>
        <v>489.5</v>
      </c>
    </row>
    <row r="39" spans="1:14">
      <c r="A39" s="4">
        <v>44696</v>
      </c>
      <c r="B39" s="5" t="s">
        <v>115</v>
      </c>
      <c r="C39" s="11"/>
      <c r="D39" s="7">
        <v>815</v>
      </c>
      <c r="E39" s="9">
        <f>D39/2</f>
        <v>407.5</v>
      </c>
      <c r="F39" s="10">
        <f>E39</f>
        <v>407.5</v>
      </c>
    </row>
    <row r="40" spans="1:14">
      <c r="A40" s="4"/>
      <c r="B40" s="5"/>
      <c r="C40" s="11"/>
      <c r="D40" s="7"/>
      <c r="E40" s="8"/>
      <c r="F40" s="8"/>
    </row>
    <row r="41" spans="1:14">
      <c r="A41" s="4"/>
      <c r="B41" s="5"/>
      <c r="C41" s="11"/>
      <c r="D41" s="7"/>
      <c r="E41" s="8"/>
      <c r="F41" s="8"/>
    </row>
    <row r="42" spans="1:14">
      <c r="A42" s="61" t="s">
        <v>31</v>
      </c>
      <c r="B42" s="61"/>
      <c r="C42" s="61"/>
      <c r="D42" s="8">
        <f>SUM(D37:D41)</f>
        <v>2829</v>
      </c>
      <c r="E42" s="8">
        <f>SUM(E37:E41)</f>
        <v>1932</v>
      </c>
      <c r="F42" s="8">
        <f>SUM(F37:F41)</f>
        <v>897</v>
      </c>
      <c r="L42" s="8">
        <f>D42</f>
        <v>2829</v>
      </c>
      <c r="M42" s="5"/>
      <c r="N42" s="8"/>
    </row>
    <row r="44" spans="1:14">
      <c r="A44" s="4" t="s">
        <v>54</v>
      </c>
      <c r="B44" s="53">
        <v>44746</v>
      </c>
      <c r="C44" s="5" t="s">
        <v>55</v>
      </c>
      <c r="D44" s="5" t="s">
        <v>1</v>
      </c>
      <c r="E44" s="6" t="s">
        <v>2</v>
      </c>
      <c r="F44" s="6" t="s">
        <v>3</v>
      </c>
      <c r="H44" t="s">
        <v>116</v>
      </c>
      <c r="I44" t="s">
        <v>117</v>
      </c>
    </row>
    <row r="45" spans="1:14">
      <c r="A45" s="4">
        <v>44719</v>
      </c>
      <c r="B45" s="5" t="s">
        <v>118</v>
      </c>
      <c r="C45" s="11" t="s">
        <v>119</v>
      </c>
      <c r="D45" s="7">
        <v>1094.03</v>
      </c>
      <c r="E45" s="9"/>
      <c r="F45" s="10"/>
      <c r="H45" s="2"/>
      <c r="I45" s="3"/>
    </row>
    <row r="46" spans="1:14">
      <c r="A46" s="4">
        <v>44719</v>
      </c>
      <c r="B46" s="5" t="s">
        <v>120</v>
      </c>
      <c r="C46" s="11" t="s">
        <v>121</v>
      </c>
      <c r="D46" s="7">
        <v>1390.12</v>
      </c>
      <c r="E46" s="9">
        <f>D46</f>
        <v>1390.12</v>
      </c>
      <c r="F46" s="10"/>
      <c r="H46" s="2">
        <v>33363</v>
      </c>
      <c r="I46" s="3">
        <f>H46/24</f>
        <v>1390.125</v>
      </c>
    </row>
    <row r="47" spans="1:14">
      <c r="A47" s="4">
        <v>44719</v>
      </c>
      <c r="B47" s="5" t="s">
        <v>122</v>
      </c>
      <c r="C47" s="11" t="s">
        <v>91</v>
      </c>
      <c r="D47" s="7">
        <f>I47</f>
        <v>412.5</v>
      </c>
      <c r="E47" s="9">
        <f>D47</f>
        <v>412.5</v>
      </c>
      <c r="F47" s="10"/>
      <c r="H47" s="2">
        <v>9900</v>
      </c>
      <c r="I47" s="3">
        <f>H47/24</f>
        <v>412.5</v>
      </c>
      <c r="J47">
        <f>412.5*24</f>
        <v>9900</v>
      </c>
      <c r="K47" s="3"/>
    </row>
    <row r="48" spans="1:14">
      <c r="A48" s="4">
        <v>44719</v>
      </c>
      <c r="B48" s="5" t="s">
        <v>123</v>
      </c>
      <c r="C48" s="11" t="s">
        <v>91</v>
      </c>
      <c r="D48" s="7">
        <f>I48-3.67</f>
        <v>183.41333333333336</v>
      </c>
      <c r="E48" s="9">
        <f>D48</f>
        <v>183.41333333333336</v>
      </c>
      <c r="F48" s="8"/>
      <c r="H48" s="2">
        <v>4490</v>
      </c>
      <c r="I48" s="3">
        <f>H48/24</f>
        <v>187.08333333333334</v>
      </c>
      <c r="J48">
        <f>187.08*24</f>
        <v>4489.92</v>
      </c>
    </row>
    <row r="49" spans="1:14">
      <c r="A49" s="4">
        <v>44719</v>
      </c>
      <c r="B49" s="5" t="s">
        <v>124</v>
      </c>
      <c r="C49" s="11" t="s">
        <v>91</v>
      </c>
      <c r="D49" s="7">
        <v>1378.75</v>
      </c>
      <c r="E49" s="8"/>
      <c r="F49" s="8"/>
      <c r="H49" s="2">
        <v>33090</v>
      </c>
      <c r="I49" s="3">
        <f>H49/24</f>
        <v>1378.75</v>
      </c>
      <c r="J49" s="3">
        <f>1378.75*24</f>
        <v>33090</v>
      </c>
    </row>
    <row r="50" spans="1:14">
      <c r="A50" s="4">
        <v>44711</v>
      </c>
      <c r="B50" s="5" t="s">
        <v>20</v>
      </c>
      <c r="C50" s="11"/>
      <c r="D50" s="7">
        <v>-333.63</v>
      </c>
      <c r="E50" s="8">
        <f>D50</f>
        <v>-333.63</v>
      </c>
      <c r="F50" s="8"/>
      <c r="H50" s="3"/>
      <c r="I50" s="3"/>
    </row>
    <row r="51" spans="1:14">
      <c r="A51" s="61" t="s">
        <v>56</v>
      </c>
      <c r="B51" s="61"/>
      <c r="C51" s="61"/>
      <c r="D51" s="29">
        <f>SUM(D45:D50)</f>
        <v>4125.1833333333334</v>
      </c>
      <c r="E51" s="8">
        <f>SUM(E45:E50)</f>
        <v>1652.4033333333332</v>
      </c>
      <c r="F51" s="8">
        <f>SUM(F45:F50)</f>
        <v>0</v>
      </c>
      <c r="L51" s="8"/>
      <c r="M51" s="5"/>
      <c r="N51" s="8"/>
    </row>
    <row r="53" spans="1:14">
      <c r="A53" s="4" t="s">
        <v>92</v>
      </c>
      <c r="B53" s="53">
        <v>44743</v>
      </c>
      <c r="C53" s="5"/>
      <c r="D53" s="5" t="s">
        <v>1</v>
      </c>
      <c r="E53" s="6" t="s">
        <v>2</v>
      </c>
      <c r="F53" s="6" t="s">
        <v>3</v>
      </c>
    </row>
    <row r="54" spans="1:14">
      <c r="A54" s="4">
        <v>44707</v>
      </c>
      <c r="B54" s="5" t="s">
        <v>125</v>
      </c>
      <c r="C54" s="5" t="s">
        <v>126</v>
      </c>
      <c r="D54" s="7">
        <v>557.79</v>
      </c>
      <c r="E54" s="9">
        <f>D54</f>
        <v>557.79</v>
      </c>
      <c r="F54" s="10"/>
    </row>
    <row r="55" spans="1:14">
      <c r="A55" s="4">
        <v>44708</v>
      </c>
      <c r="B55" s="5" t="s">
        <v>127</v>
      </c>
      <c r="C55" s="5"/>
      <c r="D55" s="7">
        <v>481</v>
      </c>
      <c r="E55" s="9">
        <f>D55</f>
        <v>481</v>
      </c>
      <c r="F55" s="10"/>
    </row>
    <row r="56" spans="1:14">
      <c r="A56" s="4">
        <v>44713</v>
      </c>
      <c r="B56" t="s">
        <v>128</v>
      </c>
      <c r="C56" s="11"/>
      <c r="D56" s="7">
        <v>254</v>
      </c>
      <c r="E56" s="8"/>
      <c r="F56" s="8">
        <v>254</v>
      </c>
    </row>
    <row r="57" spans="1:14">
      <c r="A57" s="4">
        <v>44713</v>
      </c>
      <c r="B57" s="5" t="s">
        <v>129</v>
      </c>
      <c r="C57" s="11"/>
      <c r="D57" s="7">
        <v>163</v>
      </c>
      <c r="E57" s="8">
        <f>D57</f>
        <v>163</v>
      </c>
      <c r="F57" s="8"/>
      <c r="K57">
        <f>570-480</f>
        <v>90</v>
      </c>
    </row>
    <row r="58" spans="1:14">
      <c r="A58" s="4"/>
      <c r="B58" s="5"/>
      <c r="C58" s="11"/>
      <c r="D58" s="7"/>
      <c r="E58" s="8">
        <f>D58</f>
        <v>0</v>
      </c>
      <c r="F58" s="8"/>
    </row>
    <row r="59" spans="1:14">
      <c r="A59" s="61" t="s">
        <v>60</v>
      </c>
      <c r="B59" s="61"/>
      <c r="C59" s="61"/>
      <c r="D59" s="8">
        <f>SUM(D54:D58)</f>
        <v>1455.79</v>
      </c>
      <c r="E59" s="8">
        <f>SUM(E54:E58)</f>
        <v>1201.79</v>
      </c>
      <c r="F59" s="8">
        <f>SUM(F54:F58)</f>
        <v>254</v>
      </c>
    </row>
    <row r="61" spans="1:14">
      <c r="A61" s="4" t="s">
        <v>32</v>
      </c>
      <c r="B61" s="53">
        <v>44764</v>
      </c>
      <c r="C61" s="5" t="s">
        <v>61</v>
      </c>
      <c r="D61" s="5" t="s">
        <v>1</v>
      </c>
      <c r="E61" s="6" t="s">
        <v>2</v>
      </c>
      <c r="F61" s="6" t="s">
        <v>3</v>
      </c>
    </row>
    <row r="62" spans="1:14">
      <c r="A62" s="4">
        <v>44715</v>
      </c>
      <c r="B62" s="5" t="s">
        <v>130</v>
      </c>
      <c r="C62" s="5"/>
      <c r="D62" s="7">
        <v>419</v>
      </c>
      <c r="E62" s="9">
        <f>D62</f>
        <v>419</v>
      </c>
      <c r="F62" s="10"/>
    </row>
    <row r="63" spans="1:14">
      <c r="A63" s="4">
        <v>44715</v>
      </c>
      <c r="B63" s="5" t="s">
        <v>131</v>
      </c>
      <c r="C63" s="5"/>
      <c r="D63" s="25">
        <v>1215</v>
      </c>
      <c r="E63" s="9">
        <f>D63/3</f>
        <v>405</v>
      </c>
      <c r="F63" s="10">
        <f>E63*2</f>
        <v>810</v>
      </c>
    </row>
    <row r="64" spans="1:14">
      <c r="A64" s="4">
        <v>44718</v>
      </c>
      <c r="B64" s="5" t="s">
        <v>132</v>
      </c>
      <c r="C64" s="5"/>
      <c r="D64" s="7">
        <v>320</v>
      </c>
      <c r="E64" s="8">
        <f>D64</f>
        <v>320</v>
      </c>
      <c r="F64" s="10"/>
    </row>
    <row r="65" spans="1:14">
      <c r="A65" s="4">
        <v>44718</v>
      </c>
      <c r="B65" s="5" t="s">
        <v>133</v>
      </c>
      <c r="C65" s="11"/>
      <c r="D65" s="7">
        <v>190</v>
      </c>
      <c r="E65" s="8">
        <f>D65</f>
        <v>190</v>
      </c>
      <c r="F65" s="8"/>
    </row>
    <row r="66" spans="1:14">
      <c r="A66" s="4">
        <v>44718</v>
      </c>
      <c r="B66" s="5" t="s">
        <v>134</v>
      </c>
      <c r="C66" s="11"/>
      <c r="D66" s="7">
        <v>318</v>
      </c>
      <c r="E66" s="8">
        <f>D66</f>
        <v>318</v>
      </c>
      <c r="F66" s="8"/>
    </row>
    <row r="67" spans="1:14">
      <c r="A67" s="4"/>
      <c r="B67" s="5"/>
      <c r="C67" s="11"/>
      <c r="D67" s="7"/>
      <c r="E67" s="8"/>
      <c r="F67" s="8"/>
    </row>
    <row r="68" spans="1:14">
      <c r="A68" s="4"/>
      <c r="B68" s="5"/>
      <c r="C68" s="11"/>
      <c r="D68" s="7"/>
      <c r="E68" s="8"/>
      <c r="F68" s="8"/>
    </row>
    <row r="69" spans="1:14">
      <c r="A69" s="61" t="s">
        <v>38</v>
      </c>
      <c r="B69" s="61"/>
      <c r="C69" s="61"/>
      <c r="D69" s="8">
        <f>SUM(D62:D68)</f>
        <v>2462</v>
      </c>
      <c r="E69" s="8">
        <f>SUM(E62:E68)</f>
        <v>1652</v>
      </c>
      <c r="F69" s="8">
        <f>SUM(F62:F68)</f>
        <v>810</v>
      </c>
      <c r="L69" s="5"/>
      <c r="M69" s="5"/>
      <c r="N69" s="8">
        <f>D69</f>
        <v>2462</v>
      </c>
    </row>
    <row r="71" spans="1:14">
      <c r="A71" s="4"/>
      <c r="B71" s="5"/>
      <c r="C71" s="11"/>
      <c r="D71" s="7"/>
      <c r="E71" s="8"/>
      <c r="F71" s="8"/>
      <c r="L71" s="5"/>
      <c r="M71" s="5"/>
      <c r="N71" s="8"/>
    </row>
    <row r="73" spans="1:14">
      <c r="D73" s="3">
        <f>SUM(D69,D42,D34,D26,D17,D51,D59)</f>
        <v>25239.113333333335</v>
      </c>
      <c r="E73" s="3">
        <f>SUM(E69,E42,E34,E26,E17,E51,E59)</f>
        <v>18860.763333333332</v>
      </c>
      <c r="F73" s="3">
        <f>SUM(F69,F42,F34,F26,F17,F51,F59,F71)</f>
        <v>3905.58</v>
      </c>
      <c r="K73" s="3">
        <f>SUM(L73:N73)</f>
        <v>18466.270000000004</v>
      </c>
      <c r="L73" s="7">
        <f>SUM(L2:L72)</f>
        <v>5919.1200000000008</v>
      </c>
      <c r="M73" s="7">
        <f>SUM(M2:M72)</f>
        <v>0</v>
      </c>
      <c r="N73" s="7">
        <f>SUM(N2:N72)</f>
        <v>12547.150000000001</v>
      </c>
    </row>
  </sheetData>
  <mergeCells count="7">
    <mergeCell ref="A69:C69"/>
    <mergeCell ref="A17:C17"/>
    <mergeCell ref="A26:C26"/>
    <mergeCell ref="A34:C34"/>
    <mergeCell ref="A42:C42"/>
    <mergeCell ref="A51:C51"/>
    <mergeCell ref="A59:C5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E816-AD07-45F0-9EA4-ABFACD672801}">
  <dimension ref="A1:BX74"/>
  <sheetViews>
    <sheetView topLeftCell="A49" workbookViewId="0">
      <selection activeCell="B73" sqref="B73"/>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1" width="10.1640625" bestFit="1" customWidth="1"/>
    <col min="12" max="12" width="14.1640625" customWidth="1"/>
    <col min="13" max="13" width="10.1640625" customWidth="1"/>
    <col min="14" max="14" width="12.6640625" customWidth="1"/>
  </cols>
  <sheetData>
    <row r="1" spans="1:76">
      <c r="A1" s="1"/>
      <c r="B1" s="1"/>
      <c r="U1" s="1"/>
      <c r="V1" s="1"/>
      <c r="AQ1" s="1"/>
      <c r="AR1" s="1"/>
      <c r="BG1" s="1"/>
      <c r="BH1" s="1"/>
      <c r="BW1" s="1"/>
      <c r="BX1" s="1"/>
    </row>
    <row r="2" spans="1:76">
      <c r="A2" s="4" t="s">
        <v>0</v>
      </c>
      <c r="B2" s="53">
        <v>44780</v>
      </c>
      <c r="C2" s="5" t="s">
        <v>39</v>
      </c>
      <c r="D2" s="5" t="s">
        <v>1</v>
      </c>
      <c r="E2" s="6" t="s">
        <v>2</v>
      </c>
      <c r="F2" s="6" t="s">
        <v>3</v>
      </c>
      <c r="H2" t="s">
        <v>4</v>
      </c>
      <c r="I2" t="s">
        <v>5</v>
      </c>
      <c r="J2" t="s">
        <v>6</v>
      </c>
      <c r="L2" s="5" t="s">
        <v>69</v>
      </c>
      <c r="M2" s="5" t="s">
        <v>70</v>
      </c>
      <c r="N2" s="5" t="s">
        <v>71</v>
      </c>
    </row>
    <row r="3" spans="1:76">
      <c r="A3" s="4">
        <v>44760</v>
      </c>
      <c r="B3" s="5" t="s">
        <v>109</v>
      </c>
      <c r="C3" s="5" t="s">
        <v>135</v>
      </c>
      <c r="D3" s="7">
        <v>1590</v>
      </c>
      <c r="E3" s="7">
        <v>1590</v>
      </c>
      <c r="F3" s="8"/>
    </row>
    <row r="4" spans="1:76">
      <c r="A4" s="4">
        <v>44760</v>
      </c>
      <c r="B4" s="5" t="s">
        <v>78</v>
      </c>
      <c r="C4" s="5" t="s">
        <v>45</v>
      </c>
      <c r="D4" s="7">
        <f>14082/10</f>
        <v>1408.2</v>
      </c>
      <c r="E4" s="7">
        <f>D4</f>
        <v>1408.2</v>
      </c>
      <c r="F4" s="8"/>
    </row>
    <row r="5" spans="1:76">
      <c r="A5" s="4">
        <v>44760</v>
      </c>
      <c r="B5" s="5" t="s">
        <v>136</v>
      </c>
      <c r="C5" s="5" t="s">
        <v>14</v>
      </c>
      <c r="D5" s="7">
        <v>1964.36</v>
      </c>
      <c r="E5" s="7">
        <f>1964.36/2</f>
        <v>982.18</v>
      </c>
      <c r="F5" s="8">
        <f>E5</f>
        <v>982.18</v>
      </c>
      <c r="H5" s="2">
        <v>5784.8</v>
      </c>
      <c r="I5" s="3">
        <f>H5/3</f>
        <v>1928.2666666666667</v>
      </c>
    </row>
    <row r="6" spans="1:76">
      <c r="A6" s="4">
        <v>44730</v>
      </c>
      <c r="B6" s="4" t="s">
        <v>33</v>
      </c>
      <c r="C6" s="5"/>
      <c r="D6" s="7">
        <v>69.3</v>
      </c>
      <c r="E6" s="9">
        <f>D6</f>
        <v>69.3</v>
      </c>
      <c r="F6" s="10"/>
    </row>
    <row r="7" spans="1:76">
      <c r="A7" s="4">
        <v>44738</v>
      </c>
      <c r="B7" s="5" t="s">
        <v>137</v>
      </c>
      <c r="C7" s="5"/>
      <c r="D7" s="7">
        <v>446</v>
      </c>
      <c r="E7" s="8">
        <f>D7/2</f>
        <v>223</v>
      </c>
      <c r="F7" s="8">
        <f>D7/2</f>
        <v>223</v>
      </c>
    </row>
    <row r="8" spans="1:76">
      <c r="A8" s="4">
        <v>44748</v>
      </c>
      <c r="B8" s="4" t="s">
        <v>33</v>
      </c>
      <c r="C8" s="5"/>
      <c r="D8" s="7">
        <v>357</v>
      </c>
      <c r="E8" s="7">
        <f>D8</f>
        <v>357</v>
      </c>
      <c r="F8" s="8"/>
    </row>
    <row r="9" spans="1:76">
      <c r="A9" s="4">
        <v>44755</v>
      </c>
      <c r="B9" s="4" t="s">
        <v>138</v>
      </c>
      <c r="C9" s="5"/>
      <c r="D9" s="24">
        <v>317</v>
      </c>
      <c r="E9" s="24">
        <v>179</v>
      </c>
      <c r="F9" s="14">
        <f>D9-E9</f>
        <v>138</v>
      </c>
      <c r="G9" s="2"/>
      <c r="H9" s="2"/>
      <c r="I9" s="3"/>
      <c r="J9" s="3"/>
    </row>
    <row r="10" spans="1:76">
      <c r="A10" s="4"/>
      <c r="B10" s="5"/>
      <c r="C10" s="5"/>
      <c r="D10" s="7"/>
      <c r="E10" s="7"/>
      <c r="F10" s="7"/>
      <c r="G10" s="2"/>
      <c r="H10" s="2"/>
      <c r="I10" s="3"/>
      <c r="J10" s="3"/>
    </row>
    <row r="11" spans="1:76">
      <c r="A11" s="4"/>
      <c r="B11" s="5"/>
      <c r="C11" s="5"/>
      <c r="D11" s="7"/>
      <c r="E11" s="7"/>
      <c r="F11" s="7"/>
      <c r="G11" s="2"/>
      <c r="H11" s="2"/>
      <c r="I11" s="3"/>
      <c r="J11" s="3"/>
    </row>
    <row r="12" spans="1:76">
      <c r="A12" s="61" t="s">
        <v>16</v>
      </c>
      <c r="B12" s="61"/>
      <c r="C12" s="61"/>
      <c r="D12" s="8">
        <f>SUM(D3:D11)</f>
        <v>6151.86</v>
      </c>
      <c r="E12" s="8">
        <f>SUM(E3:E11)</f>
        <v>4808.68</v>
      </c>
      <c r="F12" s="8">
        <f>SUM(F3:F11)</f>
        <v>1343.1799999999998</v>
      </c>
      <c r="L12" s="5"/>
      <c r="M12" s="5"/>
      <c r="N12" s="8">
        <f>D12</f>
        <v>6151.86</v>
      </c>
    </row>
    <row r="14" spans="1:76">
      <c r="A14" s="4" t="s">
        <v>17</v>
      </c>
      <c r="B14" s="53">
        <v>44774</v>
      </c>
      <c r="C14" s="5" t="s">
        <v>47</v>
      </c>
      <c r="D14" s="5" t="s">
        <v>1</v>
      </c>
      <c r="E14" s="6" t="s">
        <v>2</v>
      </c>
      <c r="F14" s="6" t="s">
        <v>3</v>
      </c>
    </row>
    <row r="15" spans="1:76">
      <c r="A15" s="4">
        <v>44732</v>
      </c>
      <c r="B15" s="5" t="s">
        <v>48</v>
      </c>
      <c r="C15" s="5"/>
      <c r="D15" s="7">
        <v>854.93</v>
      </c>
      <c r="E15" s="9">
        <f>D15</f>
        <v>854.93</v>
      </c>
      <c r="F15" s="10"/>
    </row>
    <row r="16" spans="1:76">
      <c r="A16" s="4">
        <v>44732</v>
      </c>
      <c r="B16" s="5" t="s">
        <v>49</v>
      </c>
      <c r="C16" s="5"/>
      <c r="D16" s="7">
        <v>1603.93</v>
      </c>
      <c r="E16" s="9">
        <f>D16</f>
        <v>1603.93</v>
      </c>
      <c r="F16" s="10"/>
    </row>
    <row r="17" spans="1:15">
      <c r="A17" s="4">
        <v>44730</v>
      </c>
      <c r="B17" s="5" t="s">
        <v>81</v>
      </c>
      <c r="C17" s="5"/>
      <c r="D17" s="7">
        <v>373.43</v>
      </c>
      <c r="E17" s="9">
        <f>D17</f>
        <v>373.43</v>
      </c>
      <c r="F17" s="10"/>
    </row>
    <row r="18" spans="1:15">
      <c r="A18" s="4">
        <v>44759</v>
      </c>
      <c r="B18" s="5" t="s">
        <v>11</v>
      </c>
      <c r="C18" s="11" t="s">
        <v>135</v>
      </c>
      <c r="D18" s="7">
        <v>320</v>
      </c>
      <c r="E18" s="8">
        <f>D18</f>
        <v>320</v>
      </c>
      <c r="F18" s="8"/>
    </row>
    <row r="19" spans="1:15">
      <c r="A19" s="4">
        <v>44759</v>
      </c>
      <c r="B19" s="5" t="s">
        <v>20</v>
      </c>
      <c r="C19" s="11"/>
      <c r="D19" s="7">
        <v>-7.88</v>
      </c>
      <c r="E19" s="8">
        <f>D19</f>
        <v>-7.88</v>
      </c>
      <c r="F19" s="8"/>
    </row>
    <row r="20" spans="1:15">
      <c r="A20" s="4"/>
      <c r="B20" s="5"/>
      <c r="C20" s="11"/>
      <c r="D20" s="7"/>
      <c r="E20" s="8"/>
      <c r="F20" s="8"/>
    </row>
    <row r="21" spans="1:15">
      <c r="A21" s="61" t="s">
        <v>21</v>
      </c>
      <c r="B21" s="61"/>
      <c r="C21" s="61"/>
      <c r="D21" s="29">
        <f>SUM(D15:D20)</f>
        <v>3144.41</v>
      </c>
      <c r="E21" s="8">
        <f>SUM(E15:E20)</f>
        <v>3144.41</v>
      </c>
      <c r="F21" s="8">
        <f>SUM(F15:F20)</f>
        <v>0</v>
      </c>
      <c r="L21" s="8">
        <f>D21</f>
        <v>3144.41</v>
      </c>
      <c r="M21" s="5"/>
      <c r="N21" s="8"/>
    </row>
    <row r="22" spans="1:15">
      <c r="A22" s="1"/>
      <c r="B22" s="1"/>
    </row>
    <row r="23" spans="1:15">
      <c r="A23" s="4" t="s">
        <v>22</v>
      </c>
      <c r="B23" s="53">
        <f>B14</f>
        <v>44774</v>
      </c>
      <c r="C23" s="5" t="s">
        <v>39</v>
      </c>
      <c r="D23" s="5" t="s">
        <v>1</v>
      </c>
      <c r="E23" s="6" t="s">
        <v>2</v>
      </c>
      <c r="F23" s="6" t="s">
        <v>3</v>
      </c>
    </row>
    <row r="24" spans="1:15">
      <c r="A24" s="4">
        <v>44733</v>
      </c>
      <c r="B24" s="5" t="s">
        <v>23</v>
      </c>
      <c r="C24" s="5"/>
      <c r="D24" s="7">
        <v>1191.8699999999999</v>
      </c>
      <c r="E24" s="9">
        <f>D24</f>
        <v>1191.8699999999999</v>
      </c>
      <c r="F24" s="10"/>
    </row>
    <row r="25" spans="1:15">
      <c r="A25" s="4"/>
      <c r="B25" s="5"/>
      <c r="C25" s="11"/>
      <c r="D25" s="7"/>
      <c r="E25" s="9">
        <f>D25</f>
        <v>0</v>
      </c>
      <c r="F25" s="10"/>
      <c r="H25" s="3">
        <f>D25*6</f>
        <v>0</v>
      </c>
    </row>
    <row r="26" spans="1:15">
      <c r="A26" s="4"/>
      <c r="C26" s="11"/>
      <c r="D26" s="7"/>
      <c r="E26" s="8">
        <f>D26</f>
        <v>0</v>
      </c>
      <c r="F26" s="8"/>
      <c r="H26" s="3">
        <f>D26*6</f>
        <v>0</v>
      </c>
    </row>
    <row r="27" spans="1:15">
      <c r="A27" s="4"/>
      <c r="B27" s="5"/>
      <c r="C27" s="11"/>
      <c r="D27" s="7"/>
      <c r="E27" s="8"/>
      <c r="F27" s="8"/>
    </row>
    <row r="28" spans="1:15">
      <c r="A28" s="4"/>
      <c r="B28" s="5"/>
      <c r="C28" s="11"/>
      <c r="D28" s="7"/>
      <c r="E28" s="8">
        <f>D28</f>
        <v>0</v>
      </c>
      <c r="F28" s="8"/>
    </row>
    <row r="29" spans="1:15">
      <c r="A29" s="61" t="s">
        <v>27</v>
      </c>
      <c r="B29" s="61"/>
      <c r="C29" s="61"/>
      <c r="D29" s="29">
        <f>SUM(D24:D28)</f>
        <v>1191.8699999999999</v>
      </c>
      <c r="E29" s="8">
        <f>SUM(E24:E28)</f>
        <v>1191.8699999999999</v>
      </c>
      <c r="F29" s="8">
        <f>SUM(F24:F28)</f>
        <v>0</v>
      </c>
      <c r="O29" t="s">
        <v>139</v>
      </c>
    </row>
    <row r="31" spans="1:15">
      <c r="A31" s="4" t="s">
        <v>28</v>
      </c>
      <c r="B31" s="53">
        <f>B23</f>
        <v>44774</v>
      </c>
      <c r="C31" s="5" t="s">
        <v>52</v>
      </c>
      <c r="D31" s="5" t="s">
        <v>1</v>
      </c>
      <c r="E31" s="6" t="s">
        <v>2</v>
      </c>
      <c r="F31" s="6" t="s">
        <v>3</v>
      </c>
    </row>
    <row r="32" spans="1:15">
      <c r="A32" s="4">
        <v>44724</v>
      </c>
      <c r="B32" s="5" t="s">
        <v>87</v>
      </c>
      <c r="C32" s="5"/>
      <c r="D32" s="24">
        <v>1035.75</v>
      </c>
      <c r="E32" s="9">
        <f>D32-F32</f>
        <v>740.125</v>
      </c>
      <c r="F32" s="10">
        <f>778.5-F33-F34</f>
        <v>295.625</v>
      </c>
    </row>
    <row r="33" spans="1:15">
      <c r="A33" s="4">
        <v>44731</v>
      </c>
      <c r="B33" s="5" t="s">
        <v>140</v>
      </c>
      <c r="C33" s="5"/>
      <c r="D33" s="24">
        <v>381</v>
      </c>
      <c r="E33" s="9">
        <f>D33/2</f>
        <v>190.5</v>
      </c>
      <c r="F33" s="10">
        <f>E33</f>
        <v>190.5</v>
      </c>
    </row>
    <row r="34" spans="1:15">
      <c r="A34" s="4">
        <v>44748</v>
      </c>
      <c r="B34" s="5" t="s">
        <v>87</v>
      </c>
      <c r="C34" s="11"/>
      <c r="D34" s="24">
        <v>584.75</v>
      </c>
      <c r="E34" s="9">
        <f>D34/2</f>
        <v>292.375</v>
      </c>
      <c r="F34" s="10">
        <f>E34</f>
        <v>292.375</v>
      </c>
    </row>
    <row r="35" spans="1:15">
      <c r="A35" s="4">
        <v>44733</v>
      </c>
      <c r="B35" s="5" t="s">
        <v>141</v>
      </c>
      <c r="C35" s="11"/>
      <c r="D35" s="7">
        <v>539</v>
      </c>
      <c r="E35" s="7">
        <v>539</v>
      </c>
      <c r="F35" s="8"/>
    </row>
    <row r="36" spans="1:15">
      <c r="A36" s="4"/>
      <c r="B36" s="5"/>
      <c r="C36" s="11"/>
      <c r="D36" s="7"/>
      <c r="E36" s="8"/>
      <c r="F36" s="8"/>
    </row>
    <row r="37" spans="1:15">
      <c r="A37" s="61" t="s">
        <v>31</v>
      </c>
      <c r="B37" s="61"/>
      <c r="C37" s="61"/>
      <c r="D37" s="29">
        <f>SUM(D32:D36)</f>
        <v>2540.5</v>
      </c>
      <c r="E37" s="8">
        <f>SUM(E32:E36)</f>
        <v>1762</v>
      </c>
      <c r="F37" s="8">
        <f>SUM(F32:F36)</f>
        <v>778.5</v>
      </c>
      <c r="L37" s="8">
        <f>D37</f>
        <v>2540.5</v>
      </c>
      <c r="M37" s="5"/>
      <c r="N37" s="8"/>
    </row>
    <row r="39" spans="1:15">
      <c r="A39" s="4" t="s">
        <v>54</v>
      </c>
      <c r="B39" s="53">
        <f>B31</f>
        <v>44774</v>
      </c>
      <c r="C39" s="5" t="s">
        <v>55</v>
      </c>
      <c r="D39" s="5" t="s">
        <v>1</v>
      </c>
      <c r="E39" s="6" t="s">
        <v>2</v>
      </c>
      <c r="F39" s="6" t="s">
        <v>3</v>
      </c>
      <c r="H39" t="s">
        <v>116</v>
      </c>
      <c r="I39" t="s">
        <v>117</v>
      </c>
    </row>
    <row r="40" spans="1:15">
      <c r="A40" s="4">
        <v>44749</v>
      </c>
      <c r="B40" s="5" t="s">
        <v>118</v>
      </c>
      <c r="C40" s="11" t="s">
        <v>142</v>
      </c>
      <c r="D40" s="7">
        <v>1094.03</v>
      </c>
      <c r="E40" s="9"/>
      <c r="F40" s="10"/>
      <c r="H40" s="2"/>
      <c r="I40" s="3"/>
      <c r="J40" s="2"/>
      <c r="K40" s="3"/>
    </row>
    <row r="41" spans="1:15">
      <c r="A41" s="4">
        <v>44749</v>
      </c>
      <c r="B41" s="5" t="s">
        <v>120</v>
      </c>
      <c r="C41" s="11" t="s">
        <v>143</v>
      </c>
      <c r="D41" s="7">
        <v>1390.12</v>
      </c>
      <c r="E41" s="9">
        <f>D41</f>
        <v>1390.12</v>
      </c>
      <c r="F41" s="10"/>
      <c r="H41" s="2">
        <v>33363</v>
      </c>
      <c r="I41" s="3">
        <f>H41/24</f>
        <v>1390.125</v>
      </c>
    </row>
    <row r="42" spans="1:15">
      <c r="A42" s="4">
        <v>44749</v>
      </c>
      <c r="B42" s="5" t="s">
        <v>122</v>
      </c>
      <c r="C42" s="11" t="s">
        <v>121</v>
      </c>
      <c r="D42" s="7">
        <f>I42</f>
        <v>416.25</v>
      </c>
      <c r="E42" s="9">
        <f>D42</f>
        <v>416.25</v>
      </c>
      <c r="F42" s="10"/>
      <c r="H42" s="2">
        <v>9990</v>
      </c>
      <c r="I42" s="3">
        <f>H42/24</f>
        <v>416.25</v>
      </c>
    </row>
    <row r="43" spans="1:15">
      <c r="A43" s="4">
        <v>44749</v>
      </c>
      <c r="B43" s="5" t="s">
        <v>123</v>
      </c>
      <c r="C43" s="11" t="str">
        <f>C42</f>
        <v>002/024</v>
      </c>
      <c r="D43" s="7">
        <f>I43-3.75</f>
        <v>183.33333333333334</v>
      </c>
      <c r="E43" s="9">
        <f>D43</f>
        <v>183.33333333333334</v>
      </c>
      <c r="F43" s="8"/>
      <c r="H43" s="2">
        <v>4490</v>
      </c>
      <c r="I43" s="3">
        <f>H43/24</f>
        <v>187.08333333333334</v>
      </c>
    </row>
    <row r="44" spans="1:15">
      <c r="A44" s="4">
        <v>44749</v>
      </c>
      <c r="B44" s="5" t="s">
        <v>124</v>
      </c>
      <c r="C44" s="11" t="str">
        <f>C43</f>
        <v>002/024</v>
      </c>
      <c r="D44" s="7">
        <v>1378.75</v>
      </c>
      <c r="E44" s="8"/>
      <c r="F44" s="8"/>
      <c r="H44" s="2">
        <v>33090</v>
      </c>
      <c r="I44" s="3">
        <f>H44/24</f>
        <v>1378.75</v>
      </c>
    </row>
    <row r="45" spans="1:15">
      <c r="A45" s="4"/>
      <c r="B45" s="5" t="s">
        <v>20</v>
      </c>
      <c r="C45" s="11"/>
      <c r="D45" s="7"/>
      <c r="E45" s="8"/>
      <c r="F45" s="8"/>
      <c r="H45" s="3"/>
      <c r="I45" s="3"/>
    </row>
    <row r="46" spans="1:15">
      <c r="A46" s="4"/>
      <c r="B46" s="5"/>
      <c r="C46" s="11"/>
      <c r="D46" s="7"/>
      <c r="E46" s="8"/>
      <c r="F46" s="8"/>
    </row>
    <row r="47" spans="1:15">
      <c r="A47" s="61" t="s">
        <v>56</v>
      </c>
      <c r="B47" s="61"/>
      <c r="C47" s="61"/>
      <c r="D47" s="29">
        <f>SUM(D40:D46)</f>
        <v>4462.4833333333336</v>
      </c>
      <c r="E47" s="8">
        <f>SUM(E40:E46)</f>
        <v>1989.7033333333331</v>
      </c>
      <c r="F47" s="8">
        <f>SUM(F40:F46)</f>
        <v>0</v>
      </c>
      <c r="O47" t="s">
        <v>139</v>
      </c>
    </row>
    <row r="49" spans="1:15">
      <c r="A49" s="4" t="s">
        <v>92</v>
      </c>
      <c r="B49" s="53">
        <f>B39</f>
        <v>44774</v>
      </c>
      <c r="C49" s="5"/>
      <c r="D49" s="5" t="s">
        <v>1</v>
      </c>
      <c r="E49" s="6" t="s">
        <v>2</v>
      </c>
      <c r="F49" s="6" t="s">
        <v>3</v>
      </c>
    </row>
    <row r="50" spans="1:15">
      <c r="A50" s="4">
        <v>44707</v>
      </c>
      <c r="B50" s="5" t="s">
        <v>125</v>
      </c>
      <c r="C50" s="5" t="s">
        <v>144</v>
      </c>
      <c r="D50" s="7">
        <v>562.63</v>
      </c>
      <c r="E50" s="9">
        <f>D50</f>
        <v>562.63</v>
      </c>
      <c r="F50" s="10"/>
      <c r="H50" s="3"/>
    </row>
    <row r="51" spans="1:15">
      <c r="A51" s="4">
        <v>44752</v>
      </c>
      <c r="B51" s="5" t="s">
        <v>145</v>
      </c>
      <c r="C51" s="5"/>
      <c r="D51" s="7">
        <v>269</v>
      </c>
      <c r="E51" s="9">
        <f>D51</f>
        <v>269</v>
      </c>
      <c r="F51" s="10"/>
    </row>
    <row r="52" spans="1:15">
      <c r="A52" s="4">
        <v>44763</v>
      </c>
      <c r="B52" t="s">
        <v>146</v>
      </c>
      <c r="C52" s="11"/>
      <c r="D52" s="7">
        <v>60</v>
      </c>
      <c r="E52" s="8">
        <v>60</v>
      </c>
      <c r="F52" s="8"/>
    </row>
    <row r="53" spans="1:15">
      <c r="A53" s="4"/>
      <c r="B53" s="5"/>
      <c r="C53" s="11"/>
      <c r="D53" s="7"/>
      <c r="E53" s="8">
        <f>D53/2</f>
        <v>0</v>
      </c>
      <c r="F53" s="8">
        <f>E53</f>
        <v>0</v>
      </c>
    </row>
    <row r="54" spans="1:15">
      <c r="A54" s="4"/>
      <c r="B54" s="5"/>
      <c r="C54" s="11"/>
      <c r="D54" s="7"/>
      <c r="E54" s="8">
        <f>D54</f>
        <v>0</v>
      </c>
      <c r="F54" s="8"/>
    </row>
    <row r="55" spans="1:15">
      <c r="A55" s="61" t="s">
        <v>60</v>
      </c>
      <c r="B55" s="61"/>
      <c r="C55" s="61"/>
      <c r="D55" s="29">
        <f>SUM(D50:D54)</f>
        <v>891.63</v>
      </c>
      <c r="E55" s="8">
        <f>SUM(E50:E54)</f>
        <v>891.63</v>
      </c>
      <c r="F55" s="8">
        <f>SUM(F50:F54)</f>
        <v>0</v>
      </c>
      <c r="O55" t="s">
        <v>139</v>
      </c>
    </row>
    <row r="57" spans="1:15">
      <c r="A57" s="4" t="s">
        <v>32</v>
      </c>
      <c r="B57" s="53">
        <v>44795</v>
      </c>
      <c r="C57" s="5" t="s">
        <v>61</v>
      </c>
      <c r="D57" s="5" t="s">
        <v>1</v>
      </c>
      <c r="E57" s="6" t="s">
        <v>2</v>
      </c>
      <c r="F57" s="6" t="s">
        <v>3</v>
      </c>
    </row>
    <row r="58" spans="1:15">
      <c r="A58" s="4">
        <v>44745</v>
      </c>
      <c r="B58" s="5" t="s">
        <v>130</v>
      </c>
      <c r="C58" s="5"/>
      <c r="D58" s="7">
        <v>419</v>
      </c>
      <c r="E58" s="9">
        <f>D58</f>
        <v>419</v>
      </c>
      <c r="F58" s="10"/>
    </row>
    <row r="59" spans="1:15">
      <c r="A59" s="4">
        <v>44744</v>
      </c>
      <c r="B59" s="5" t="s">
        <v>147</v>
      </c>
      <c r="C59" s="5"/>
      <c r="D59" s="7">
        <v>1030</v>
      </c>
      <c r="E59" s="9">
        <f>D59/2</f>
        <v>515</v>
      </c>
      <c r="F59" s="10">
        <f>E59</f>
        <v>515</v>
      </c>
    </row>
    <row r="60" spans="1:15">
      <c r="A60" s="4"/>
      <c r="B60" s="5"/>
      <c r="C60" s="5"/>
      <c r="D60" s="7"/>
      <c r="E60" s="9"/>
      <c r="F60" s="10"/>
    </row>
    <row r="61" spans="1:15">
      <c r="A61" s="4"/>
      <c r="C61" s="11"/>
      <c r="D61" s="7"/>
      <c r="E61" s="8"/>
      <c r="F61" s="8"/>
    </row>
    <row r="62" spans="1:15">
      <c r="A62" s="4"/>
      <c r="B62" s="5"/>
      <c r="C62" s="11"/>
      <c r="D62" s="7"/>
      <c r="E62" s="8"/>
      <c r="F62" s="8"/>
    </row>
    <row r="63" spans="1:15">
      <c r="A63" s="4"/>
      <c r="B63" s="5"/>
      <c r="C63" s="11"/>
      <c r="D63" s="7"/>
      <c r="E63" s="8"/>
      <c r="F63" s="8"/>
    </row>
    <row r="64" spans="1:15">
      <c r="A64" s="4"/>
      <c r="B64" s="5"/>
      <c r="C64" s="11"/>
      <c r="D64" s="7"/>
      <c r="E64" s="8"/>
      <c r="F64" s="8"/>
    </row>
    <row r="65" spans="1:14">
      <c r="A65" s="61" t="s">
        <v>38</v>
      </c>
      <c r="B65" s="61"/>
      <c r="C65" s="61"/>
      <c r="D65" s="8">
        <f>SUM(D58:D64)</f>
        <v>1449</v>
      </c>
      <c r="E65" s="8">
        <f>SUM(E58:E64)</f>
        <v>934</v>
      </c>
      <c r="F65" s="8">
        <f>SUM(F58:F64)</f>
        <v>515</v>
      </c>
      <c r="L65" s="5"/>
      <c r="M65" s="5"/>
      <c r="N65" s="8">
        <f>D65</f>
        <v>1449</v>
      </c>
    </row>
    <row r="67" spans="1:14">
      <c r="E67" s="8">
        <f>SUM(E65,E37,E29,E21,E12,E47,E55)</f>
        <v>14722.293333333331</v>
      </c>
      <c r="F67" s="8">
        <f>SUM(F65,F37,F29,F21,F12,F47,F55)</f>
        <v>2636.68</v>
      </c>
    </row>
    <row r="68" spans="1:14">
      <c r="A68" s="4" t="s">
        <v>148</v>
      </c>
      <c r="B68" s="53">
        <v>44795</v>
      </c>
      <c r="C68" s="5" t="s">
        <v>61</v>
      </c>
      <c r="D68" s="5" t="s">
        <v>1</v>
      </c>
      <c r="E68" s="6" t="s">
        <v>2</v>
      </c>
      <c r="F68" s="6" t="s">
        <v>3</v>
      </c>
    </row>
    <row r="69" spans="1:14">
      <c r="A69" s="4">
        <v>44774</v>
      </c>
      <c r="B69" s="5" t="s">
        <v>149</v>
      </c>
      <c r="C69" s="5" t="s">
        <v>79</v>
      </c>
      <c r="D69" s="7">
        <v>9000</v>
      </c>
      <c r="E69" s="9"/>
      <c r="F69" s="10"/>
    </row>
    <row r="70" spans="1:14">
      <c r="A70" s="4"/>
      <c r="B70" s="5"/>
      <c r="C70" s="5"/>
      <c r="D70" s="7"/>
      <c r="E70" s="9"/>
      <c r="F70" s="10"/>
    </row>
    <row r="71" spans="1:14">
      <c r="A71" s="4"/>
      <c r="B71" s="5"/>
      <c r="C71" s="5"/>
      <c r="D71" s="7"/>
      <c r="E71" s="9"/>
      <c r="F71" s="10"/>
    </row>
    <row r="72" spans="1:14">
      <c r="A72" s="61" t="s">
        <v>150</v>
      </c>
      <c r="B72" s="61"/>
      <c r="C72" s="61"/>
      <c r="D72" s="8">
        <f>SUM(D69:D71)</f>
        <v>9000</v>
      </c>
      <c r="E72" s="8">
        <f>SUM(E69:E71)</f>
        <v>0</v>
      </c>
      <c r="F72" s="8">
        <f>SUM(F69:F71)</f>
        <v>0</v>
      </c>
      <c r="L72" s="8"/>
      <c r="M72" s="5"/>
      <c r="N72" s="8"/>
    </row>
    <row r="74" spans="1:14">
      <c r="K74" s="3">
        <f>SUM(L74:N74)</f>
        <v>13285.77</v>
      </c>
      <c r="L74" s="7">
        <f>SUM(L2:L73)</f>
        <v>5684.91</v>
      </c>
      <c r="M74" s="7">
        <f>SUM(M2:M73)</f>
        <v>0</v>
      </c>
      <c r="N74" s="7">
        <f>SUM(N2:N73)</f>
        <v>7600.86</v>
      </c>
    </row>
  </sheetData>
  <mergeCells count="8">
    <mergeCell ref="A72:C72"/>
    <mergeCell ref="A65:C65"/>
    <mergeCell ref="A12:C12"/>
    <mergeCell ref="A21:C21"/>
    <mergeCell ref="A29:C29"/>
    <mergeCell ref="A37:C37"/>
    <mergeCell ref="A47:C47"/>
    <mergeCell ref="A55:C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D235-CC92-48EA-95D8-A1EB9977E604}">
  <dimension ref="A1:XFD73"/>
  <sheetViews>
    <sheetView topLeftCell="A52" workbookViewId="0">
      <selection activeCell="B70" sqref="B70"/>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9.1640625" bestFit="1" customWidth="1"/>
    <col min="12" max="12" width="12.6640625" customWidth="1"/>
    <col min="13" max="13" width="13" customWidth="1"/>
    <col min="14" max="14" width="12.6640625" customWidth="1"/>
  </cols>
  <sheetData>
    <row r="1" spans="1:76 16384:16384">
      <c r="A1" s="1"/>
      <c r="B1" s="1"/>
      <c r="U1" s="1"/>
      <c r="V1" s="1"/>
      <c r="AQ1" s="1"/>
      <c r="AR1" s="1"/>
      <c r="BG1" s="1"/>
      <c r="BH1" s="1"/>
      <c r="BW1" s="1"/>
      <c r="BX1" s="1"/>
    </row>
    <row r="2" spans="1:76 16384:16384">
      <c r="A2" s="4" t="s">
        <v>0</v>
      </c>
      <c r="B2" s="53">
        <v>44811</v>
      </c>
      <c r="C2" s="5" t="s">
        <v>39</v>
      </c>
      <c r="D2" s="5" t="s">
        <v>1</v>
      </c>
      <c r="E2" s="6" t="s">
        <v>2</v>
      </c>
      <c r="F2" s="6" t="s">
        <v>3</v>
      </c>
      <c r="H2" t="s">
        <v>4</v>
      </c>
      <c r="I2" t="s">
        <v>5</v>
      </c>
      <c r="J2" t="s">
        <v>6</v>
      </c>
      <c r="L2" s="5" t="s">
        <v>69</v>
      </c>
      <c r="M2" s="5" t="s">
        <v>70</v>
      </c>
      <c r="N2" s="5" t="s">
        <v>71</v>
      </c>
    </row>
    <row r="3" spans="1:76 16384:16384">
      <c r="A3" s="4">
        <v>44791</v>
      </c>
      <c r="B3" s="5" t="s">
        <v>109</v>
      </c>
      <c r="C3" s="5" t="s">
        <v>19</v>
      </c>
      <c r="D3" s="7">
        <v>1590</v>
      </c>
      <c r="E3" s="7">
        <v>1590</v>
      </c>
      <c r="F3" s="8"/>
    </row>
    <row r="4" spans="1:76 16384:16384">
      <c r="A4" s="4">
        <v>44791</v>
      </c>
      <c r="B4" s="5" t="s">
        <v>78</v>
      </c>
      <c r="C4" s="5" t="s">
        <v>77</v>
      </c>
      <c r="D4" s="7">
        <f>14082/10</f>
        <v>1408.2</v>
      </c>
      <c r="E4" s="7">
        <f>D4</f>
        <v>1408.2</v>
      </c>
      <c r="F4" s="8"/>
    </row>
    <row r="5" spans="1:76 16384:16384">
      <c r="A5" s="4">
        <v>44791</v>
      </c>
      <c r="B5" s="5" t="s">
        <v>136</v>
      </c>
      <c r="C5" s="5" t="s">
        <v>46</v>
      </c>
      <c r="D5" s="7">
        <v>1964.36</v>
      </c>
      <c r="E5" s="7">
        <f>1964.36/2</f>
        <v>982.18</v>
      </c>
      <c r="F5" s="8">
        <f>E5</f>
        <v>982.18</v>
      </c>
    </row>
    <row r="6" spans="1:76 16384:16384">
      <c r="A6" s="4">
        <v>44761</v>
      </c>
      <c r="B6" s="4" t="s">
        <v>33</v>
      </c>
      <c r="C6" s="5"/>
      <c r="D6" s="7">
        <v>198.6</v>
      </c>
      <c r="E6" s="7">
        <v>198.6</v>
      </c>
      <c r="F6" s="8"/>
    </row>
    <row r="7" spans="1:76 16384:16384">
      <c r="A7" s="4">
        <v>44763</v>
      </c>
      <c r="B7" s="4" t="s">
        <v>33</v>
      </c>
      <c r="C7" s="5"/>
      <c r="D7" s="7">
        <v>317.05</v>
      </c>
      <c r="E7" s="7">
        <v>317.05</v>
      </c>
      <c r="F7" s="8"/>
    </row>
    <row r="8" spans="1:76 16384:16384">
      <c r="A8" s="4">
        <v>44765</v>
      </c>
      <c r="B8" s="5" t="s">
        <v>147</v>
      </c>
      <c r="C8" s="5"/>
      <c r="D8" s="7">
        <v>1390</v>
      </c>
      <c r="E8" s="7">
        <v>1390</v>
      </c>
      <c r="F8" s="8"/>
      <c r="G8" s="2"/>
      <c r="H8" s="2"/>
      <c r="I8" s="3"/>
      <c r="J8" s="3"/>
      <c r="XFD8" s="7"/>
    </row>
    <row r="9" spans="1:76 16384:16384">
      <c r="A9" s="4">
        <v>44766</v>
      </c>
      <c r="B9" s="5" t="s">
        <v>151</v>
      </c>
      <c r="C9" s="5"/>
      <c r="D9" s="7">
        <v>804</v>
      </c>
      <c r="E9" s="7">
        <f>D9/2</f>
        <v>402</v>
      </c>
      <c r="F9" s="7">
        <f>E9</f>
        <v>402</v>
      </c>
      <c r="G9" s="2"/>
      <c r="H9" s="2"/>
      <c r="I9" s="3"/>
      <c r="J9" s="3"/>
    </row>
    <row r="10" spans="1:76 16384:16384">
      <c r="A10" s="4">
        <v>44773</v>
      </c>
      <c r="B10" s="5" t="s">
        <v>75</v>
      </c>
      <c r="C10" s="5"/>
      <c r="D10" s="7">
        <v>1448</v>
      </c>
      <c r="E10" s="7">
        <f>D10/2</f>
        <v>724</v>
      </c>
      <c r="F10" s="7">
        <f>E10</f>
        <v>724</v>
      </c>
      <c r="G10" s="2"/>
      <c r="H10" s="2"/>
      <c r="I10" s="3"/>
      <c r="J10" s="3"/>
    </row>
    <row r="11" spans="1:76 16384:16384">
      <c r="A11" s="61" t="s">
        <v>16</v>
      </c>
      <c r="B11" s="61"/>
      <c r="C11" s="61"/>
      <c r="D11" s="14">
        <f>SUM(D3:D10)</f>
        <v>9120.2099999999991</v>
      </c>
      <c r="E11" s="8">
        <f>SUM(E3:E10)</f>
        <v>7012.03</v>
      </c>
      <c r="F11" s="8">
        <f>SUM(F3:F10)</f>
        <v>2108.1799999999998</v>
      </c>
      <c r="L11" s="5"/>
      <c r="M11" s="5"/>
      <c r="N11" s="8">
        <f>D11</f>
        <v>9120.2099999999991</v>
      </c>
    </row>
    <row r="13" spans="1:76 16384:16384">
      <c r="A13" s="4" t="s">
        <v>17</v>
      </c>
      <c r="B13" s="53">
        <v>44805</v>
      </c>
      <c r="C13" s="5" t="s">
        <v>47</v>
      </c>
      <c r="D13" s="5" t="s">
        <v>1</v>
      </c>
      <c r="E13" s="6" t="s">
        <v>2</v>
      </c>
      <c r="F13" s="6" t="s">
        <v>3</v>
      </c>
    </row>
    <row r="14" spans="1:76 16384:16384">
      <c r="A14" s="4">
        <v>44762</v>
      </c>
      <c r="B14" s="5" t="s">
        <v>48</v>
      </c>
      <c r="C14" s="5"/>
      <c r="D14" s="7">
        <v>854.93</v>
      </c>
      <c r="E14" s="9">
        <f>D14</f>
        <v>854.93</v>
      </c>
      <c r="F14" s="10"/>
    </row>
    <row r="15" spans="1:76 16384:16384">
      <c r="A15" s="4">
        <v>44762</v>
      </c>
      <c r="B15" s="5" t="s">
        <v>49</v>
      </c>
      <c r="C15" s="5"/>
      <c r="D15" s="7">
        <v>1603.93</v>
      </c>
      <c r="E15" s="9">
        <f>D15</f>
        <v>1603.93</v>
      </c>
      <c r="F15" s="10"/>
    </row>
    <row r="16" spans="1:76 16384:16384">
      <c r="A16" s="4">
        <v>44760</v>
      </c>
      <c r="B16" s="5" t="s">
        <v>81</v>
      </c>
      <c r="C16" s="5"/>
      <c r="D16" s="7">
        <v>373.43</v>
      </c>
      <c r="E16" s="9">
        <f>D16</f>
        <v>373.43</v>
      </c>
      <c r="F16" s="10"/>
    </row>
    <row r="17" spans="1:14">
      <c r="A17" s="4">
        <v>44790</v>
      </c>
      <c r="B17" s="5" t="s">
        <v>11</v>
      </c>
      <c r="C17" s="11" t="s">
        <v>19</v>
      </c>
      <c r="D17" s="7">
        <v>320</v>
      </c>
      <c r="E17" s="8">
        <f>D17</f>
        <v>320</v>
      </c>
      <c r="F17" s="8"/>
    </row>
    <row r="18" spans="1:14">
      <c r="A18" s="4">
        <v>44790</v>
      </c>
      <c r="B18" s="5" t="s">
        <v>20</v>
      </c>
      <c r="C18" s="11"/>
      <c r="D18" s="7">
        <v>-7.88</v>
      </c>
      <c r="E18" s="8">
        <f>D18</f>
        <v>-7.88</v>
      </c>
      <c r="F18" s="8"/>
    </row>
    <row r="19" spans="1:14">
      <c r="A19" s="4"/>
      <c r="B19" s="5"/>
      <c r="C19" s="11"/>
      <c r="D19" s="7"/>
      <c r="E19" s="8"/>
      <c r="F19" s="8"/>
    </row>
    <row r="20" spans="1:14">
      <c r="A20" s="61" t="s">
        <v>21</v>
      </c>
      <c r="B20" s="61"/>
      <c r="C20" s="61"/>
      <c r="D20" s="14">
        <f>SUM(D14:D19)</f>
        <v>3144.41</v>
      </c>
      <c r="E20" s="8">
        <f>SUM(E14:E19)</f>
        <v>3144.41</v>
      </c>
      <c r="F20" s="8">
        <f>SUM(F14:F19)</f>
        <v>0</v>
      </c>
      <c r="L20" s="8">
        <f>D20</f>
        <v>3144.41</v>
      </c>
      <c r="M20" s="5"/>
      <c r="N20" s="8"/>
    </row>
    <row r="21" spans="1:14">
      <c r="A21" s="1"/>
      <c r="B21" s="1"/>
    </row>
    <row r="22" spans="1:14">
      <c r="A22" s="4" t="s">
        <v>22</v>
      </c>
      <c r="B22" s="53">
        <f>B13</f>
        <v>44805</v>
      </c>
      <c r="C22" s="5" t="s">
        <v>39</v>
      </c>
      <c r="D22" s="5" t="s">
        <v>1</v>
      </c>
      <c r="E22" s="6" t="s">
        <v>2</v>
      </c>
      <c r="F22" s="6" t="s">
        <v>3</v>
      </c>
    </row>
    <row r="23" spans="1:14">
      <c r="A23" s="4">
        <v>44762</v>
      </c>
      <c r="B23" s="5" t="s">
        <v>23</v>
      </c>
      <c r="C23" s="5"/>
      <c r="D23" s="7">
        <v>1191.8699999999999</v>
      </c>
      <c r="E23" s="9">
        <f>D23</f>
        <v>1191.8699999999999</v>
      </c>
      <c r="F23" s="10"/>
    </row>
    <row r="24" spans="1:14">
      <c r="A24" s="4"/>
      <c r="B24" s="5"/>
      <c r="C24" s="11"/>
      <c r="D24" s="7"/>
      <c r="E24" s="9"/>
      <c r="F24" s="10"/>
      <c r="H24" s="3"/>
    </row>
    <row r="25" spans="1:14">
      <c r="A25" s="4"/>
      <c r="C25" s="11"/>
      <c r="D25" s="7"/>
      <c r="E25" s="8"/>
      <c r="F25" s="8"/>
      <c r="H25" s="3"/>
    </row>
    <row r="26" spans="1:14">
      <c r="A26" s="4"/>
      <c r="B26" s="5"/>
      <c r="C26" s="11"/>
      <c r="D26" s="7"/>
      <c r="E26" s="8"/>
      <c r="F26" s="8"/>
    </row>
    <row r="27" spans="1:14">
      <c r="A27" s="4"/>
      <c r="B27" s="5"/>
      <c r="C27" s="11"/>
      <c r="D27" s="7"/>
      <c r="E27" s="8"/>
      <c r="F27" s="8"/>
    </row>
    <row r="28" spans="1:14">
      <c r="A28" s="61" t="s">
        <v>27</v>
      </c>
      <c r="B28" s="61"/>
      <c r="C28" s="61"/>
      <c r="D28" s="14">
        <f>SUM(D23:D27)</f>
        <v>1191.8699999999999</v>
      </c>
      <c r="E28" s="8">
        <f>SUM(E23:E27)</f>
        <v>1191.8699999999999</v>
      </c>
      <c r="F28" s="8">
        <f>SUM(F23:F27)</f>
        <v>0</v>
      </c>
    </row>
    <row r="30" spans="1:14">
      <c r="A30" s="4" t="s">
        <v>28</v>
      </c>
      <c r="B30" s="53">
        <f>B22</f>
        <v>44805</v>
      </c>
      <c r="C30" s="5" t="s">
        <v>52</v>
      </c>
      <c r="D30" s="5" t="s">
        <v>1</v>
      </c>
      <c r="E30" s="6" t="s">
        <v>2</v>
      </c>
      <c r="F30" s="6" t="s">
        <v>3</v>
      </c>
    </row>
    <row r="31" spans="1:14">
      <c r="A31" s="4">
        <v>44755</v>
      </c>
      <c r="B31" s="5" t="s">
        <v>152</v>
      </c>
      <c r="C31" s="5"/>
      <c r="D31" s="7">
        <v>598</v>
      </c>
      <c r="E31" s="9">
        <f>D31/2</f>
        <v>299</v>
      </c>
      <c r="F31" s="10">
        <f>E31</f>
        <v>299</v>
      </c>
    </row>
    <row r="32" spans="1:14">
      <c r="A32" s="4">
        <v>44759</v>
      </c>
      <c r="B32" s="5" t="s">
        <v>153</v>
      </c>
      <c r="C32" s="5"/>
      <c r="D32" s="24">
        <v>336.5</v>
      </c>
      <c r="E32" s="9">
        <f>D32/2</f>
        <v>168.25</v>
      </c>
      <c r="F32" s="10">
        <f>E32</f>
        <v>168.25</v>
      </c>
    </row>
    <row r="33" spans="1:14">
      <c r="A33" s="4">
        <v>44766</v>
      </c>
      <c r="B33" s="5" t="s">
        <v>154</v>
      </c>
      <c r="C33" s="11"/>
      <c r="D33" s="24">
        <v>911.75</v>
      </c>
      <c r="E33" s="8">
        <f>D33-F33</f>
        <v>415.75</v>
      </c>
      <c r="F33" s="8">
        <v>496</v>
      </c>
    </row>
    <row r="34" spans="1:14">
      <c r="A34" s="4">
        <v>44780</v>
      </c>
      <c r="B34" s="5" t="s">
        <v>154</v>
      </c>
      <c r="C34" s="11"/>
      <c r="D34" s="24">
        <v>757.5</v>
      </c>
      <c r="E34" s="8">
        <f>D34-F34</f>
        <v>329.5</v>
      </c>
      <c r="F34" s="8">
        <v>428</v>
      </c>
    </row>
    <row r="35" spans="1:14">
      <c r="A35" s="4"/>
      <c r="B35" s="5"/>
      <c r="C35" s="11"/>
      <c r="D35" s="7"/>
      <c r="E35" s="8"/>
      <c r="F35" s="8"/>
    </row>
    <row r="36" spans="1:14">
      <c r="A36" s="61" t="s">
        <v>31</v>
      </c>
      <c r="B36" s="61"/>
      <c r="C36" s="61"/>
      <c r="D36" s="14">
        <f>SUM(D31:D35)</f>
        <v>2603.75</v>
      </c>
      <c r="E36" s="8">
        <f>SUM(E31:E35)</f>
        <v>1212.5</v>
      </c>
      <c r="F36" s="8">
        <f>SUM(F31:F35)</f>
        <v>1391.25</v>
      </c>
      <c r="L36" s="8">
        <f>D36</f>
        <v>2603.75</v>
      </c>
      <c r="M36" s="5"/>
      <c r="N36" s="8"/>
    </row>
    <row r="38" spans="1:14">
      <c r="A38" s="4" t="s">
        <v>54</v>
      </c>
      <c r="B38" s="53">
        <f>B30</f>
        <v>44805</v>
      </c>
      <c r="C38" s="5" t="s">
        <v>55</v>
      </c>
      <c r="D38" s="5" t="s">
        <v>1</v>
      </c>
      <c r="E38" s="6" t="s">
        <v>2</v>
      </c>
      <c r="F38" s="6" t="s">
        <v>3</v>
      </c>
      <c r="H38" t="s">
        <v>116</v>
      </c>
      <c r="I38" t="s">
        <v>117</v>
      </c>
    </row>
    <row r="39" spans="1:14">
      <c r="A39" s="4">
        <v>44780</v>
      </c>
      <c r="B39" s="5" t="s">
        <v>118</v>
      </c>
      <c r="C39" s="11" t="s">
        <v>155</v>
      </c>
      <c r="D39" s="7">
        <v>1094.03</v>
      </c>
      <c r="E39" s="9"/>
      <c r="F39" s="10"/>
      <c r="H39" s="2"/>
      <c r="I39" s="3"/>
      <c r="J39" s="2"/>
      <c r="K39" s="3"/>
    </row>
    <row r="40" spans="1:14">
      <c r="A40" s="4">
        <f>A39</f>
        <v>44780</v>
      </c>
      <c r="B40" s="5" t="s">
        <v>120</v>
      </c>
      <c r="C40" s="11" t="s">
        <v>156</v>
      </c>
      <c r="D40" s="7">
        <v>1390.12</v>
      </c>
      <c r="E40" s="9">
        <f>D40</f>
        <v>1390.12</v>
      </c>
      <c r="F40" s="10"/>
      <c r="H40" s="2">
        <v>33363</v>
      </c>
      <c r="I40" s="3">
        <f>H40/24</f>
        <v>1390.125</v>
      </c>
    </row>
    <row r="41" spans="1:14">
      <c r="A41" s="4">
        <f>A40</f>
        <v>44780</v>
      </c>
      <c r="B41" s="5" t="s">
        <v>122</v>
      </c>
      <c r="C41" s="11" t="s">
        <v>143</v>
      </c>
      <c r="D41" s="7">
        <f>I41</f>
        <v>416.25</v>
      </c>
      <c r="E41" s="9">
        <f>D41</f>
        <v>416.25</v>
      </c>
      <c r="F41" s="10"/>
      <c r="H41" s="2">
        <v>9990</v>
      </c>
      <c r="I41" s="3">
        <f>H41/24</f>
        <v>416.25</v>
      </c>
    </row>
    <row r="42" spans="1:14">
      <c r="A42" s="4">
        <f>A41</f>
        <v>44780</v>
      </c>
      <c r="B42" s="5" t="s">
        <v>123</v>
      </c>
      <c r="C42" s="11" t="str">
        <f>C41</f>
        <v>003/024</v>
      </c>
      <c r="D42" s="7">
        <f>I42-3.75</f>
        <v>183.33333333333334</v>
      </c>
      <c r="E42" s="9">
        <f>D42</f>
        <v>183.33333333333334</v>
      </c>
      <c r="F42" s="8"/>
      <c r="H42" s="2">
        <v>4490</v>
      </c>
      <c r="I42" s="3">
        <f>H42/24</f>
        <v>187.08333333333334</v>
      </c>
    </row>
    <row r="43" spans="1:14">
      <c r="A43" s="4">
        <f>A42</f>
        <v>44780</v>
      </c>
      <c r="B43" s="5" t="s">
        <v>124</v>
      </c>
      <c r="C43" s="11" t="str">
        <f>C42</f>
        <v>003/024</v>
      </c>
      <c r="D43" s="7">
        <v>1378.75</v>
      </c>
      <c r="E43" s="8"/>
      <c r="F43" s="8"/>
      <c r="H43" s="2">
        <v>33090</v>
      </c>
      <c r="I43" s="3">
        <f>H43/24</f>
        <v>1378.75</v>
      </c>
    </row>
    <row r="44" spans="1:14">
      <c r="A44" s="4"/>
      <c r="B44" s="5" t="s">
        <v>20</v>
      </c>
      <c r="C44" s="11"/>
      <c r="D44" s="7"/>
      <c r="E44" s="8"/>
      <c r="F44" s="8"/>
      <c r="H44" s="3"/>
      <c r="I44" s="3"/>
    </row>
    <row r="45" spans="1:14">
      <c r="A45" s="4"/>
      <c r="B45" s="5"/>
      <c r="C45" s="11"/>
      <c r="D45" s="7"/>
      <c r="E45" s="8"/>
      <c r="F45" s="8"/>
    </row>
    <row r="46" spans="1:14">
      <c r="A46" s="61" t="s">
        <v>56</v>
      </c>
      <c r="B46" s="61"/>
      <c r="C46" s="61"/>
      <c r="D46" s="14">
        <f>SUM(D39:D45)</f>
        <v>4462.4833333333336</v>
      </c>
      <c r="E46" s="8">
        <f>SUM(E39:E45)</f>
        <v>1989.7033333333331</v>
      </c>
      <c r="F46" s="8">
        <f>SUM(F39:F45)</f>
        <v>0</v>
      </c>
    </row>
    <row r="48" spans="1:14">
      <c r="A48" s="4" t="s">
        <v>92</v>
      </c>
      <c r="B48" s="53">
        <f>B38</f>
        <v>44805</v>
      </c>
      <c r="C48" s="5"/>
      <c r="D48" s="5" t="s">
        <v>1</v>
      </c>
      <c r="E48" s="6" t="s">
        <v>2</v>
      </c>
      <c r="F48" s="6" t="s">
        <v>3</v>
      </c>
    </row>
    <row r="49" spans="1:14">
      <c r="A49" s="4">
        <v>44798</v>
      </c>
      <c r="B49" s="5" t="s">
        <v>157</v>
      </c>
      <c r="C49" s="11" t="s">
        <v>158</v>
      </c>
      <c r="D49" s="7">
        <v>214.67</v>
      </c>
      <c r="E49" s="7">
        <v>214.67</v>
      </c>
      <c r="F49" s="10"/>
    </row>
    <row r="50" spans="1:14">
      <c r="A50" s="4">
        <v>44781</v>
      </c>
      <c r="B50" s="5" t="s">
        <v>159</v>
      </c>
      <c r="C50" s="11"/>
      <c r="D50" s="7">
        <v>228</v>
      </c>
      <c r="E50" s="7">
        <f>D50</f>
        <v>228</v>
      </c>
      <c r="F50" s="10"/>
    </row>
    <row r="51" spans="1:14">
      <c r="A51" s="4"/>
      <c r="C51" s="11"/>
      <c r="D51" s="7"/>
      <c r="E51" s="8"/>
      <c r="F51" s="8"/>
    </row>
    <row r="52" spans="1:14">
      <c r="A52" s="4"/>
      <c r="B52" s="5"/>
      <c r="C52" s="11"/>
      <c r="D52" s="7"/>
      <c r="E52" s="8"/>
      <c r="F52" s="8"/>
    </row>
    <row r="53" spans="1:14">
      <c r="A53" s="4"/>
      <c r="B53" s="5"/>
      <c r="C53" s="11"/>
      <c r="D53" s="7"/>
      <c r="E53" s="8"/>
      <c r="F53" s="8"/>
    </row>
    <row r="54" spans="1:14">
      <c r="A54" s="61" t="s">
        <v>60</v>
      </c>
      <c r="B54" s="61"/>
      <c r="C54" s="61"/>
      <c r="D54" s="14">
        <f>SUM(D49:D53)</f>
        <v>442.66999999999996</v>
      </c>
      <c r="E54" s="8">
        <f>SUM(E49:E53)</f>
        <v>442.66999999999996</v>
      </c>
      <c r="F54" s="8">
        <f>SUM(F49:F53)</f>
        <v>0</v>
      </c>
    </row>
    <row r="56" spans="1:14">
      <c r="A56" s="4" t="s">
        <v>32</v>
      </c>
      <c r="B56" s="53">
        <v>44826</v>
      </c>
      <c r="C56" s="5" t="s">
        <v>61</v>
      </c>
      <c r="D56" s="5" t="s">
        <v>1</v>
      </c>
      <c r="E56" s="6" t="s">
        <v>2</v>
      </c>
      <c r="F56" s="6" t="s">
        <v>3</v>
      </c>
    </row>
    <row r="57" spans="1:14">
      <c r="A57" s="4">
        <v>44776</v>
      </c>
      <c r="B57" s="5" t="s">
        <v>160</v>
      </c>
      <c r="C57" s="5"/>
      <c r="D57" s="7">
        <v>419</v>
      </c>
      <c r="E57" s="9">
        <f>D57</f>
        <v>419</v>
      </c>
      <c r="F57" s="10"/>
    </row>
    <row r="58" spans="1:14">
      <c r="A58" s="4">
        <v>44778</v>
      </c>
      <c r="B58" s="5" t="s">
        <v>161</v>
      </c>
      <c r="C58" s="5"/>
      <c r="D58" s="7">
        <v>119</v>
      </c>
      <c r="E58" s="9">
        <v>119</v>
      </c>
      <c r="F58" s="10"/>
    </row>
    <row r="59" spans="1:14">
      <c r="A59" s="4"/>
      <c r="B59" s="5"/>
      <c r="C59" s="5"/>
      <c r="D59" s="7"/>
      <c r="E59" s="9"/>
      <c r="F59" s="10"/>
    </row>
    <row r="60" spans="1:14">
      <c r="A60" s="4"/>
      <c r="C60" s="11"/>
      <c r="D60" s="7"/>
      <c r="E60" s="8"/>
      <c r="F60" s="8"/>
    </row>
    <row r="61" spans="1:14">
      <c r="A61" s="4"/>
      <c r="B61" s="5"/>
      <c r="C61" s="11"/>
      <c r="D61" s="7"/>
      <c r="E61" s="8"/>
      <c r="F61" s="8"/>
    </row>
    <row r="62" spans="1:14">
      <c r="A62" s="4"/>
      <c r="B62" s="5"/>
      <c r="C62" s="11"/>
      <c r="D62" s="7"/>
      <c r="E62" s="8"/>
      <c r="F62" s="8"/>
    </row>
    <row r="63" spans="1:14">
      <c r="A63" s="4"/>
      <c r="B63" s="5"/>
      <c r="C63" s="11"/>
      <c r="D63" s="7"/>
      <c r="E63" s="8"/>
      <c r="F63" s="8"/>
    </row>
    <row r="64" spans="1:14">
      <c r="A64" s="61" t="s">
        <v>38</v>
      </c>
      <c r="B64" s="61"/>
      <c r="C64" s="61"/>
      <c r="D64" s="14">
        <f>SUM(D57:D63)</f>
        <v>538</v>
      </c>
      <c r="E64" s="8">
        <f>SUM(E57:E63)</f>
        <v>538</v>
      </c>
      <c r="F64" s="8">
        <f>SUM(F57:F63)</f>
        <v>0</v>
      </c>
      <c r="L64" s="5"/>
      <c r="M64" s="5"/>
      <c r="N64" s="8">
        <f>D64</f>
        <v>538</v>
      </c>
    </row>
    <row r="66" spans="1:14">
      <c r="E66" s="8">
        <f>SUM(E64,E36,E28,E20,E11,E46,E54)</f>
        <v>15531.183333333332</v>
      </c>
      <c r="F66" s="8">
        <f>SUM(F64,F36,F28,F20,F11,F46,F54)</f>
        <v>3499.43</v>
      </c>
    </row>
    <row r="67" spans="1:14">
      <c r="A67" s="4" t="s">
        <v>148</v>
      </c>
      <c r="B67" s="53">
        <v>44795</v>
      </c>
      <c r="C67" s="5" t="s">
        <v>61</v>
      </c>
      <c r="D67" s="5" t="s">
        <v>1</v>
      </c>
      <c r="E67" s="6" t="s">
        <v>2</v>
      </c>
      <c r="F67" s="6" t="s">
        <v>3</v>
      </c>
    </row>
    <row r="68" spans="1:14">
      <c r="A68" s="4">
        <v>44774</v>
      </c>
      <c r="B68" s="5" t="s">
        <v>149</v>
      </c>
      <c r="C68" s="5" t="s">
        <v>79</v>
      </c>
      <c r="D68" s="7">
        <v>9000</v>
      </c>
      <c r="E68" s="9">
        <f>D68/10</f>
        <v>900</v>
      </c>
      <c r="F68" s="10"/>
    </row>
    <row r="69" spans="1:14">
      <c r="A69" s="4"/>
      <c r="B69" s="5"/>
      <c r="C69" s="5"/>
      <c r="D69" s="7"/>
      <c r="E69" s="9"/>
      <c r="F69" s="10"/>
    </row>
    <row r="70" spans="1:14">
      <c r="A70" s="4"/>
      <c r="B70" s="5"/>
      <c r="C70" s="5"/>
      <c r="D70" s="7"/>
      <c r="E70" s="9"/>
      <c r="F70" s="10"/>
    </row>
    <row r="71" spans="1:14">
      <c r="A71" s="61" t="s">
        <v>150</v>
      </c>
      <c r="B71" s="61"/>
      <c r="C71" s="61"/>
      <c r="D71" s="8">
        <f>SUM(D68:D70)</f>
        <v>9000</v>
      </c>
      <c r="E71" s="29">
        <f>SUM(E68:E70)</f>
        <v>900</v>
      </c>
      <c r="F71" s="8">
        <f>SUM(F68:F70)</f>
        <v>0</v>
      </c>
      <c r="L71" s="5"/>
      <c r="M71" s="5"/>
      <c r="N71" s="8"/>
    </row>
    <row r="73" spans="1:14">
      <c r="L73" s="7">
        <f>SUM(L2:L72)</f>
        <v>5748.16</v>
      </c>
      <c r="M73" s="7">
        <f>SUM(M2:M72)</f>
        <v>0</v>
      </c>
      <c r="N73" s="7">
        <f>SUM(N2:N72)</f>
        <v>9658.2099999999991</v>
      </c>
    </row>
  </sheetData>
  <mergeCells count="8">
    <mergeCell ref="A71:C71"/>
    <mergeCell ref="A64:C64"/>
    <mergeCell ref="A11:C11"/>
    <mergeCell ref="A20:C20"/>
    <mergeCell ref="A28:C28"/>
    <mergeCell ref="A36:C36"/>
    <mergeCell ref="A46:C46"/>
    <mergeCell ref="A54:C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DE30-35E7-456C-A135-9A9F3DB200F5}">
  <dimension ref="A1:BX86"/>
  <sheetViews>
    <sheetView topLeftCell="A67" workbookViewId="0">
      <selection activeCell="B70" sqref="B70"/>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9.1640625" bestFit="1" customWidth="1"/>
    <col min="12" max="12" width="12.6640625" customWidth="1"/>
    <col min="13" max="13" width="13" customWidth="1"/>
    <col min="14" max="14" width="12.6640625" customWidth="1"/>
    <col min="15" max="15" width="12" customWidth="1"/>
  </cols>
  <sheetData>
    <row r="1" spans="1:76">
      <c r="A1" s="1"/>
      <c r="B1" s="1"/>
      <c r="U1" s="1"/>
      <c r="V1" s="1"/>
      <c r="AQ1" s="1"/>
      <c r="AR1" s="1"/>
      <c r="BG1" s="1"/>
      <c r="BH1" s="1"/>
      <c r="BW1" s="1"/>
      <c r="BX1" s="1"/>
    </row>
    <row r="2" spans="1:76">
      <c r="A2" s="4" t="s">
        <v>0</v>
      </c>
      <c r="B2" s="53">
        <v>44842</v>
      </c>
      <c r="C2" s="5" t="s">
        <v>39</v>
      </c>
      <c r="D2" s="5" t="s">
        <v>1</v>
      </c>
      <c r="E2" s="6" t="s">
        <v>2</v>
      </c>
      <c r="F2" s="6" t="s">
        <v>3</v>
      </c>
      <c r="H2" t="s">
        <v>4</v>
      </c>
      <c r="I2" t="s">
        <v>5</v>
      </c>
      <c r="J2" t="s">
        <v>6</v>
      </c>
      <c r="L2" s="5" t="s">
        <v>69</v>
      </c>
      <c r="M2" s="5" t="s">
        <v>70</v>
      </c>
      <c r="N2" s="5" t="s">
        <v>71</v>
      </c>
      <c r="O2" s="5" t="s">
        <v>139</v>
      </c>
    </row>
    <row r="3" spans="1:76">
      <c r="A3" s="4">
        <v>44822</v>
      </c>
      <c r="B3" s="5" t="s">
        <v>109</v>
      </c>
      <c r="C3" s="5" t="s">
        <v>51</v>
      </c>
      <c r="D3" s="7">
        <v>1590</v>
      </c>
      <c r="E3" s="7">
        <v>1590</v>
      </c>
      <c r="F3" s="8"/>
    </row>
    <row r="4" spans="1:76">
      <c r="A4" s="4">
        <v>44822</v>
      </c>
      <c r="B4" s="5" t="s">
        <v>78</v>
      </c>
      <c r="C4" s="5" t="s">
        <v>110</v>
      </c>
      <c r="D4" s="7">
        <f>14082/10</f>
        <v>1408.2</v>
      </c>
      <c r="E4" s="7">
        <f>D4</f>
        <v>1408.2</v>
      </c>
      <c r="F4" s="8"/>
    </row>
    <row r="5" spans="1:76">
      <c r="A5" s="4">
        <v>44822</v>
      </c>
      <c r="B5" s="5" t="s">
        <v>136</v>
      </c>
      <c r="C5" s="5" t="s">
        <v>80</v>
      </c>
      <c r="D5" s="7">
        <v>1954.25</v>
      </c>
      <c r="E5" s="7">
        <v>977.13</v>
      </c>
      <c r="F5" s="8">
        <v>977.12</v>
      </c>
    </row>
    <row r="6" spans="1:76">
      <c r="A6" s="4">
        <v>44794</v>
      </c>
      <c r="B6" s="5" t="s">
        <v>86</v>
      </c>
      <c r="C6" s="5"/>
      <c r="D6" s="7">
        <v>1087</v>
      </c>
      <c r="E6" s="8">
        <f>D6/2</f>
        <v>543.5</v>
      </c>
      <c r="F6" s="8">
        <f>E6</f>
        <v>543.5</v>
      </c>
    </row>
    <row r="7" spans="1:76">
      <c r="A7" s="4">
        <v>44794</v>
      </c>
      <c r="B7" s="5" t="s">
        <v>162</v>
      </c>
      <c r="C7" s="5"/>
      <c r="D7" s="24">
        <v>1004.25</v>
      </c>
      <c r="E7" s="24">
        <v>405</v>
      </c>
      <c r="F7" s="14">
        <f>D7-E7</f>
        <v>599.25</v>
      </c>
    </row>
    <row r="8" spans="1:76">
      <c r="A8" s="4">
        <v>44796</v>
      </c>
      <c r="B8" s="4" t="s">
        <v>33</v>
      </c>
      <c r="C8" s="5"/>
      <c r="D8" s="7">
        <f>107.1+198.6</f>
        <v>305.7</v>
      </c>
      <c r="E8" s="7">
        <f>D8</f>
        <v>305.7</v>
      </c>
      <c r="F8" s="8"/>
      <c r="G8" s="2"/>
      <c r="H8" s="2"/>
      <c r="I8" s="3"/>
      <c r="J8" s="3"/>
    </row>
    <row r="9" spans="1:76">
      <c r="A9" s="4">
        <v>44803</v>
      </c>
      <c r="B9" s="4" t="s">
        <v>33</v>
      </c>
      <c r="C9" s="5"/>
      <c r="D9" s="7">
        <v>219</v>
      </c>
      <c r="E9" s="7">
        <f>D9</f>
        <v>219</v>
      </c>
      <c r="F9" s="7"/>
      <c r="G9" s="2"/>
      <c r="H9" s="2"/>
      <c r="I9" s="3"/>
      <c r="J9" s="3"/>
    </row>
    <row r="10" spans="1:76">
      <c r="A10" s="4">
        <v>44808</v>
      </c>
      <c r="B10" s="5" t="s">
        <v>163</v>
      </c>
      <c r="C10" s="5"/>
      <c r="D10" s="7">
        <v>1547.22</v>
      </c>
      <c r="E10" s="7">
        <f>D10/2</f>
        <v>773.61</v>
      </c>
      <c r="F10" s="7">
        <f>E10</f>
        <v>773.61</v>
      </c>
      <c r="G10" s="2"/>
      <c r="H10" s="2"/>
      <c r="I10" s="3"/>
      <c r="J10" s="3"/>
    </row>
    <row r="11" spans="1:76">
      <c r="A11" s="61" t="s">
        <v>16</v>
      </c>
      <c r="B11" s="61"/>
      <c r="C11" s="61"/>
      <c r="D11" s="29">
        <f>SUM(D3:D10)</f>
        <v>9115.619999999999</v>
      </c>
      <c r="E11" s="8">
        <f>SUM(E3:E10)</f>
        <v>6222.1399999999994</v>
      </c>
      <c r="F11" s="8">
        <f>SUM(F3:F10)</f>
        <v>2893.48</v>
      </c>
      <c r="L11" s="5"/>
      <c r="M11" s="5"/>
      <c r="N11" s="8">
        <f>D11</f>
        <v>9115.619999999999</v>
      </c>
      <c r="O11" s="5"/>
    </row>
    <row r="13" spans="1:76">
      <c r="A13" s="4" t="s">
        <v>17</v>
      </c>
      <c r="B13" s="53">
        <v>44837</v>
      </c>
      <c r="C13" s="5" t="s">
        <v>47</v>
      </c>
      <c r="D13" s="5" t="s">
        <v>1</v>
      </c>
      <c r="E13" s="6" t="s">
        <v>2</v>
      </c>
      <c r="F13" s="6" t="s">
        <v>3</v>
      </c>
    </row>
    <row r="14" spans="1:76">
      <c r="A14" s="4">
        <v>44807</v>
      </c>
      <c r="B14" s="5" t="s">
        <v>164</v>
      </c>
      <c r="C14" s="5"/>
      <c r="D14" s="7">
        <v>500</v>
      </c>
      <c r="E14" s="9">
        <f>D14</f>
        <v>500</v>
      </c>
      <c r="F14" s="10"/>
    </row>
    <row r="15" spans="1:76">
      <c r="A15" s="4">
        <v>44808</v>
      </c>
      <c r="B15" s="5" t="s">
        <v>165</v>
      </c>
      <c r="C15" s="5"/>
      <c r="D15" s="7">
        <v>1999</v>
      </c>
      <c r="E15" s="9"/>
      <c r="F15" s="10"/>
    </row>
    <row r="16" spans="1:76">
      <c r="A16" s="4"/>
      <c r="B16" s="5"/>
      <c r="C16" s="5"/>
      <c r="D16" s="7"/>
      <c r="E16" s="9"/>
      <c r="F16" s="10"/>
    </row>
    <row r="17" spans="1:15">
      <c r="A17" s="4">
        <v>44821</v>
      </c>
      <c r="B17" s="5" t="s">
        <v>11</v>
      </c>
      <c r="C17" s="11" t="s">
        <v>51</v>
      </c>
      <c r="D17" s="7">
        <v>320</v>
      </c>
      <c r="E17" s="8">
        <f>D17</f>
        <v>320</v>
      </c>
      <c r="F17" s="8"/>
    </row>
    <row r="18" spans="1:15">
      <c r="A18" s="4">
        <f>A17</f>
        <v>44821</v>
      </c>
      <c r="B18" s="5" t="s">
        <v>20</v>
      </c>
      <c r="C18" s="11"/>
      <c r="D18" s="7">
        <v>-10.79</v>
      </c>
      <c r="E18" s="8">
        <f>D18</f>
        <v>-10.79</v>
      </c>
      <c r="F18" s="8"/>
    </row>
    <row r="19" spans="1:15">
      <c r="A19" s="4"/>
      <c r="B19" s="5"/>
      <c r="C19" s="11"/>
      <c r="D19" s="7"/>
      <c r="E19" s="8"/>
      <c r="F19" s="8"/>
    </row>
    <row r="20" spans="1:15">
      <c r="A20" s="61" t="s">
        <v>21</v>
      </c>
      <c r="B20" s="61"/>
      <c r="C20" s="61"/>
      <c r="D20" s="29">
        <f>SUM(D14:D19)</f>
        <v>2808.21</v>
      </c>
      <c r="E20" s="8">
        <f>SUM(E14:E19)</f>
        <v>809.21</v>
      </c>
      <c r="F20" s="8">
        <f>SUM(F14:F19)</f>
        <v>0</v>
      </c>
      <c r="L20" s="8">
        <f>D20-1999</f>
        <v>809.21</v>
      </c>
      <c r="M20" s="5"/>
      <c r="N20" s="8"/>
      <c r="O20" s="5"/>
    </row>
    <row r="21" spans="1:15">
      <c r="A21" s="1"/>
      <c r="B21" s="1"/>
    </row>
    <row r="22" spans="1:15">
      <c r="A22" s="4" t="s">
        <v>22</v>
      </c>
      <c r="B22" s="53">
        <f>B13</f>
        <v>44837</v>
      </c>
      <c r="C22" s="5" t="s">
        <v>39</v>
      </c>
      <c r="D22" s="5" t="s">
        <v>1</v>
      </c>
      <c r="E22" s="6" t="s">
        <v>2</v>
      </c>
      <c r="F22" s="6" t="s">
        <v>3</v>
      </c>
    </row>
    <row r="23" spans="1:15">
      <c r="A23" s="4">
        <v>44795</v>
      </c>
      <c r="B23" s="5" t="s">
        <v>23</v>
      </c>
      <c r="C23" s="5"/>
      <c r="D23" s="7">
        <v>1191.8699999999999</v>
      </c>
      <c r="E23" s="9">
        <f>D23</f>
        <v>1191.8699999999999</v>
      </c>
      <c r="F23" s="10"/>
    </row>
    <row r="24" spans="1:15">
      <c r="A24" s="4"/>
      <c r="B24" s="5"/>
      <c r="C24" s="11"/>
      <c r="D24" s="7"/>
      <c r="E24" s="9"/>
      <c r="F24" s="10"/>
      <c r="H24" s="3"/>
    </row>
    <row r="25" spans="1:15">
      <c r="A25" s="4"/>
      <c r="C25" s="11"/>
      <c r="D25" s="7"/>
      <c r="E25" s="8"/>
      <c r="F25" s="8"/>
      <c r="H25" s="3"/>
    </row>
    <row r="26" spans="1:15">
      <c r="A26" s="4"/>
      <c r="B26" s="5"/>
      <c r="C26" s="11"/>
      <c r="D26" s="7"/>
      <c r="E26" s="8"/>
      <c r="F26" s="8"/>
    </row>
    <row r="27" spans="1:15">
      <c r="A27" s="4"/>
      <c r="B27" s="5"/>
      <c r="C27" s="11"/>
      <c r="D27" s="7"/>
      <c r="E27" s="8"/>
      <c r="F27" s="8"/>
    </row>
    <row r="28" spans="1:15">
      <c r="A28" s="61" t="s">
        <v>27</v>
      </c>
      <c r="B28" s="61"/>
      <c r="C28" s="61"/>
      <c r="D28" s="8">
        <f>SUM(D23:D27)</f>
        <v>1191.8699999999999</v>
      </c>
      <c r="E28" s="8">
        <f>SUM(E23:E27)</f>
        <v>1191.8699999999999</v>
      </c>
      <c r="F28" s="8">
        <f>SUM(F23:F27)</f>
        <v>0</v>
      </c>
      <c r="L28" s="5"/>
      <c r="M28" s="5"/>
      <c r="N28" s="8"/>
      <c r="O28" s="8">
        <f>D28</f>
        <v>1191.8699999999999</v>
      </c>
    </row>
    <row r="30" spans="1:15">
      <c r="A30" s="4" t="s">
        <v>28</v>
      </c>
      <c r="B30" s="53">
        <v>44836</v>
      </c>
      <c r="C30" s="5" t="s">
        <v>52</v>
      </c>
      <c r="D30" s="5" t="s">
        <v>1</v>
      </c>
      <c r="E30" s="6" t="s">
        <v>2</v>
      </c>
      <c r="F30" s="6" t="s">
        <v>3</v>
      </c>
    </row>
    <row r="31" spans="1:15">
      <c r="A31" s="4">
        <v>44785</v>
      </c>
      <c r="B31" s="5" t="s">
        <v>153</v>
      </c>
      <c r="C31" s="5"/>
      <c r="D31" s="24">
        <v>1440.25</v>
      </c>
      <c r="E31" s="33">
        <f>D31/2</f>
        <v>720.125</v>
      </c>
      <c r="F31" s="34">
        <f>E31</f>
        <v>720.125</v>
      </c>
    </row>
    <row r="32" spans="1:15">
      <c r="A32" s="4">
        <v>44793</v>
      </c>
      <c r="B32" s="5" t="s">
        <v>166</v>
      </c>
      <c r="C32" s="5"/>
      <c r="D32" s="24">
        <v>332.5</v>
      </c>
      <c r="E32" s="33">
        <f>D32/2</f>
        <v>166.25</v>
      </c>
      <c r="F32" s="34">
        <f>E32</f>
        <v>166.25</v>
      </c>
    </row>
    <row r="33" spans="1:15">
      <c r="A33" s="4"/>
      <c r="B33" s="5"/>
      <c r="C33" s="11"/>
      <c r="D33" s="7"/>
      <c r="E33" s="8"/>
      <c r="F33" s="8"/>
    </row>
    <row r="34" spans="1:15">
      <c r="A34" s="4"/>
      <c r="B34" s="5"/>
      <c r="C34" s="11"/>
      <c r="D34" s="7"/>
      <c r="E34" s="8"/>
      <c r="F34" s="8"/>
    </row>
    <row r="35" spans="1:15">
      <c r="A35" s="4"/>
      <c r="B35" s="5"/>
      <c r="C35" s="11"/>
      <c r="D35" s="7"/>
      <c r="E35" s="8"/>
      <c r="F35" s="8"/>
    </row>
    <row r="36" spans="1:15">
      <c r="A36" s="61" t="s">
        <v>31</v>
      </c>
      <c r="B36" s="61"/>
      <c r="C36" s="61"/>
      <c r="D36" s="29">
        <f>SUM(D31:D35)</f>
        <v>1772.75</v>
      </c>
      <c r="E36" s="8">
        <f>SUM(E31:E35)</f>
        <v>886.375</v>
      </c>
      <c r="F36" s="8">
        <f>SUM(F31:F35)</f>
        <v>886.375</v>
      </c>
      <c r="L36" s="8">
        <f>D36</f>
        <v>1772.75</v>
      </c>
      <c r="M36" s="5"/>
      <c r="N36" s="8"/>
      <c r="O36" s="8"/>
    </row>
    <row r="38" spans="1:15">
      <c r="A38" s="4" t="s">
        <v>54</v>
      </c>
      <c r="B38" s="53">
        <v>44837</v>
      </c>
      <c r="C38" s="5" t="s">
        <v>55</v>
      </c>
      <c r="D38" s="5" t="s">
        <v>1</v>
      </c>
      <c r="E38" s="6" t="s">
        <v>2</v>
      </c>
      <c r="F38" s="6" t="s">
        <v>3</v>
      </c>
      <c r="H38" t="s">
        <v>116</v>
      </c>
      <c r="I38" t="s">
        <v>117</v>
      </c>
    </row>
    <row r="39" spans="1:15">
      <c r="A39" s="4">
        <v>44811</v>
      </c>
      <c r="B39" s="5" t="s">
        <v>118</v>
      </c>
      <c r="C39" s="11" t="s">
        <v>167</v>
      </c>
      <c r="D39" s="7">
        <v>1094.03</v>
      </c>
      <c r="E39" s="9"/>
      <c r="F39" s="10"/>
      <c r="H39" s="2"/>
      <c r="I39" s="3"/>
      <c r="J39" s="2"/>
      <c r="K39" s="3"/>
    </row>
    <row r="40" spans="1:15">
      <c r="A40" s="4">
        <f>A39</f>
        <v>44811</v>
      </c>
      <c r="B40" s="5" t="s">
        <v>120</v>
      </c>
      <c r="C40" s="11" t="s">
        <v>168</v>
      </c>
      <c r="D40" s="7">
        <v>1390.12</v>
      </c>
      <c r="E40" s="9">
        <f>D40</f>
        <v>1390.12</v>
      </c>
      <c r="F40" s="10"/>
      <c r="H40" s="2">
        <v>33363</v>
      </c>
      <c r="I40" s="3">
        <f>H40/24</f>
        <v>1390.125</v>
      </c>
    </row>
    <row r="41" spans="1:15">
      <c r="A41" s="4">
        <f>A40</f>
        <v>44811</v>
      </c>
      <c r="B41" s="5" t="s">
        <v>122</v>
      </c>
      <c r="C41" s="11" t="s">
        <v>156</v>
      </c>
      <c r="D41" s="7">
        <f>I41</f>
        <v>416.25</v>
      </c>
      <c r="E41" s="9">
        <f>D41</f>
        <v>416.25</v>
      </c>
      <c r="F41" s="10"/>
      <c r="H41" s="2">
        <v>9990</v>
      </c>
      <c r="I41" s="3">
        <f>H41/24</f>
        <v>416.25</v>
      </c>
    </row>
    <row r="42" spans="1:15">
      <c r="A42" s="4">
        <f>A41</f>
        <v>44811</v>
      </c>
      <c r="B42" s="5" t="s">
        <v>123</v>
      </c>
      <c r="C42" s="11" t="str">
        <f>C41</f>
        <v>004/024</v>
      </c>
      <c r="D42" s="7">
        <f>I42-3.75</f>
        <v>183.33333333333334</v>
      </c>
      <c r="E42" s="9">
        <f>D42</f>
        <v>183.33333333333334</v>
      </c>
      <c r="F42" s="8"/>
      <c r="H42" s="2">
        <v>4490</v>
      </c>
      <c r="I42" s="3">
        <f>H42/24</f>
        <v>187.08333333333334</v>
      </c>
    </row>
    <row r="43" spans="1:15">
      <c r="A43" s="4">
        <f>A42</f>
        <v>44811</v>
      </c>
      <c r="B43" s="5" t="s">
        <v>124</v>
      </c>
      <c r="C43" s="11" t="str">
        <f>C42</f>
        <v>004/024</v>
      </c>
      <c r="D43" s="7">
        <v>1378.75</v>
      </c>
      <c r="E43" s="8"/>
      <c r="F43" s="8"/>
      <c r="H43" s="2">
        <v>33090</v>
      </c>
      <c r="I43" s="3">
        <f>H43/24</f>
        <v>1378.75</v>
      </c>
    </row>
    <row r="44" spans="1:15">
      <c r="A44" s="4"/>
      <c r="B44" s="5" t="s">
        <v>20</v>
      </c>
      <c r="C44" s="11"/>
      <c r="D44" s="7">
        <v>-474.8</v>
      </c>
      <c r="E44" s="8">
        <f>D44</f>
        <v>-474.8</v>
      </c>
      <c r="F44" s="8"/>
      <c r="H44" s="3"/>
      <c r="I44" s="3"/>
    </row>
    <row r="45" spans="1:15">
      <c r="A45" s="4"/>
      <c r="B45" s="5"/>
      <c r="C45" s="11"/>
      <c r="D45" s="7"/>
      <c r="E45" s="8"/>
      <c r="F45" s="8"/>
    </row>
    <row r="46" spans="1:15">
      <c r="A46" s="61" t="s">
        <v>56</v>
      </c>
      <c r="B46" s="61"/>
      <c r="C46" s="61"/>
      <c r="D46" s="29">
        <f>SUM(D39:D45)</f>
        <v>3987.6833333333334</v>
      </c>
      <c r="E46" s="8">
        <f>SUM(E39:E45)</f>
        <v>1514.9033333333332</v>
      </c>
      <c r="F46" s="8">
        <f>SUM(F39:F45)</f>
        <v>0</v>
      </c>
      <c r="L46" s="8"/>
      <c r="M46" s="5"/>
      <c r="N46" s="8"/>
      <c r="O46" s="8">
        <f>E46</f>
        <v>1514.9033333333332</v>
      </c>
    </row>
    <row r="48" spans="1:15">
      <c r="A48" s="4" t="s">
        <v>92</v>
      </c>
      <c r="B48" s="53">
        <f>B38</f>
        <v>44837</v>
      </c>
      <c r="C48" s="5"/>
      <c r="D48" s="5" t="s">
        <v>1</v>
      </c>
      <c r="E48" s="6" t="s">
        <v>2</v>
      </c>
      <c r="F48" s="6" t="s">
        <v>3</v>
      </c>
    </row>
    <row r="49" spans="1:15">
      <c r="A49" s="4">
        <v>44829</v>
      </c>
      <c r="B49" s="5" t="s">
        <v>157</v>
      </c>
      <c r="C49" s="11" t="s">
        <v>169</v>
      </c>
      <c r="D49" s="7">
        <v>214.67</v>
      </c>
      <c r="E49" s="7">
        <v>214.67</v>
      </c>
      <c r="F49" s="10"/>
    </row>
    <row r="50" spans="1:15">
      <c r="A50" s="4">
        <v>44817</v>
      </c>
      <c r="B50" s="5" t="s">
        <v>170</v>
      </c>
      <c r="C50" s="5"/>
      <c r="D50" s="7">
        <v>144</v>
      </c>
      <c r="E50" s="9">
        <f>D50</f>
        <v>144</v>
      </c>
      <c r="F50" s="10"/>
    </row>
    <row r="51" spans="1:15">
      <c r="A51" s="4"/>
      <c r="C51" s="11"/>
      <c r="D51" s="7"/>
      <c r="E51" s="8"/>
      <c r="F51" s="8"/>
    </row>
    <row r="52" spans="1:15">
      <c r="A52" s="4"/>
      <c r="B52" s="5"/>
      <c r="C52" s="11"/>
      <c r="D52" s="7"/>
      <c r="E52" s="8"/>
      <c r="F52" s="8"/>
    </row>
    <row r="53" spans="1:15">
      <c r="A53" s="4"/>
      <c r="B53" s="5"/>
      <c r="C53" s="11"/>
      <c r="D53" s="7"/>
      <c r="E53" s="8"/>
      <c r="F53" s="8"/>
    </row>
    <row r="54" spans="1:15">
      <c r="A54" s="61" t="s">
        <v>60</v>
      </c>
      <c r="B54" s="61"/>
      <c r="C54" s="61"/>
      <c r="D54" s="29">
        <f>SUM(D49:D53)</f>
        <v>358.66999999999996</v>
      </c>
      <c r="E54" s="8">
        <f>SUM(E49:E53)</f>
        <v>358.66999999999996</v>
      </c>
      <c r="F54" s="8">
        <f>SUM(F49:F53)</f>
        <v>0</v>
      </c>
      <c r="L54" s="5"/>
      <c r="M54" s="5"/>
      <c r="N54" s="8"/>
      <c r="O54" s="8">
        <f>E54</f>
        <v>358.66999999999996</v>
      </c>
    </row>
    <row r="56" spans="1:15">
      <c r="A56" s="4" t="s">
        <v>171</v>
      </c>
      <c r="B56" s="53">
        <f>B46</f>
        <v>0</v>
      </c>
      <c r="C56" s="5"/>
      <c r="D56" s="5" t="s">
        <v>1</v>
      </c>
      <c r="E56" s="6" t="s">
        <v>2</v>
      </c>
      <c r="F56" s="6" t="s">
        <v>3</v>
      </c>
    </row>
    <row r="57" spans="1:15">
      <c r="A57" s="4"/>
      <c r="B57" s="5" t="s">
        <v>48</v>
      </c>
      <c r="C57" s="11"/>
      <c r="D57" s="7">
        <v>854.93</v>
      </c>
      <c r="E57" s="9">
        <f>D57</f>
        <v>854.93</v>
      </c>
      <c r="F57" s="10"/>
    </row>
    <row r="58" spans="1:15">
      <c r="A58" s="4"/>
      <c r="B58" s="5" t="s">
        <v>49</v>
      </c>
      <c r="C58" s="5"/>
      <c r="D58" s="7">
        <v>1603.93</v>
      </c>
      <c r="E58" s="9">
        <f>D58</f>
        <v>1603.93</v>
      </c>
      <c r="F58" s="10"/>
    </row>
    <row r="59" spans="1:15">
      <c r="A59" s="4"/>
      <c r="B59" s="5" t="s">
        <v>81</v>
      </c>
      <c r="C59" s="11"/>
      <c r="D59" s="7">
        <v>373.43</v>
      </c>
      <c r="E59" s="9">
        <f>D59</f>
        <v>373.43</v>
      </c>
      <c r="F59" s="8"/>
    </row>
    <row r="60" spans="1:15">
      <c r="A60" s="4"/>
      <c r="B60" s="5"/>
      <c r="C60" s="11"/>
      <c r="D60" s="7"/>
      <c r="E60" s="8"/>
      <c r="F60" s="8"/>
    </row>
    <row r="61" spans="1:15">
      <c r="A61" s="4"/>
      <c r="B61" s="5"/>
      <c r="C61" s="11"/>
      <c r="D61" s="7"/>
      <c r="E61" s="8"/>
      <c r="F61" s="8"/>
    </row>
    <row r="62" spans="1:15">
      <c r="A62" s="61" t="s">
        <v>60</v>
      </c>
      <c r="B62" s="61"/>
      <c r="C62" s="61"/>
      <c r="D62" s="29">
        <f>SUM(D57:D61)</f>
        <v>2832.29</v>
      </c>
      <c r="E62" s="8">
        <f>SUM(E57:E61)</f>
        <v>2832.29</v>
      </c>
      <c r="F62" s="8">
        <f>SUM(F57:F61)</f>
        <v>0</v>
      </c>
      <c r="L62" s="8"/>
      <c r="M62" s="5"/>
      <c r="N62" s="8"/>
      <c r="O62" s="8">
        <f>E62</f>
        <v>2832.29</v>
      </c>
    </row>
    <row r="64" spans="1:15">
      <c r="A64" s="4" t="s">
        <v>32</v>
      </c>
      <c r="B64" s="53">
        <v>44856</v>
      </c>
      <c r="C64" s="5" t="s">
        <v>61</v>
      </c>
      <c r="D64" s="5" t="s">
        <v>1</v>
      </c>
      <c r="E64" s="6" t="s">
        <v>2</v>
      </c>
      <c r="F64" s="6" t="s">
        <v>3</v>
      </c>
    </row>
    <row r="65" spans="1:15">
      <c r="A65" s="4">
        <v>44807</v>
      </c>
      <c r="B65" s="5" t="s">
        <v>160</v>
      </c>
      <c r="C65" s="5"/>
      <c r="D65" s="7">
        <v>419</v>
      </c>
      <c r="E65" s="9">
        <f>D65</f>
        <v>419</v>
      </c>
      <c r="F65" s="10"/>
    </row>
    <row r="66" spans="1:15">
      <c r="A66" s="4">
        <v>44823</v>
      </c>
      <c r="B66" s="5" t="s">
        <v>172</v>
      </c>
      <c r="C66" s="5"/>
      <c r="D66" s="7">
        <v>203.52</v>
      </c>
      <c r="E66" s="9">
        <f>D66</f>
        <v>203.52</v>
      </c>
      <c r="F66" s="10"/>
    </row>
    <row r="67" spans="1:15">
      <c r="A67" s="4"/>
      <c r="B67" s="5"/>
      <c r="C67" s="5"/>
      <c r="D67" s="7"/>
      <c r="E67" s="9"/>
      <c r="F67" s="10"/>
    </row>
    <row r="68" spans="1:15">
      <c r="A68" s="4"/>
      <c r="C68" s="11"/>
      <c r="D68" s="7"/>
      <c r="E68" s="8"/>
      <c r="F68" s="8"/>
    </row>
    <row r="69" spans="1:15">
      <c r="A69" s="4"/>
      <c r="B69" s="5"/>
      <c r="C69" s="11"/>
      <c r="D69" s="7"/>
      <c r="E69" s="8"/>
      <c r="F69" s="8"/>
    </row>
    <row r="70" spans="1:15">
      <c r="A70" s="4"/>
      <c r="B70" s="5"/>
      <c r="C70" s="11"/>
      <c r="D70" s="7"/>
      <c r="E70" s="8"/>
      <c r="F70" s="8"/>
    </row>
    <row r="71" spans="1:15">
      <c r="A71" s="4"/>
      <c r="B71" s="5"/>
      <c r="C71" s="11"/>
      <c r="D71" s="7"/>
      <c r="E71" s="8"/>
      <c r="F71" s="8"/>
    </row>
    <row r="72" spans="1:15">
      <c r="A72" s="61" t="s">
        <v>38</v>
      </c>
      <c r="B72" s="61"/>
      <c r="C72" s="61"/>
      <c r="D72" s="8">
        <f>SUM(D65:D71)</f>
        <v>622.52</v>
      </c>
      <c r="E72" s="8">
        <f>SUM(E65:E71)</f>
        <v>622.52</v>
      </c>
      <c r="F72" s="8">
        <f>SUM(F65:F71)</f>
        <v>0</v>
      </c>
      <c r="L72" s="5"/>
      <c r="M72" s="5"/>
      <c r="N72" s="8">
        <f>D72</f>
        <v>622.52</v>
      </c>
      <c r="O72" s="5"/>
    </row>
    <row r="74" spans="1:15">
      <c r="E74" s="3">
        <f>SUM(E72,E36,E28,E20,E11,E46,E54,E62)</f>
        <v>14437.978333333333</v>
      </c>
      <c r="F74" s="3">
        <f>SUM(F72,F36,F28,F20,F11,F46,F54,F62)</f>
        <v>3779.855</v>
      </c>
    </row>
    <row r="75" spans="1:15">
      <c r="A75" s="4" t="s">
        <v>148</v>
      </c>
      <c r="B75" s="53">
        <v>44795</v>
      </c>
      <c r="C75" s="5" t="s">
        <v>61</v>
      </c>
      <c r="D75" s="5" t="s">
        <v>1</v>
      </c>
      <c r="E75" s="6" t="s">
        <v>2</v>
      </c>
      <c r="F75" s="6" t="s">
        <v>3</v>
      </c>
    </row>
    <row r="76" spans="1:15">
      <c r="A76" s="4">
        <v>44774</v>
      </c>
      <c r="B76" s="5" t="s">
        <v>149</v>
      </c>
      <c r="C76" s="5" t="s">
        <v>12</v>
      </c>
      <c r="D76" s="7">
        <v>9000</v>
      </c>
      <c r="E76" s="9">
        <f>D76/10</f>
        <v>900</v>
      </c>
      <c r="F76" s="10"/>
    </row>
    <row r="77" spans="1:15">
      <c r="A77" s="4"/>
      <c r="B77" s="5"/>
      <c r="C77" s="5"/>
      <c r="D77" s="7"/>
      <c r="E77" s="9"/>
      <c r="F77" s="10"/>
    </row>
    <row r="78" spans="1:15">
      <c r="A78" s="4"/>
      <c r="B78" s="5"/>
      <c r="C78" s="5"/>
      <c r="D78" s="7"/>
      <c r="E78" s="9"/>
      <c r="F78" s="10"/>
    </row>
    <row r="79" spans="1:15">
      <c r="A79" s="61" t="s">
        <v>150</v>
      </c>
      <c r="B79" s="61"/>
      <c r="C79" s="61"/>
      <c r="D79" s="8">
        <f>SUM(D76:D78)</f>
        <v>9000</v>
      </c>
      <c r="E79" s="29">
        <f>SUM(E76:E78)</f>
        <v>900</v>
      </c>
      <c r="F79" s="8">
        <f>SUM(F76:F78)</f>
        <v>0</v>
      </c>
      <c r="L79" s="5"/>
      <c r="M79" s="5"/>
      <c r="N79" s="8"/>
      <c r="O79" s="8">
        <f>E79</f>
        <v>900</v>
      </c>
    </row>
    <row r="81" spans="11:15">
      <c r="L81" s="7">
        <f>SUM(L3:L80)</f>
        <v>2581.96</v>
      </c>
      <c r="M81" s="7">
        <f>SUM(M3:M80)</f>
        <v>0</v>
      </c>
      <c r="N81" s="7">
        <f>SUM(N3:N80)</f>
        <v>9738.14</v>
      </c>
      <c r="O81" s="7">
        <f>SUM(O3:O80)</f>
        <v>6797.7333333333336</v>
      </c>
    </row>
    <row r="83" spans="11:15">
      <c r="O83" s="3">
        <f>SUM(L81:O81)</f>
        <v>19117.833333333332</v>
      </c>
    </row>
    <row r="86" spans="11:15">
      <c r="K86">
        <f>SUM(L86:N86)</f>
        <v>12400</v>
      </c>
      <c r="L86">
        <v>2600</v>
      </c>
      <c r="N86">
        <v>9800</v>
      </c>
    </row>
  </sheetData>
  <mergeCells count="9">
    <mergeCell ref="A79:C79"/>
    <mergeCell ref="A72:C72"/>
    <mergeCell ref="A11:C11"/>
    <mergeCell ref="A20:C20"/>
    <mergeCell ref="A28:C28"/>
    <mergeCell ref="A36:C36"/>
    <mergeCell ref="A46:C46"/>
    <mergeCell ref="A54:C54"/>
    <mergeCell ref="A62:C6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54FD8-28C0-49D0-8D78-AB20E7304632}">
  <dimension ref="A1:BX83"/>
  <sheetViews>
    <sheetView topLeftCell="A55" workbookViewId="0">
      <selection activeCell="B70" sqref="B70"/>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10.1640625" bestFit="1" customWidth="1"/>
    <col min="12" max="12" width="12.6640625" customWidth="1"/>
    <col min="13" max="13" width="13" customWidth="1"/>
    <col min="14" max="14" width="12.6640625" customWidth="1"/>
    <col min="15" max="15" width="12" customWidth="1"/>
  </cols>
  <sheetData>
    <row r="1" spans="1:76">
      <c r="A1" s="1"/>
      <c r="B1" s="1"/>
      <c r="U1" s="1"/>
      <c r="V1" s="1"/>
      <c r="AQ1" s="1"/>
      <c r="AR1" s="1"/>
      <c r="BG1" s="1"/>
      <c r="BH1" s="1"/>
      <c r="BW1" s="1"/>
      <c r="BX1" s="1"/>
    </row>
    <row r="2" spans="1:76">
      <c r="A2" s="4" t="s">
        <v>0</v>
      </c>
      <c r="B2" s="53">
        <v>44872</v>
      </c>
      <c r="C2" s="5" t="s">
        <v>39</v>
      </c>
      <c r="D2" s="5" t="s">
        <v>1</v>
      </c>
      <c r="E2" s="6" t="s">
        <v>2</v>
      </c>
      <c r="F2" s="6" t="s">
        <v>3</v>
      </c>
      <c r="G2" t="s">
        <v>173</v>
      </c>
      <c r="H2" t="s">
        <v>4</v>
      </c>
      <c r="I2" t="s">
        <v>5</v>
      </c>
      <c r="J2" t="s">
        <v>6</v>
      </c>
      <c r="L2" s="5" t="s">
        <v>69</v>
      </c>
      <c r="M2" s="5" t="s">
        <v>70</v>
      </c>
      <c r="N2" s="5" t="s">
        <v>71</v>
      </c>
      <c r="O2" s="5" t="s">
        <v>139</v>
      </c>
    </row>
    <row r="3" spans="1:76">
      <c r="A3" s="4">
        <v>44852</v>
      </c>
      <c r="B3" s="5" t="s">
        <v>109</v>
      </c>
      <c r="C3" s="5" t="s">
        <v>83</v>
      </c>
      <c r="D3" s="7">
        <v>1590</v>
      </c>
      <c r="E3" s="7">
        <v>1590</v>
      </c>
      <c r="F3" s="8"/>
    </row>
    <row r="4" spans="1:76">
      <c r="A4" s="4">
        <f>A3</f>
        <v>44852</v>
      </c>
      <c r="B4" s="5" t="s">
        <v>78</v>
      </c>
      <c r="C4" s="5" t="s">
        <v>135</v>
      </c>
      <c r="D4" s="7">
        <f>14082/10</f>
        <v>1408.2</v>
      </c>
      <c r="E4" s="7">
        <f>D4</f>
        <v>1408.2</v>
      </c>
      <c r="F4" s="8"/>
    </row>
    <row r="5" spans="1:76">
      <c r="A5" s="4">
        <v>44829</v>
      </c>
      <c r="B5" s="4" t="s">
        <v>174</v>
      </c>
      <c r="C5" s="5"/>
      <c r="D5" s="7">
        <v>580</v>
      </c>
      <c r="E5" s="9">
        <v>290</v>
      </c>
      <c r="F5" s="9">
        <v>290</v>
      </c>
    </row>
    <row r="6" spans="1:76">
      <c r="A6" s="4">
        <v>44833</v>
      </c>
      <c r="B6" s="4" t="s">
        <v>33</v>
      </c>
      <c r="C6" s="5"/>
      <c r="D6" s="7">
        <v>198.6</v>
      </c>
      <c r="E6" s="8">
        <f>D6</f>
        <v>198.6</v>
      </c>
      <c r="F6" s="8"/>
    </row>
    <row r="7" spans="1:76">
      <c r="A7" s="4"/>
      <c r="B7" s="5"/>
      <c r="C7" s="5"/>
      <c r="D7" s="7"/>
      <c r="E7" s="7"/>
      <c r="F7" s="8"/>
    </row>
    <row r="8" spans="1:76">
      <c r="A8" s="4"/>
      <c r="B8" s="5"/>
      <c r="C8" s="5"/>
      <c r="D8" s="7"/>
      <c r="E8" s="7"/>
      <c r="F8" s="8"/>
      <c r="G8" s="2"/>
      <c r="H8" s="2"/>
      <c r="I8" s="3"/>
      <c r="J8" s="3"/>
    </row>
    <row r="9" spans="1:76">
      <c r="A9" s="4"/>
      <c r="B9" s="5"/>
      <c r="C9" s="5"/>
      <c r="D9" s="7"/>
      <c r="E9" s="7"/>
      <c r="F9" s="7"/>
      <c r="G9" s="2"/>
      <c r="H9" s="2"/>
      <c r="I9" s="3"/>
      <c r="J9" s="3"/>
    </row>
    <row r="10" spans="1:76">
      <c r="A10" s="4"/>
      <c r="B10" s="5"/>
      <c r="C10" s="5"/>
      <c r="D10" s="7"/>
      <c r="E10" s="7"/>
      <c r="F10" s="7"/>
      <c r="G10" s="2"/>
      <c r="H10" s="2"/>
      <c r="I10" s="3"/>
      <c r="J10" s="3"/>
    </row>
    <row r="11" spans="1:76">
      <c r="A11" s="61" t="s">
        <v>16</v>
      </c>
      <c r="B11" s="61"/>
      <c r="C11" s="61"/>
      <c r="D11" s="14">
        <f>SUM(D3:D10)</f>
        <v>3776.7999999999997</v>
      </c>
      <c r="E11" s="8">
        <f>SUM(E3:E10)</f>
        <v>3486.7999999999997</v>
      </c>
      <c r="F11" s="8">
        <f>SUM(F3:F10)</f>
        <v>290</v>
      </c>
      <c r="L11" s="5"/>
      <c r="M11" s="5"/>
      <c r="N11" s="8">
        <f>D11</f>
        <v>3776.7999999999997</v>
      </c>
      <c r="O11" s="5"/>
    </row>
    <row r="13" spans="1:76">
      <c r="A13" s="4" t="s">
        <v>17</v>
      </c>
      <c r="B13" s="53">
        <v>44866</v>
      </c>
      <c r="C13" s="5" t="s">
        <v>47</v>
      </c>
      <c r="D13" s="5" t="s">
        <v>1</v>
      </c>
      <c r="E13" s="6" t="s">
        <v>2</v>
      </c>
      <c r="F13" s="6" t="s">
        <v>3</v>
      </c>
      <c r="G13" t="s">
        <v>173</v>
      </c>
    </row>
    <row r="14" spans="1:76">
      <c r="A14" s="4">
        <v>44824</v>
      </c>
      <c r="B14" s="5" t="s">
        <v>48</v>
      </c>
      <c r="C14" s="5"/>
      <c r="D14" s="7">
        <v>854.93</v>
      </c>
      <c r="E14" s="9">
        <f>D14</f>
        <v>854.93</v>
      </c>
      <c r="F14" s="10"/>
    </row>
    <row r="15" spans="1:76">
      <c r="A15" s="4">
        <f>A14</f>
        <v>44824</v>
      </c>
      <c r="B15" s="5" t="s">
        <v>49</v>
      </c>
      <c r="C15" s="5"/>
      <c r="D15" s="7">
        <v>1603.93</v>
      </c>
      <c r="E15" s="9">
        <f>D15</f>
        <v>1603.93</v>
      </c>
      <c r="F15" s="10"/>
    </row>
    <row r="16" spans="1:76">
      <c r="A16" s="4">
        <v>44822</v>
      </c>
      <c r="B16" s="5" t="s">
        <v>81</v>
      </c>
      <c r="C16" s="5"/>
      <c r="D16" s="7">
        <v>373.43</v>
      </c>
      <c r="E16" s="9">
        <f>D16</f>
        <v>373.43</v>
      </c>
      <c r="F16" s="10"/>
    </row>
    <row r="17" spans="1:15">
      <c r="A17" s="4">
        <v>44851</v>
      </c>
      <c r="B17" s="5" t="s">
        <v>11</v>
      </c>
      <c r="C17" s="11" t="s">
        <v>83</v>
      </c>
      <c r="D17" s="7">
        <v>320</v>
      </c>
      <c r="E17" s="8">
        <f>D17</f>
        <v>320</v>
      </c>
      <c r="F17" s="8"/>
    </row>
    <row r="18" spans="1:15">
      <c r="A18" s="4">
        <f>A17</f>
        <v>44851</v>
      </c>
      <c r="B18" s="5" t="s">
        <v>20</v>
      </c>
      <c r="C18" s="11"/>
      <c r="D18" s="7">
        <v>-7.88</v>
      </c>
      <c r="E18" s="8">
        <f>D18</f>
        <v>-7.88</v>
      </c>
      <c r="F18" s="8"/>
    </row>
    <row r="19" spans="1:15">
      <c r="A19" s="4"/>
      <c r="B19" s="5"/>
      <c r="C19" s="11"/>
      <c r="D19" s="7"/>
      <c r="E19" s="8"/>
      <c r="F19" s="8"/>
    </row>
    <row r="20" spans="1:15">
      <c r="A20" s="61" t="s">
        <v>21</v>
      </c>
      <c r="B20" s="61"/>
      <c r="C20" s="61"/>
      <c r="D20" s="14">
        <f>SUM(D14:D19)</f>
        <v>3144.41</v>
      </c>
      <c r="E20" s="8">
        <f>SUM(E14:E19)</f>
        <v>3144.41</v>
      </c>
      <c r="F20" s="8">
        <f>SUM(F14:F19)</f>
        <v>0</v>
      </c>
      <c r="L20" s="8">
        <f>D20</f>
        <v>3144.41</v>
      </c>
      <c r="M20" s="5"/>
      <c r="N20" s="8"/>
      <c r="O20" s="5"/>
    </row>
    <row r="21" spans="1:15">
      <c r="A21" s="1"/>
      <c r="B21" s="1"/>
    </row>
    <row r="22" spans="1:15">
      <c r="A22" s="4" t="s">
        <v>22</v>
      </c>
      <c r="B22" s="53">
        <f>B13</f>
        <v>44866</v>
      </c>
      <c r="C22" s="5" t="s">
        <v>39</v>
      </c>
      <c r="D22" s="5" t="s">
        <v>1</v>
      </c>
      <c r="E22" s="6" t="s">
        <v>2</v>
      </c>
      <c r="F22" s="6" t="s">
        <v>3</v>
      </c>
      <c r="G22" t="s">
        <v>173</v>
      </c>
    </row>
    <row r="23" spans="1:15">
      <c r="A23" s="4">
        <v>44824</v>
      </c>
      <c r="B23" s="5" t="s">
        <v>23</v>
      </c>
      <c r="C23" s="5"/>
      <c r="D23" s="7">
        <v>1191.8699999999999</v>
      </c>
      <c r="E23" s="9">
        <f>D23</f>
        <v>1191.8699999999999</v>
      </c>
      <c r="F23" s="10"/>
    </row>
    <row r="24" spans="1:15">
      <c r="A24" s="4">
        <v>44839</v>
      </c>
      <c r="B24" s="5" t="s">
        <v>175</v>
      </c>
      <c r="C24" s="11" t="s">
        <v>79</v>
      </c>
      <c r="D24" s="7">
        <v>2760.7</v>
      </c>
      <c r="E24" s="9">
        <f>D24</f>
        <v>2760.7</v>
      </c>
      <c r="F24" s="10"/>
      <c r="H24" s="3"/>
    </row>
    <row r="25" spans="1:15">
      <c r="A25" s="4">
        <v>44839</v>
      </c>
      <c r="B25" s="5" t="s">
        <v>176</v>
      </c>
      <c r="C25" s="11"/>
      <c r="D25" s="7">
        <v>204.3</v>
      </c>
      <c r="E25" s="8">
        <f>D25</f>
        <v>204.3</v>
      </c>
      <c r="F25" s="8"/>
      <c r="H25" s="3"/>
    </row>
    <row r="26" spans="1:15">
      <c r="A26" s="4"/>
      <c r="B26" s="5"/>
      <c r="C26" s="11"/>
      <c r="D26" s="7"/>
      <c r="E26" s="8"/>
      <c r="F26" s="8"/>
    </row>
    <row r="27" spans="1:15">
      <c r="A27" s="4"/>
      <c r="B27" s="5"/>
      <c r="C27" s="11"/>
      <c r="D27" s="7"/>
      <c r="E27" s="8"/>
      <c r="F27" s="8"/>
    </row>
    <row r="28" spans="1:15">
      <c r="A28" s="61" t="s">
        <v>27</v>
      </c>
      <c r="B28" s="61"/>
      <c r="C28" s="61"/>
      <c r="D28" s="14">
        <f>SUM(D23:D27)</f>
        <v>4156.87</v>
      </c>
      <c r="E28" s="8">
        <f>SUM(E23:E27)</f>
        <v>4156.87</v>
      </c>
      <c r="F28" s="8">
        <f>SUM(F23:F27)</f>
        <v>0</v>
      </c>
      <c r="O28" s="8">
        <f>D28</f>
        <v>4156.87</v>
      </c>
    </row>
    <row r="30" spans="1:15">
      <c r="A30" s="4" t="s">
        <v>28</v>
      </c>
      <c r="B30" s="53">
        <f>B22</f>
        <v>44866</v>
      </c>
      <c r="C30" s="5" t="s">
        <v>52</v>
      </c>
      <c r="D30" s="5" t="s">
        <v>1</v>
      </c>
      <c r="E30" s="6" t="s">
        <v>2</v>
      </c>
      <c r="F30" s="6" t="s">
        <v>3</v>
      </c>
      <c r="G30" t="s">
        <v>173</v>
      </c>
    </row>
    <row r="31" spans="1:15">
      <c r="A31" s="4">
        <v>44822</v>
      </c>
      <c r="B31" s="5" t="s">
        <v>154</v>
      </c>
      <c r="C31" s="5"/>
      <c r="D31" s="7">
        <v>1664.5</v>
      </c>
      <c r="E31" s="33">
        <f>D31/2</f>
        <v>832.25</v>
      </c>
      <c r="F31" s="34">
        <f>E31</f>
        <v>832.25</v>
      </c>
    </row>
    <row r="32" spans="1:15">
      <c r="A32" s="4"/>
      <c r="B32" s="5"/>
      <c r="C32" s="5"/>
      <c r="D32" s="7"/>
      <c r="E32" s="9"/>
      <c r="F32" s="10"/>
    </row>
    <row r="33" spans="1:15">
      <c r="A33" s="4"/>
      <c r="B33" s="5"/>
      <c r="C33" s="11"/>
      <c r="D33" s="7"/>
      <c r="E33" s="8"/>
      <c r="F33" s="8"/>
    </row>
    <row r="34" spans="1:15">
      <c r="A34" s="4"/>
      <c r="B34" s="5"/>
      <c r="C34" s="11"/>
      <c r="D34" s="7"/>
      <c r="E34" s="8"/>
      <c r="F34" s="8"/>
    </row>
    <row r="35" spans="1:15">
      <c r="A35" s="4"/>
      <c r="B35" s="5"/>
      <c r="C35" s="11"/>
      <c r="D35" s="7"/>
      <c r="E35" s="8"/>
      <c r="F35" s="8"/>
    </row>
    <row r="36" spans="1:15">
      <c r="A36" s="61" t="s">
        <v>31</v>
      </c>
      <c r="B36" s="61"/>
      <c r="C36" s="61"/>
      <c r="D36" s="14">
        <f>SUM(D31:D35)</f>
        <v>1664.5</v>
      </c>
      <c r="E36" s="8">
        <f>SUM(E31:E35)</f>
        <v>832.25</v>
      </c>
      <c r="F36" s="8">
        <f>SUM(F31:F35)</f>
        <v>832.25</v>
      </c>
      <c r="L36" s="8">
        <f>D36</f>
        <v>1664.5</v>
      </c>
      <c r="M36" s="5"/>
      <c r="N36" s="8"/>
      <c r="O36" s="8"/>
    </row>
    <row r="38" spans="1:15">
      <c r="A38" s="4" t="s">
        <v>54</v>
      </c>
      <c r="B38" s="53">
        <v>44868</v>
      </c>
      <c r="C38" s="5" t="s">
        <v>55</v>
      </c>
      <c r="D38" s="5" t="s">
        <v>1</v>
      </c>
      <c r="E38" s="6" t="s">
        <v>2</v>
      </c>
      <c r="F38" s="6" t="s">
        <v>3</v>
      </c>
      <c r="G38" t="s">
        <v>173</v>
      </c>
      <c r="H38" t="s">
        <v>116</v>
      </c>
      <c r="I38" t="s">
        <v>117</v>
      </c>
      <c r="J38" t="s">
        <v>177</v>
      </c>
    </row>
    <row r="39" spans="1:15">
      <c r="A39" s="4">
        <v>44841</v>
      </c>
      <c r="B39" s="5" t="s">
        <v>118</v>
      </c>
      <c r="C39" s="11" t="s">
        <v>178</v>
      </c>
      <c r="D39" s="7">
        <v>1094.03</v>
      </c>
      <c r="E39" s="9"/>
      <c r="F39" s="10"/>
      <c r="H39" s="2"/>
      <c r="I39" s="3"/>
      <c r="J39" s="2"/>
      <c r="K39" s="3"/>
    </row>
    <row r="40" spans="1:15">
      <c r="A40" s="4">
        <f>A39</f>
        <v>44841</v>
      </c>
      <c r="B40" s="5" t="s">
        <v>120</v>
      </c>
      <c r="C40" s="11" t="s">
        <v>179</v>
      </c>
      <c r="D40" s="7">
        <v>1390.12</v>
      </c>
      <c r="E40" s="9">
        <f>D40</f>
        <v>1390.12</v>
      </c>
      <c r="F40" s="10"/>
      <c r="H40" s="2">
        <v>33363</v>
      </c>
      <c r="I40" s="3">
        <f>H40/24</f>
        <v>1390.125</v>
      </c>
      <c r="J40" s="3">
        <f>H40-(I40*6)</f>
        <v>25022.25</v>
      </c>
    </row>
    <row r="41" spans="1:15">
      <c r="A41" s="4">
        <f>A40</f>
        <v>44841</v>
      </c>
      <c r="B41" s="5" t="s">
        <v>122</v>
      </c>
      <c r="C41" s="11" t="s">
        <v>168</v>
      </c>
      <c r="D41" s="7">
        <f>I41</f>
        <v>416.25</v>
      </c>
      <c r="E41" s="9">
        <f>D41</f>
        <v>416.25</v>
      </c>
      <c r="F41" s="10"/>
      <c r="H41" s="2">
        <v>9990</v>
      </c>
      <c r="I41" s="3">
        <f>H41/24</f>
        <v>416.25</v>
      </c>
      <c r="J41" s="3">
        <f>H41-(I41*5)</f>
        <v>7908.75</v>
      </c>
    </row>
    <row r="42" spans="1:15">
      <c r="A42" s="4">
        <f>A41</f>
        <v>44841</v>
      </c>
      <c r="B42" s="5" t="s">
        <v>123</v>
      </c>
      <c r="C42" s="11" t="str">
        <f>C41</f>
        <v>005/024</v>
      </c>
      <c r="D42" s="7">
        <f>I42-3.75</f>
        <v>183.33333333333334</v>
      </c>
      <c r="E42" s="9">
        <f>D42</f>
        <v>183.33333333333334</v>
      </c>
      <c r="F42" s="8"/>
      <c r="H42" s="2">
        <v>4490</v>
      </c>
      <c r="I42" s="3">
        <f>H42/24</f>
        <v>187.08333333333334</v>
      </c>
      <c r="J42" s="3">
        <f>H42-(I42*5)</f>
        <v>3554.583333333333</v>
      </c>
    </row>
    <row r="43" spans="1:15">
      <c r="A43" s="4">
        <f>A42</f>
        <v>44841</v>
      </c>
      <c r="B43" s="5" t="s">
        <v>124</v>
      </c>
      <c r="C43" s="11" t="str">
        <f>C42</f>
        <v>005/024</v>
      </c>
      <c r="D43" s="7">
        <v>1378.75</v>
      </c>
      <c r="E43" s="8"/>
      <c r="F43" s="8"/>
      <c r="H43" s="2">
        <v>33090</v>
      </c>
      <c r="I43" s="3">
        <f>H43/24</f>
        <v>1378.75</v>
      </c>
    </row>
    <row r="44" spans="1:15">
      <c r="A44" s="4"/>
      <c r="B44" s="5" t="s">
        <v>20</v>
      </c>
      <c r="C44" s="11"/>
      <c r="D44" s="7"/>
      <c r="E44" s="8"/>
      <c r="F44" s="8"/>
      <c r="H44" s="3"/>
      <c r="I44" s="3"/>
    </row>
    <row r="45" spans="1:15">
      <c r="A45" s="4"/>
      <c r="B45" s="5"/>
      <c r="C45" s="11"/>
      <c r="D45" s="7"/>
      <c r="E45" s="8"/>
      <c r="F45" s="8"/>
    </row>
    <row r="46" spans="1:15">
      <c r="A46" s="61" t="s">
        <v>56</v>
      </c>
      <c r="B46" s="61"/>
      <c r="C46" s="61"/>
      <c r="D46" s="14">
        <f>SUM(D39:D45)</f>
        <v>4462.4833333333336</v>
      </c>
      <c r="E46" s="8">
        <f>SUM(E39:E45)</f>
        <v>1989.7033333333331</v>
      </c>
      <c r="F46" s="8">
        <f>SUM(F39:F45)</f>
        <v>0</v>
      </c>
      <c r="O46" s="8">
        <f>E46</f>
        <v>1989.7033333333331</v>
      </c>
    </row>
    <row r="48" spans="1:15">
      <c r="A48" s="4" t="s">
        <v>92</v>
      </c>
      <c r="B48" s="53">
        <f>B38</f>
        <v>44868</v>
      </c>
      <c r="C48" s="5"/>
      <c r="D48" s="5" t="s">
        <v>1</v>
      </c>
      <c r="E48" s="6" t="s">
        <v>2</v>
      </c>
      <c r="F48" s="6" t="s">
        <v>3</v>
      </c>
      <c r="G48" t="s">
        <v>173</v>
      </c>
    </row>
    <row r="49" spans="1:15">
      <c r="A49" s="4">
        <v>44859</v>
      </c>
      <c r="B49" s="5" t="s">
        <v>157</v>
      </c>
      <c r="C49" s="11" t="s">
        <v>10</v>
      </c>
      <c r="D49" s="7">
        <v>214.67</v>
      </c>
      <c r="E49" s="7">
        <v>214.67</v>
      </c>
      <c r="F49" s="10"/>
    </row>
    <row r="50" spans="1:15">
      <c r="A50" s="4">
        <v>44846</v>
      </c>
      <c r="B50" s="5" t="s">
        <v>180</v>
      </c>
      <c r="C50" s="5"/>
      <c r="D50" s="7">
        <v>248</v>
      </c>
      <c r="E50" s="9">
        <f>D50</f>
        <v>248</v>
      </c>
      <c r="F50" s="10"/>
    </row>
    <row r="51" spans="1:15">
      <c r="A51" s="4">
        <v>44840</v>
      </c>
      <c r="B51" t="s">
        <v>181</v>
      </c>
      <c r="C51" s="11"/>
      <c r="D51" s="7">
        <v>201</v>
      </c>
      <c r="E51" s="9">
        <f>D51</f>
        <v>201</v>
      </c>
      <c r="F51" s="8"/>
    </row>
    <row r="52" spans="1:15">
      <c r="A52" s="4">
        <v>44832</v>
      </c>
      <c r="B52" s="5" t="s">
        <v>182</v>
      </c>
      <c r="C52" s="11"/>
      <c r="D52" s="7">
        <v>197</v>
      </c>
      <c r="E52" s="9">
        <f>D52</f>
        <v>197</v>
      </c>
      <c r="F52" s="8"/>
    </row>
    <row r="53" spans="1:15">
      <c r="A53" s="4"/>
      <c r="B53" s="5"/>
      <c r="C53" s="11"/>
      <c r="D53" s="7"/>
      <c r="E53" s="8"/>
      <c r="F53" s="8"/>
    </row>
    <row r="54" spans="1:15">
      <c r="A54" s="61" t="s">
        <v>60</v>
      </c>
      <c r="B54" s="61"/>
      <c r="C54" s="61"/>
      <c r="D54" s="14">
        <f>SUM(D49:D53)</f>
        <v>860.67</v>
      </c>
      <c r="E54" s="8">
        <f>SUM(E49:E53)</f>
        <v>860.67</v>
      </c>
      <c r="F54" s="8">
        <f>SUM(F49:F53)</f>
        <v>0</v>
      </c>
      <c r="L54" s="5"/>
      <c r="M54" s="5"/>
      <c r="N54" s="8"/>
      <c r="O54" s="8">
        <f>E54</f>
        <v>860.67</v>
      </c>
    </row>
    <row r="56" spans="1:15">
      <c r="A56" s="4" t="s">
        <v>171</v>
      </c>
      <c r="B56" s="53">
        <v>44866</v>
      </c>
      <c r="C56" s="5"/>
      <c r="D56" s="5" t="s">
        <v>1</v>
      </c>
      <c r="E56" s="6" t="s">
        <v>2</v>
      </c>
      <c r="F56" s="6" t="s">
        <v>3</v>
      </c>
    </row>
    <row r="57" spans="1:15">
      <c r="A57" s="4"/>
      <c r="B57" s="5"/>
      <c r="C57" s="11"/>
      <c r="D57" s="7"/>
      <c r="E57" s="9"/>
      <c r="F57" s="10"/>
    </row>
    <row r="58" spans="1:15">
      <c r="A58" s="4"/>
      <c r="B58" s="5"/>
      <c r="C58" s="5"/>
      <c r="D58" s="7"/>
      <c r="E58" s="9"/>
      <c r="F58" s="10"/>
    </row>
    <row r="59" spans="1:15">
      <c r="A59" s="4"/>
      <c r="B59" s="5"/>
      <c r="C59" s="11"/>
      <c r="D59" s="7"/>
      <c r="E59" s="9"/>
      <c r="F59" s="8"/>
    </row>
    <row r="60" spans="1:15">
      <c r="A60" s="4"/>
      <c r="B60" s="5"/>
      <c r="C60" s="11"/>
      <c r="D60" s="7"/>
      <c r="E60" s="8"/>
      <c r="F60" s="8"/>
    </row>
    <row r="61" spans="1:15">
      <c r="A61" s="4"/>
      <c r="B61" s="5"/>
      <c r="C61" s="11"/>
      <c r="D61" s="7"/>
      <c r="E61" s="8"/>
      <c r="F61" s="8"/>
    </row>
    <row r="62" spans="1:15">
      <c r="A62" s="61" t="s">
        <v>60</v>
      </c>
      <c r="B62" s="61"/>
      <c r="C62" s="61"/>
      <c r="D62" s="8">
        <f>SUM(D57:D61)</f>
        <v>0</v>
      </c>
      <c r="E62" s="8">
        <f>SUM(E57:E61)</f>
        <v>0</v>
      </c>
      <c r="F62" s="8">
        <f>SUM(F57:F61)</f>
        <v>0</v>
      </c>
      <c r="L62" s="5"/>
      <c r="M62" s="5"/>
      <c r="N62" s="8"/>
      <c r="O62" s="8">
        <f>E62</f>
        <v>0</v>
      </c>
    </row>
    <row r="64" spans="1:15">
      <c r="A64" s="4" t="s">
        <v>32</v>
      </c>
      <c r="B64" s="53">
        <v>44887</v>
      </c>
      <c r="C64" s="5" t="s">
        <v>61</v>
      </c>
      <c r="D64" s="5" t="s">
        <v>1</v>
      </c>
      <c r="E64" s="6" t="s">
        <v>2</v>
      </c>
      <c r="F64" s="6" t="s">
        <v>3</v>
      </c>
      <c r="G64" t="s">
        <v>173</v>
      </c>
    </row>
    <row r="65" spans="1:15">
      <c r="A65" s="4">
        <v>44837</v>
      </c>
      <c r="B65" s="5" t="s">
        <v>160</v>
      </c>
      <c r="C65" s="5"/>
      <c r="D65" s="7">
        <v>419</v>
      </c>
      <c r="E65" s="9">
        <f>D65</f>
        <v>419</v>
      </c>
      <c r="F65" s="10"/>
    </row>
    <row r="66" spans="1:15">
      <c r="A66" s="4">
        <v>44836</v>
      </c>
      <c r="B66" s="5" t="s">
        <v>183</v>
      </c>
      <c r="C66" s="5"/>
      <c r="D66" s="7">
        <v>670</v>
      </c>
      <c r="E66" s="9">
        <v>335</v>
      </c>
      <c r="F66" s="10">
        <v>335</v>
      </c>
    </row>
    <row r="67" spans="1:15">
      <c r="A67" s="4">
        <v>44841</v>
      </c>
      <c r="B67" s="5" t="s">
        <v>184</v>
      </c>
      <c r="C67" s="5"/>
      <c r="D67" s="7">
        <v>2286</v>
      </c>
      <c r="E67" s="9">
        <v>2286</v>
      </c>
      <c r="F67" s="10"/>
    </row>
    <row r="68" spans="1:15">
      <c r="A68" s="4"/>
      <c r="C68" s="11"/>
      <c r="D68" s="7"/>
      <c r="E68" s="8"/>
      <c r="F68" s="8"/>
    </row>
    <row r="69" spans="1:15">
      <c r="A69" s="4"/>
      <c r="B69" s="5"/>
      <c r="C69" s="11"/>
      <c r="D69" s="7"/>
      <c r="E69" s="8"/>
      <c r="F69" s="8"/>
    </row>
    <row r="70" spans="1:15">
      <c r="A70" s="4"/>
      <c r="B70" s="5"/>
      <c r="C70" s="11"/>
      <c r="D70" s="7"/>
      <c r="E70" s="8"/>
      <c r="F70" s="8"/>
    </row>
    <row r="71" spans="1:15">
      <c r="A71" s="4"/>
      <c r="B71" s="5"/>
      <c r="C71" s="11"/>
      <c r="D71" s="7"/>
      <c r="E71" s="8"/>
      <c r="F71" s="8"/>
    </row>
    <row r="72" spans="1:15">
      <c r="A72" s="61" t="s">
        <v>38</v>
      </c>
      <c r="B72" s="61"/>
      <c r="C72" s="61"/>
      <c r="D72" s="8">
        <f>SUM(D65:D71)</f>
        <v>3375</v>
      </c>
      <c r="E72" s="8">
        <f>SUM(E65:E71)</f>
        <v>3040</v>
      </c>
      <c r="F72" s="8">
        <f>SUM(F65:F71)</f>
        <v>335</v>
      </c>
      <c r="L72" s="5"/>
      <c r="M72" s="5"/>
      <c r="N72" s="8">
        <f>D72</f>
        <v>3375</v>
      </c>
      <c r="O72" s="5"/>
    </row>
    <row r="74" spans="1:15">
      <c r="E74" s="3">
        <f>SUM(E72,E36,E28,E20,E11,E46,E54,E62)</f>
        <v>17510.703333333331</v>
      </c>
      <c r="F74" s="3">
        <f>SUM(F72,F36,F28,F20,F11,F46,F54,F62)</f>
        <v>1457.25</v>
      </c>
    </row>
    <row r="75" spans="1:15">
      <c r="A75" s="4" t="s">
        <v>148</v>
      </c>
      <c r="B75" s="53">
        <v>44795</v>
      </c>
      <c r="C75" s="5" t="s">
        <v>61</v>
      </c>
      <c r="D75" s="5" t="s">
        <v>1</v>
      </c>
      <c r="E75" s="6" t="s">
        <v>2</v>
      </c>
      <c r="F75" s="6" t="s">
        <v>3</v>
      </c>
    </row>
    <row r="76" spans="1:15">
      <c r="A76" s="4">
        <v>44774</v>
      </c>
      <c r="B76" s="5" t="s">
        <v>149</v>
      </c>
      <c r="C76" s="5" t="s">
        <v>45</v>
      </c>
      <c r="D76" s="7">
        <v>9000</v>
      </c>
      <c r="E76" s="9">
        <f>D76/10</f>
        <v>900</v>
      </c>
      <c r="F76" s="10"/>
    </row>
    <row r="77" spans="1:15">
      <c r="A77" s="4"/>
      <c r="B77" s="5"/>
      <c r="C77" s="5"/>
      <c r="D77" s="7"/>
      <c r="E77" s="9"/>
      <c r="F77" s="10"/>
    </row>
    <row r="78" spans="1:15">
      <c r="A78" s="4"/>
      <c r="B78" s="5"/>
      <c r="C78" s="5"/>
      <c r="D78" s="7"/>
      <c r="E78" s="9"/>
      <c r="F78" s="10"/>
    </row>
    <row r="79" spans="1:15">
      <c r="A79" s="61" t="s">
        <v>150</v>
      </c>
      <c r="B79" s="61"/>
      <c r="C79" s="61"/>
      <c r="D79" s="14">
        <f>SUM(D76:D78)</f>
        <v>9000</v>
      </c>
      <c r="E79" s="29">
        <f>SUM(E76:E78)</f>
        <v>900</v>
      </c>
      <c r="F79" s="8">
        <f>SUM(F76:F78)</f>
        <v>0</v>
      </c>
      <c r="L79" s="5"/>
      <c r="M79" s="5"/>
      <c r="N79" s="8"/>
      <c r="O79" s="8">
        <f>E79</f>
        <v>900</v>
      </c>
    </row>
    <row r="81" spans="12:15">
      <c r="L81" s="7">
        <f>SUM(L2:L80)</f>
        <v>4808.91</v>
      </c>
      <c r="M81" s="7">
        <f>SUM(M2:M80)</f>
        <v>0</v>
      </c>
      <c r="N81" s="7">
        <f>SUM(N2:N80)</f>
        <v>7151.7999999999993</v>
      </c>
      <c r="O81" s="7">
        <f>SUM(O3:O80)</f>
        <v>7907.2433333333329</v>
      </c>
    </row>
    <row r="83" spans="12:15">
      <c r="O83" s="3">
        <f>SUM(L81:O81)</f>
        <v>19867.953333333331</v>
      </c>
    </row>
  </sheetData>
  <mergeCells count="9">
    <mergeCell ref="A79:C79"/>
    <mergeCell ref="A72:C72"/>
    <mergeCell ref="A11:C11"/>
    <mergeCell ref="A20:C20"/>
    <mergeCell ref="A28:C28"/>
    <mergeCell ref="A36:C36"/>
    <mergeCell ref="A46:C46"/>
    <mergeCell ref="A54:C54"/>
    <mergeCell ref="A62:C6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5940-BC51-4DED-A306-D571EF0AE9B8}">
  <sheetPr>
    <tabColor rgb="FFFF0000"/>
  </sheetPr>
  <dimension ref="A1:BX83"/>
  <sheetViews>
    <sheetView topLeftCell="A61" workbookViewId="0">
      <selection activeCell="B70" sqref="B70"/>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9.1640625" bestFit="1" customWidth="1"/>
    <col min="12" max="12" width="12.6640625" customWidth="1"/>
    <col min="13" max="13" width="13" customWidth="1"/>
    <col min="14" max="14" width="12.6640625" customWidth="1"/>
    <col min="15" max="15" width="12" customWidth="1"/>
  </cols>
  <sheetData>
    <row r="1" spans="1:76">
      <c r="A1" s="1"/>
      <c r="B1" s="1"/>
      <c r="U1" s="1"/>
      <c r="V1" s="1"/>
      <c r="AQ1" s="1"/>
      <c r="AR1" s="1"/>
      <c r="BG1" s="1"/>
      <c r="BH1" s="1"/>
      <c r="BW1" s="1"/>
      <c r="BX1" s="1"/>
    </row>
    <row r="2" spans="1:76">
      <c r="A2" s="4" t="s">
        <v>0</v>
      </c>
      <c r="B2" s="53">
        <v>44903</v>
      </c>
      <c r="C2" s="5" t="s">
        <v>39</v>
      </c>
      <c r="D2" s="5" t="s">
        <v>1</v>
      </c>
      <c r="E2" s="6" t="s">
        <v>2</v>
      </c>
      <c r="F2" s="6" t="s">
        <v>3</v>
      </c>
      <c r="H2" t="s">
        <v>4</v>
      </c>
      <c r="I2" t="s">
        <v>5</v>
      </c>
      <c r="J2" t="s">
        <v>6</v>
      </c>
      <c r="L2" s="5" t="s">
        <v>69</v>
      </c>
      <c r="M2" s="5" t="s">
        <v>70</v>
      </c>
      <c r="N2" s="5" t="s">
        <v>71</v>
      </c>
      <c r="O2" s="5" t="s">
        <v>139</v>
      </c>
    </row>
    <row r="3" spans="1:76">
      <c r="A3" s="4">
        <v>44883</v>
      </c>
      <c r="B3" s="5" t="s">
        <v>109</v>
      </c>
      <c r="C3" s="5" t="s">
        <v>112</v>
      </c>
      <c r="D3" s="7">
        <v>1590</v>
      </c>
      <c r="E3" s="7">
        <v>1590</v>
      </c>
      <c r="F3" s="8"/>
    </row>
    <row r="4" spans="1:76">
      <c r="A4" s="4">
        <f>A3</f>
        <v>44883</v>
      </c>
      <c r="B4" s="5" t="s">
        <v>78</v>
      </c>
      <c r="C4" s="5" t="s">
        <v>19</v>
      </c>
      <c r="D4" s="7">
        <f>14082/10</f>
        <v>1408.2</v>
      </c>
      <c r="E4" s="7">
        <f>D4</f>
        <v>1408.2</v>
      </c>
      <c r="F4" s="8"/>
    </row>
    <row r="5" spans="1:76">
      <c r="A5" s="4">
        <v>44857</v>
      </c>
      <c r="B5" s="4" t="s">
        <v>185</v>
      </c>
      <c r="C5" s="5"/>
      <c r="D5" s="7">
        <v>836</v>
      </c>
      <c r="E5" s="9">
        <f>D5/2</f>
        <v>418</v>
      </c>
      <c r="F5" s="10">
        <f>E5</f>
        <v>418</v>
      </c>
    </row>
    <row r="6" spans="1:76">
      <c r="A6" s="4">
        <v>44871</v>
      </c>
      <c r="B6" s="4" t="s">
        <v>33</v>
      </c>
      <c r="C6" s="5"/>
      <c r="D6" s="7">
        <v>198.6</v>
      </c>
      <c r="E6" s="8">
        <f>D6</f>
        <v>198.6</v>
      </c>
      <c r="F6" s="8"/>
    </row>
    <row r="7" spans="1:76">
      <c r="A7" s="4"/>
      <c r="B7" s="5"/>
      <c r="C7" s="5"/>
      <c r="D7" s="7"/>
      <c r="E7" s="7"/>
      <c r="F7" s="8"/>
    </row>
    <row r="8" spans="1:76">
      <c r="A8" s="4"/>
      <c r="B8" s="5"/>
      <c r="C8" s="5"/>
      <c r="D8" s="7"/>
      <c r="E8" s="7"/>
      <c r="F8" s="8"/>
      <c r="G8" s="2"/>
      <c r="H8" s="2"/>
      <c r="I8" s="3"/>
      <c r="J8" s="3"/>
    </row>
    <row r="9" spans="1:76">
      <c r="A9" s="4"/>
      <c r="B9" s="5"/>
      <c r="C9" s="5"/>
      <c r="D9" s="7"/>
      <c r="E9" s="7"/>
      <c r="F9" s="7"/>
      <c r="G9" s="2"/>
      <c r="H9" s="2"/>
      <c r="I9" s="3"/>
      <c r="J9" s="3"/>
    </row>
    <row r="10" spans="1:76">
      <c r="A10" s="4"/>
      <c r="B10" s="5"/>
      <c r="C10" s="5"/>
      <c r="D10" s="7"/>
      <c r="E10" s="7"/>
      <c r="F10" s="7"/>
      <c r="G10" s="2"/>
      <c r="H10" s="2"/>
      <c r="I10" s="3"/>
      <c r="J10" s="3"/>
    </row>
    <row r="11" spans="1:76">
      <c r="A11" s="61" t="s">
        <v>16</v>
      </c>
      <c r="B11" s="61"/>
      <c r="C11" s="61"/>
      <c r="D11" s="8">
        <f>SUM(D3:D10)</f>
        <v>4032.7999999999997</v>
      </c>
      <c r="E11" s="8">
        <f>SUM(E3:E10)</f>
        <v>3614.7999999999997</v>
      </c>
      <c r="F11" s="8">
        <f>SUM(F3:F10)</f>
        <v>418</v>
      </c>
      <c r="L11" s="5"/>
      <c r="M11" s="5"/>
      <c r="N11" s="8">
        <f>D11</f>
        <v>4032.7999999999997</v>
      </c>
      <c r="O11" s="5"/>
    </row>
    <row r="13" spans="1:76">
      <c r="A13" s="4" t="s">
        <v>17</v>
      </c>
      <c r="B13" s="53">
        <v>44897</v>
      </c>
      <c r="C13" s="5" t="s">
        <v>47</v>
      </c>
      <c r="D13" s="5" t="s">
        <v>1</v>
      </c>
      <c r="E13" s="6" t="s">
        <v>2</v>
      </c>
      <c r="F13" s="6" t="s">
        <v>3</v>
      </c>
    </row>
    <row r="14" spans="1:76">
      <c r="A14" s="4">
        <v>44854</v>
      </c>
      <c r="B14" s="5" t="s">
        <v>48</v>
      </c>
      <c r="C14" s="5"/>
      <c r="D14" s="7">
        <v>854.93</v>
      </c>
      <c r="E14" s="9">
        <f>D14</f>
        <v>854.93</v>
      </c>
      <c r="F14" s="10"/>
    </row>
    <row r="15" spans="1:76">
      <c r="A15" s="4">
        <f>A14</f>
        <v>44854</v>
      </c>
      <c r="B15" s="5" t="s">
        <v>49</v>
      </c>
      <c r="C15" s="5"/>
      <c r="D15" s="7">
        <v>1603.93</v>
      </c>
      <c r="E15" s="9">
        <f>D15</f>
        <v>1603.93</v>
      </c>
      <c r="F15" s="10"/>
    </row>
    <row r="16" spans="1:76">
      <c r="A16" s="4">
        <v>44852</v>
      </c>
      <c r="B16" s="5" t="s">
        <v>81</v>
      </c>
      <c r="C16" s="5"/>
      <c r="D16" s="7">
        <v>373.43</v>
      </c>
      <c r="E16" s="9">
        <f>D16</f>
        <v>373.43</v>
      </c>
      <c r="F16" s="10"/>
    </row>
    <row r="17" spans="1:15">
      <c r="A17" s="4">
        <v>44882</v>
      </c>
      <c r="B17" s="5" t="s">
        <v>11</v>
      </c>
      <c r="C17" s="11" t="s">
        <v>112</v>
      </c>
      <c r="D17" s="7">
        <v>320</v>
      </c>
      <c r="E17" s="8">
        <f>D17</f>
        <v>320</v>
      </c>
      <c r="F17" s="8"/>
    </row>
    <row r="18" spans="1:15">
      <c r="A18" s="4">
        <f>A17</f>
        <v>44882</v>
      </c>
      <c r="B18" s="5" t="s">
        <v>20</v>
      </c>
      <c r="C18" s="11"/>
      <c r="D18" s="7">
        <v>-7.88</v>
      </c>
      <c r="E18" s="8">
        <f>D18</f>
        <v>-7.88</v>
      </c>
      <c r="F18" s="8"/>
    </row>
    <row r="19" spans="1:15">
      <c r="A19" s="4"/>
      <c r="B19" s="5"/>
      <c r="C19" s="11"/>
      <c r="D19" s="7"/>
      <c r="E19" s="8"/>
      <c r="F19" s="8"/>
    </row>
    <row r="20" spans="1:15">
      <c r="A20" s="61" t="s">
        <v>21</v>
      </c>
      <c r="B20" s="61"/>
      <c r="C20" s="61"/>
      <c r="D20" s="8">
        <f>SUM(D14:D19)</f>
        <v>3144.41</v>
      </c>
      <c r="E20" s="8">
        <f>SUM(E14:E19)</f>
        <v>3144.41</v>
      </c>
      <c r="F20" s="8">
        <f>SUM(F14:F19)</f>
        <v>0</v>
      </c>
      <c r="L20" s="8">
        <f>D20</f>
        <v>3144.41</v>
      </c>
      <c r="M20" s="5"/>
      <c r="N20" s="8"/>
      <c r="O20" s="5"/>
    </row>
    <row r="21" spans="1:15">
      <c r="A21" s="1"/>
      <c r="B21" s="1"/>
    </row>
    <row r="22" spans="1:15">
      <c r="A22" s="4" t="s">
        <v>22</v>
      </c>
      <c r="B22" s="53">
        <v>44898</v>
      </c>
      <c r="C22" s="5" t="s">
        <v>39</v>
      </c>
      <c r="D22" s="5" t="s">
        <v>1</v>
      </c>
      <c r="E22" s="6" t="s">
        <v>2</v>
      </c>
      <c r="F22" s="6" t="s">
        <v>3</v>
      </c>
    </row>
    <row r="23" spans="1:15">
      <c r="A23" s="4">
        <v>44854</v>
      </c>
      <c r="B23" s="5" t="s">
        <v>23</v>
      </c>
      <c r="C23" s="5"/>
      <c r="D23" s="7">
        <v>1191.8699999999999</v>
      </c>
      <c r="E23" s="9">
        <f>D23</f>
        <v>1191.8699999999999</v>
      </c>
      <c r="F23" s="10"/>
    </row>
    <row r="24" spans="1:15">
      <c r="A24" s="4">
        <v>44870</v>
      </c>
      <c r="B24" s="5" t="s">
        <v>175</v>
      </c>
      <c r="C24" s="11" t="s">
        <v>12</v>
      </c>
      <c r="D24" s="7">
        <v>2760.7</v>
      </c>
      <c r="E24" s="9">
        <f>D24</f>
        <v>2760.7</v>
      </c>
      <c r="F24" s="10"/>
      <c r="H24" s="3"/>
    </row>
    <row r="25" spans="1:15">
      <c r="A25" s="4">
        <v>44870</v>
      </c>
      <c r="B25" s="5" t="s">
        <v>176</v>
      </c>
      <c r="C25" s="11"/>
      <c r="D25" s="7">
        <v>204.29</v>
      </c>
      <c r="E25" s="8">
        <f>D25</f>
        <v>204.29</v>
      </c>
      <c r="F25" s="8"/>
      <c r="H25" s="3"/>
    </row>
    <row r="26" spans="1:15">
      <c r="A26" s="4"/>
      <c r="B26" s="5"/>
      <c r="C26" s="11"/>
      <c r="D26" s="7"/>
      <c r="E26" s="8"/>
      <c r="F26" s="8"/>
    </row>
    <row r="27" spans="1:15">
      <c r="A27" s="4"/>
      <c r="B27" s="5"/>
      <c r="C27" s="11"/>
      <c r="D27" s="7"/>
      <c r="E27" s="8"/>
      <c r="F27" s="8"/>
    </row>
    <row r="28" spans="1:15">
      <c r="A28" s="61" t="s">
        <v>27</v>
      </c>
      <c r="B28" s="61"/>
      <c r="C28" s="61"/>
      <c r="D28" s="8">
        <f>SUM(D23:D27)</f>
        <v>4156.8599999999997</v>
      </c>
      <c r="E28" s="8">
        <f>SUM(E23:E27)</f>
        <v>4156.8599999999997</v>
      </c>
      <c r="F28" s="8">
        <f>SUM(F23:F27)</f>
        <v>0</v>
      </c>
      <c r="O28" s="8">
        <f>D28</f>
        <v>4156.8599999999997</v>
      </c>
    </row>
    <row r="30" spans="1:15">
      <c r="A30" s="4" t="s">
        <v>28</v>
      </c>
      <c r="B30" s="53">
        <v>44897</v>
      </c>
      <c r="C30" s="5" t="s">
        <v>52</v>
      </c>
      <c r="D30" s="5" t="s">
        <v>1</v>
      </c>
      <c r="E30" s="6" t="s">
        <v>2</v>
      </c>
      <c r="F30" s="6" t="s">
        <v>3</v>
      </c>
    </row>
    <row r="31" spans="1:15">
      <c r="A31" s="4">
        <v>44847</v>
      </c>
      <c r="B31" s="5" t="s">
        <v>166</v>
      </c>
      <c r="C31" s="5"/>
      <c r="D31" s="24">
        <v>490.75</v>
      </c>
      <c r="E31" s="9">
        <f>D31/2</f>
        <v>245.375</v>
      </c>
      <c r="F31" s="10">
        <f>E31</f>
        <v>245.375</v>
      </c>
    </row>
    <row r="32" spans="1:15">
      <c r="A32" s="4">
        <v>44847</v>
      </c>
      <c r="B32" s="5" t="s">
        <v>186</v>
      </c>
      <c r="C32" s="5"/>
      <c r="D32" s="7">
        <v>1200</v>
      </c>
      <c r="E32" s="9">
        <f>D32</f>
        <v>1200</v>
      </c>
      <c r="F32" s="10"/>
    </row>
    <row r="33" spans="1:15">
      <c r="A33" s="4">
        <v>44864</v>
      </c>
      <c r="B33" s="5" t="s">
        <v>187</v>
      </c>
      <c r="C33" s="11"/>
      <c r="D33" s="24">
        <v>1941.25</v>
      </c>
      <c r="E33" s="8">
        <f>D33/2</f>
        <v>970.625</v>
      </c>
      <c r="F33" s="8">
        <f>E33</f>
        <v>970.625</v>
      </c>
    </row>
    <row r="34" spans="1:15">
      <c r="A34" s="4">
        <v>44865</v>
      </c>
      <c r="B34" s="5" t="s">
        <v>188</v>
      </c>
      <c r="C34" s="11"/>
      <c r="D34" s="7">
        <v>214</v>
      </c>
      <c r="E34" s="8">
        <f>D34</f>
        <v>214</v>
      </c>
      <c r="F34" s="8"/>
    </row>
    <row r="35" spans="1:15">
      <c r="A35" s="4"/>
      <c r="B35" s="5"/>
      <c r="C35" s="11"/>
      <c r="D35" s="7"/>
      <c r="E35" s="8"/>
      <c r="F35" s="8"/>
    </row>
    <row r="36" spans="1:15">
      <c r="A36" s="61" t="s">
        <v>31</v>
      </c>
      <c r="B36" s="61"/>
      <c r="C36" s="61"/>
      <c r="D36" s="8">
        <f>SUM(D31:D35)</f>
        <v>3846</v>
      </c>
      <c r="E36" s="8">
        <f>SUM(E31:E35)</f>
        <v>2630</v>
      </c>
      <c r="F36" s="8">
        <f>SUM(F31:F35)</f>
        <v>1216</v>
      </c>
      <c r="L36" s="8">
        <f>D36</f>
        <v>3846</v>
      </c>
      <c r="M36" s="5"/>
      <c r="N36" s="8"/>
      <c r="O36" s="8"/>
    </row>
    <row r="38" spans="1:15">
      <c r="A38" s="4" t="s">
        <v>54</v>
      </c>
      <c r="B38" s="53">
        <v>44896</v>
      </c>
      <c r="C38" s="5" t="s">
        <v>55</v>
      </c>
      <c r="D38" s="5" t="s">
        <v>1</v>
      </c>
      <c r="E38" s="6" t="s">
        <v>2</v>
      </c>
      <c r="F38" s="6" t="s">
        <v>3</v>
      </c>
      <c r="H38" t="s">
        <v>116</v>
      </c>
      <c r="I38" t="s">
        <v>117</v>
      </c>
    </row>
    <row r="39" spans="1:15">
      <c r="A39" s="4">
        <v>44872</v>
      </c>
      <c r="B39" s="5" t="s">
        <v>118</v>
      </c>
      <c r="C39" s="11" t="s">
        <v>189</v>
      </c>
      <c r="D39" s="7">
        <v>1094.03</v>
      </c>
      <c r="E39" s="9"/>
      <c r="F39" s="10"/>
      <c r="H39" s="2"/>
      <c r="I39" s="3"/>
      <c r="J39" s="2"/>
      <c r="K39" s="3"/>
    </row>
    <row r="40" spans="1:15">
      <c r="A40" s="4">
        <f>A39</f>
        <v>44872</v>
      </c>
      <c r="B40" s="5" t="s">
        <v>120</v>
      </c>
      <c r="C40" s="11" t="s">
        <v>190</v>
      </c>
      <c r="D40" s="7">
        <v>1390.12</v>
      </c>
      <c r="E40" s="9">
        <f>D40</f>
        <v>1390.12</v>
      </c>
      <c r="F40" s="10"/>
      <c r="H40" s="2">
        <v>33363</v>
      </c>
      <c r="I40" s="3">
        <f>H40/24</f>
        <v>1390.125</v>
      </c>
    </row>
    <row r="41" spans="1:15">
      <c r="A41" s="4">
        <f>A40</f>
        <v>44872</v>
      </c>
      <c r="B41" s="5" t="s">
        <v>122</v>
      </c>
      <c r="C41" s="11" t="s">
        <v>179</v>
      </c>
      <c r="D41" s="7">
        <f>I41</f>
        <v>412.5</v>
      </c>
      <c r="E41" s="9">
        <f>D41</f>
        <v>412.5</v>
      </c>
      <c r="F41" s="10"/>
      <c r="H41" s="2">
        <v>9900</v>
      </c>
      <c r="I41" s="3">
        <f>H41/24</f>
        <v>412.5</v>
      </c>
    </row>
    <row r="42" spans="1:15">
      <c r="A42" s="4">
        <f>A41</f>
        <v>44872</v>
      </c>
      <c r="B42" s="5" t="s">
        <v>123</v>
      </c>
      <c r="C42" s="11" t="str">
        <f>C41</f>
        <v>006/024</v>
      </c>
      <c r="D42" s="7">
        <f>I42-3.75</f>
        <v>183.33333333333334</v>
      </c>
      <c r="E42" s="9">
        <f>D42</f>
        <v>183.33333333333334</v>
      </c>
      <c r="F42" s="8"/>
      <c r="H42" s="2">
        <v>4490</v>
      </c>
      <c r="I42" s="3">
        <f>H42/24</f>
        <v>187.08333333333334</v>
      </c>
    </row>
    <row r="43" spans="1:15">
      <c r="A43" s="4">
        <f>A42</f>
        <v>44872</v>
      </c>
      <c r="B43" s="5" t="s">
        <v>124</v>
      </c>
      <c r="C43" s="11" t="str">
        <f>C42</f>
        <v>006/024</v>
      </c>
      <c r="D43" s="7">
        <v>1378.75</v>
      </c>
      <c r="E43" s="8"/>
      <c r="F43" s="8"/>
      <c r="H43" s="2">
        <v>33090</v>
      </c>
      <c r="I43" s="3">
        <f>H43/24</f>
        <v>1378.75</v>
      </c>
    </row>
    <row r="44" spans="1:15">
      <c r="A44" s="4"/>
      <c r="B44" s="5" t="s">
        <v>20</v>
      </c>
      <c r="C44" s="11"/>
      <c r="D44" s="7"/>
      <c r="E44" s="8"/>
      <c r="F44" s="8"/>
      <c r="H44" s="3"/>
      <c r="I44" s="3"/>
    </row>
    <row r="45" spans="1:15">
      <c r="A45" s="4"/>
      <c r="B45" s="5"/>
      <c r="C45" s="11"/>
      <c r="D45" s="7"/>
      <c r="E45" s="8"/>
      <c r="F45" s="8"/>
    </row>
    <row r="46" spans="1:15">
      <c r="A46" s="61" t="s">
        <v>56</v>
      </c>
      <c r="B46" s="61"/>
      <c r="C46" s="61"/>
      <c r="D46" s="8">
        <f>SUM(D39:D45)</f>
        <v>4458.7333333333336</v>
      </c>
      <c r="E46" s="8">
        <f>SUM(E39:E45)</f>
        <v>1985.9533333333331</v>
      </c>
      <c r="F46" s="8">
        <f>SUM(F39:F45)</f>
        <v>0</v>
      </c>
      <c r="O46" s="8">
        <f>E46</f>
        <v>1985.9533333333331</v>
      </c>
    </row>
    <row r="48" spans="1:15">
      <c r="A48" s="4" t="s">
        <v>92</v>
      </c>
      <c r="B48" s="53">
        <f>B38</f>
        <v>44896</v>
      </c>
      <c r="C48" s="5"/>
      <c r="D48" s="5" t="s">
        <v>1</v>
      </c>
      <c r="E48" s="6" t="s">
        <v>2</v>
      </c>
      <c r="F48" s="6" t="s">
        <v>3</v>
      </c>
    </row>
    <row r="49" spans="1:15">
      <c r="A49" s="4">
        <v>44890</v>
      </c>
      <c r="B49" s="5" t="s">
        <v>157</v>
      </c>
      <c r="C49" s="11" t="s">
        <v>44</v>
      </c>
      <c r="D49" s="7">
        <v>214.67</v>
      </c>
      <c r="E49" s="7">
        <v>214.67</v>
      </c>
      <c r="F49" s="10"/>
    </row>
    <row r="50" spans="1:15">
      <c r="A50" s="4">
        <v>44890</v>
      </c>
      <c r="B50" s="5" t="s">
        <v>191</v>
      </c>
      <c r="C50" s="11" t="s">
        <v>158</v>
      </c>
      <c r="D50" s="7">
        <v>619.33000000000004</v>
      </c>
      <c r="E50" s="7">
        <v>619.33000000000004</v>
      </c>
      <c r="F50" s="10"/>
    </row>
    <row r="51" spans="1:15">
      <c r="A51" s="4"/>
      <c r="C51" s="11"/>
      <c r="D51" s="7"/>
      <c r="E51" s="8"/>
      <c r="F51" s="8"/>
    </row>
    <row r="52" spans="1:15">
      <c r="A52" s="4"/>
      <c r="B52" s="5"/>
      <c r="C52" s="11"/>
      <c r="D52" s="7"/>
      <c r="E52" s="8"/>
      <c r="F52" s="8"/>
    </row>
    <row r="53" spans="1:15">
      <c r="A53" s="4"/>
      <c r="B53" s="5"/>
      <c r="C53" s="11"/>
      <c r="D53" s="7"/>
      <c r="E53" s="8"/>
      <c r="F53" s="8"/>
    </row>
    <row r="54" spans="1:15">
      <c r="A54" s="61" t="s">
        <v>60</v>
      </c>
      <c r="B54" s="61"/>
      <c r="C54" s="61"/>
      <c r="D54" s="8">
        <f>SUM(D49:D53)</f>
        <v>834</v>
      </c>
      <c r="E54" s="8">
        <f>SUM(E49:E53)</f>
        <v>834</v>
      </c>
      <c r="F54" s="8">
        <f>SUM(F49:F53)</f>
        <v>0</v>
      </c>
      <c r="L54" s="5"/>
      <c r="M54" s="5"/>
      <c r="N54" s="8"/>
      <c r="O54" s="8">
        <f>E54</f>
        <v>834</v>
      </c>
    </row>
    <row r="56" spans="1:15">
      <c r="A56" s="4" t="s">
        <v>171</v>
      </c>
      <c r="B56" s="53">
        <v>44896</v>
      </c>
      <c r="C56" s="5" t="s">
        <v>192</v>
      </c>
      <c r="D56" s="5" t="s">
        <v>1</v>
      </c>
      <c r="E56" s="6" t="s">
        <v>2</v>
      </c>
      <c r="F56" s="6" t="s">
        <v>3</v>
      </c>
    </row>
    <row r="57" spans="1:15">
      <c r="A57" s="4">
        <v>44852</v>
      </c>
      <c r="B57" s="5" t="s">
        <v>193</v>
      </c>
      <c r="C57" s="11"/>
      <c r="D57" s="7">
        <v>200</v>
      </c>
      <c r="E57" s="9">
        <v>200</v>
      </c>
      <c r="F57" s="10"/>
    </row>
    <row r="58" spans="1:15">
      <c r="A58" s="4">
        <v>44861</v>
      </c>
      <c r="B58" s="35" t="s">
        <v>194</v>
      </c>
      <c r="C58" s="5"/>
      <c r="D58" s="7">
        <v>229</v>
      </c>
      <c r="E58" s="9">
        <f>D58</f>
        <v>229</v>
      </c>
      <c r="F58" s="10"/>
    </row>
    <row r="59" spans="1:15">
      <c r="A59" s="4"/>
      <c r="B59" s="5"/>
      <c r="C59" s="11"/>
      <c r="D59" s="7"/>
      <c r="E59" s="9"/>
      <c r="F59" s="8"/>
    </row>
    <row r="60" spans="1:15">
      <c r="A60" s="4"/>
      <c r="B60" s="5"/>
      <c r="C60" s="11"/>
      <c r="D60" s="7"/>
      <c r="E60" s="8"/>
      <c r="F60" s="8"/>
    </row>
    <row r="61" spans="1:15">
      <c r="A61" s="4"/>
      <c r="B61" s="5"/>
      <c r="C61" s="11"/>
      <c r="D61" s="7"/>
      <c r="E61" s="8"/>
      <c r="F61" s="8"/>
    </row>
    <row r="62" spans="1:15">
      <c r="A62" s="61" t="s">
        <v>60</v>
      </c>
      <c r="B62" s="61"/>
      <c r="C62" s="61"/>
      <c r="D62" s="8">
        <f>SUM(D57:D61)</f>
        <v>429</v>
      </c>
      <c r="E62" s="8">
        <f>SUM(E57:E61)</f>
        <v>429</v>
      </c>
      <c r="F62" s="8">
        <f>SUM(F57:F61)</f>
        <v>0</v>
      </c>
      <c r="L62" s="5"/>
      <c r="M62" s="5"/>
      <c r="N62" s="8"/>
      <c r="O62" s="8">
        <f>E62</f>
        <v>429</v>
      </c>
    </row>
    <row r="64" spans="1:15">
      <c r="A64" s="4" t="s">
        <v>32</v>
      </c>
      <c r="B64" s="53">
        <v>44917</v>
      </c>
      <c r="C64" s="5" t="s">
        <v>61</v>
      </c>
      <c r="D64" s="5" t="s">
        <v>1</v>
      </c>
      <c r="E64" s="6" t="s">
        <v>2</v>
      </c>
      <c r="F64" s="6" t="s">
        <v>3</v>
      </c>
    </row>
    <row r="65" spans="1:15">
      <c r="A65" s="4">
        <v>44868</v>
      </c>
      <c r="B65" s="5" t="s">
        <v>160</v>
      </c>
      <c r="C65" s="5"/>
      <c r="D65" s="7">
        <v>419</v>
      </c>
      <c r="E65" s="9">
        <f>D65</f>
        <v>419</v>
      </c>
      <c r="F65" s="10"/>
    </row>
    <row r="66" spans="1:15">
      <c r="A66" s="4">
        <v>44871</v>
      </c>
      <c r="B66" s="5" t="s">
        <v>195</v>
      </c>
      <c r="C66" s="5"/>
      <c r="D66" s="7">
        <v>1119.22</v>
      </c>
      <c r="E66" s="9">
        <f>D66/2</f>
        <v>559.61</v>
      </c>
      <c r="F66" s="10">
        <f>E66</f>
        <v>559.61</v>
      </c>
    </row>
    <row r="67" spans="1:15">
      <c r="A67" s="4"/>
      <c r="B67" s="5"/>
      <c r="C67" s="5"/>
      <c r="D67" s="7"/>
      <c r="E67" s="9"/>
      <c r="F67" s="10"/>
    </row>
    <row r="68" spans="1:15">
      <c r="A68" s="4"/>
      <c r="C68" s="11"/>
      <c r="D68" s="7"/>
      <c r="E68" s="8"/>
      <c r="F68" s="8"/>
    </row>
    <row r="69" spans="1:15">
      <c r="A69" s="4"/>
      <c r="B69" s="5"/>
      <c r="C69" s="11"/>
      <c r="D69" s="7"/>
      <c r="E69" s="8"/>
      <c r="F69" s="8"/>
    </row>
    <row r="70" spans="1:15">
      <c r="A70" s="4"/>
      <c r="B70" s="5"/>
      <c r="C70" s="11"/>
      <c r="D70" s="7"/>
      <c r="E70" s="8"/>
      <c r="F70" s="8"/>
    </row>
    <row r="71" spans="1:15">
      <c r="A71" s="4"/>
      <c r="B71" s="5"/>
      <c r="C71" s="11"/>
      <c r="D71" s="7"/>
      <c r="E71" s="8"/>
      <c r="F71" s="8"/>
    </row>
    <row r="72" spans="1:15">
      <c r="A72" s="61" t="s">
        <v>38</v>
      </c>
      <c r="B72" s="61"/>
      <c r="C72" s="61"/>
      <c r="D72" s="8">
        <f>SUM(D65:D71)</f>
        <v>1538.22</v>
      </c>
      <c r="E72" s="8">
        <f>SUM(E65:E71)</f>
        <v>978.61</v>
      </c>
      <c r="F72" s="8">
        <f>SUM(F65:F71)</f>
        <v>559.61</v>
      </c>
      <c r="L72" s="5"/>
      <c r="M72" s="5"/>
      <c r="N72" s="8">
        <f>D72</f>
        <v>1538.22</v>
      </c>
      <c r="O72" s="5"/>
    </row>
    <row r="74" spans="1:15">
      <c r="E74" s="3">
        <f>SUM(E72,E36,E28,E20,E11,E46,E54,E62)</f>
        <v>17773.633333333331</v>
      </c>
      <c r="F74" s="3">
        <f>SUM(F72,F36,F28,F20,F11,F46,F54,F62)</f>
        <v>2193.61</v>
      </c>
    </row>
    <row r="75" spans="1:15">
      <c r="A75" s="4" t="s">
        <v>148</v>
      </c>
      <c r="B75" s="53">
        <v>44795</v>
      </c>
      <c r="C75" s="5" t="s">
        <v>61</v>
      </c>
      <c r="D75" s="5" t="s">
        <v>1</v>
      </c>
      <c r="E75" s="6" t="s">
        <v>2</v>
      </c>
      <c r="F75" s="6" t="s">
        <v>3</v>
      </c>
    </row>
    <row r="76" spans="1:15">
      <c r="A76" s="4">
        <v>44774</v>
      </c>
      <c r="B76" s="5" t="s">
        <v>149</v>
      </c>
      <c r="C76" s="5" t="s">
        <v>77</v>
      </c>
      <c r="D76" s="7">
        <v>9000</v>
      </c>
      <c r="E76" s="9">
        <f>D76/10</f>
        <v>900</v>
      </c>
      <c r="F76" s="10"/>
    </row>
    <row r="77" spans="1:15">
      <c r="A77" s="4"/>
      <c r="B77" s="5"/>
      <c r="C77" s="5"/>
      <c r="D77" s="7"/>
      <c r="E77" s="9"/>
      <c r="F77" s="10"/>
    </row>
    <row r="78" spans="1:15">
      <c r="A78" s="4"/>
      <c r="B78" s="5"/>
      <c r="C78" s="5"/>
      <c r="D78" s="7"/>
      <c r="E78" s="9"/>
      <c r="F78" s="10"/>
    </row>
    <row r="79" spans="1:15">
      <c r="A79" s="61" t="s">
        <v>150</v>
      </c>
      <c r="B79" s="61"/>
      <c r="C79" s="61"/>
      <c r="D79" s="8">
        <f>SUM(D76:D78)</f>
        <v>9000</v>
      </c>
      <c r="E79" s="29">
        <f>SUM(E76:E78)</f>
        <v>900</v>
      </c>
      <c r="F79" s="8">
        <f>SUM(F76:F78)</f>
        <v>0</v>
      </c>
      <c r="L79" s="5"/>
      <c r="M79" s="5"/>
      <c r="N79" s="8"/>
      <c r="O79" s="8">
        <f>E79</f>
        <v>900</v>
      </c>
    </row>
    <row r="80" spans="1:15">
      <c r="L80" s="5"/>
      <c r="M80" s="5"/>
      <c r="N80" s="5"/>
      <c r="O80" s="5"/>
    </row>
    <row r="81" spans="12:15">
      <c r="L81" s="7">
        <f>SUM(L2:L80)</f>
        <v>6990.41</v>
      </c>
      <c r="M81" s="7">
        <f>SUM(M2:M80)</f>
        <v>0</v>
      </c>
      <c r="N81" s="7">
        <f>SUM(N2:N80)</f>
        <v>5571.0199999999995</v>
      </c>
      <c r="O81" s="7">
        <f>SUM(O3:O80)</f>
        <v>8305.8133333333317</v>
      </c>
    </row>
    <row r="82" spans="12:15">
      <c r="L82" s="5" t="s">
        <v>69</v>
      </c>
      <c r="M82" s="5" t="s">
        <v>70</v>
      </c>
      <c r="N82" s="5" t="s">
        <v>71</v>
      </c>
      <c r="O82" s="5" t="s">
        <v>139</v>
      </c>
    </row>
    <row r="83" spans="12:15">
      <c r="O83" s="3">
        <f>SUM(L81:O81)</f>
        <v>20867.243333333332</v>
      </c>
    </row>
  </sheetData>
  <mergeCells count="9">
    <mergeCell ref="A79:C79"/>
    <mergeCell ref="A72:C72"/>
    <mergeCell ref="A11:C11"/>
    <mergeCell ref="A20:C20"/>
    <mergeCell ref="A28:C28"/>
    <mergeCell ref="A36:C36"/>
    <mergeCell ref="A46:C46"/>
    <mergeCell ref="A54:C54"/>
    <mergeCell ref="A62:C6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9A277-6B4E-4D08-A739-CA3542EF6596}">
  <dimension ref="A1:BX83"/>
  <sheetViews>
    <sheetView topLeftCell="A55" workbookViewId="0">
      <selection activeCell="B70" sqref="B70"/>
    </sheetView>
  </sheetViews>
  <sheetFormatPr baseColWidth="10" defaultColWidth="8.83203125" defaultRowHeight="15"/>
  <cols>
    <col min="1" max="1" width="16.5" bestFit="1" customWidth="1"/>
    <col min="2" max="2" width="35" bestFit="1" customWidth="1"/>
    <col min="3" max="3" width="9.33203125" customWidth="1"/>
    <col min="4" max="4" width="10.5" bestFit="1" customWidth="1"/>
    <col min="5" max="5" width="10.5" customWidth="1"/>
    <col min="6" max="6" width="10" customWidth="1"/>
    <col min="7" max="7" width="9.1640625" bestFit="1" customWidth="1"/>
    <col min="8" max="8" width="10.1640625" bestFit="1" customWidth="1"/>
    <col min="9" max="9" width="9.5" bestFit="1" customWidth="1"/>
    <col min="10" max="10" width="9.1640625" bestFit="1" customWidth="1"/>
    <col min="12" max="12" width="12.6640625" customWidth="1"/>
    <col min="13" max="13" width="13" customWidth="1"/>
    <col min="14" max="14" width="12.6640625" customWidth="1"/>
    <col min="15" max="15" width="12" customWidth="1"/>
  </cols>
  <sheetData>
    <row r="1" spans="1:76">
      <c r="A1" s="1"/>
      <c r="B1" s="1"/>
      <c r="U1" s="1"/>
      <c r="V1" s="1"/>
      <c r="AQ1" s="1"/>
      <c r="AR1" s="1"/>
      <c r="BG1" s="1"/>
      <c r="BH1" s="1"/>
      <c r="BW1" s="1"/>
      <c r="BX1" s="1"/>
    </row>
    <row r="2" spans="1:76">
      <c r="A2" s="4" t="s">
        <v>0</v>
      </c>
      <c r="B2" s="53">
        <v>44934</v>
      </c>
      <c r="C2" s="5" t="s">
        <v>39</v>
      </c>
      <c r="D2" s="5" t="s">
        <v>1</v>
      </c>
      <c r="E2" s="6" t="s">
        <v>2</v>
      </c>
      <c r="F2" s="6" t="s">
        <v>3</v>
      </c>
      <c r="H2" t="s">
        <v>4</v>
      </c>
      <c r="I2" t="s">
        <v>5</v>
      </c>
      <c r="J2" t="s">
        <v>6</v>
      </c>
      <c r="L2" s="5" t="s">
        <v>69</v>
      </c>
      <c r="M2" s="5" t="s">
        <v>70</v>
      </c>
      <c r="N2" s="5" t="s">
        <v>71</v>
      </c>
      <c r="O2" s="5" t="s">
        <v>139</v>
      </c>
    </row>
    <row r="3" spans="1:76">
      <c r="A3" s="4">
        <v>44913</v>
      </c>
      <c r="B3" s="5" t="s">
        <v>78</v>
      </c>
      <c r="C3" s="5" t="s">
        <v>51</v>
      </c>
      <c r="D3" s="7">
        <f>14082/10</f>
        <v>1408.2</v>
      </c>
      <c r="E3" s="7">
        <f>D3</f>
        <v>1408.2</v>
      </c>
      <c r="F3" s="8"/>
    </row>
    <row r="4" spans="1:76">
      <c r="A4" s="4"/>
      <c r="B4" s="5"/>
      <c r="C4" s="5"/>
      <c r="D4" s="7"/>
      <c r="E4" s="7"/>
      <c r="F4" s="8"/>
    </row>
    <row r="5" spans="1:76">
      <c r="A5" s="4"/>
      <c r="B5" s="4"/>
      <c r="C5" s="5"/>
      <c r="D5" s="7"/>
      <c r="E5" s="9"/>
      <c r="F5" s="10"/>
    </row>
    <row r="6" spans="1:76">
      <c r="A6" s="4"/>
      <c r="B6" s="4"/>
      <c r="C6" s="5"/>
      <c r="D6" s="7"/>
      <c r="E6" s="8"/>
      <c r="F6" s="8"/>
    </row>
    <row r="7" spans="1:76">
      <c r="A7" s="4"/>
      <c r="B7" s="5"/>
      <c r="C7" s="5"/>
      <c r="D7" s="7"/>
      <c r="E7" s="7"/>
      <c r="F7" s="8"/>
    </row>
    <row r="8" spans="1:76">
      <c r="A8" s="4"/>
      <c r="B8" s="5"/>
      <c r="C8" s="5"/>
      <c r="D8" s="7"/>
      <c r="E8" s="7"/>
      <c r="F8" s="8"/>
      <c r="G8" s="2"/>
      <c r="H8" s="2"/>
      <c r="I8" s="3"/>
      <c r="J8" s="3"/>
    </row>
    <row r="9" spans="1:76">
      <c r="A9" s="4"/>
      <c r="B9" s="5"/>
      <c r="C9" s="5"/>
      <c r="D9" s="7"/>
      <c r="E9" s="7"/>
      <c r="F9" s="7"/>
      <c r="G9" s="2"/>
      <c r="H9" s="2"/>
      <c r="I9" s="3"/>
      <c r="J9" s="3"/>
    </row>
    <row r="10" spans="1:76">
      <c r="A10" s="4"/>
      <c r="B10" s="5"/>
      <c r="C10" s="5"/>
      <c r="D10" s="7"/>
      <c r="E10" s="7"/>
      <c r="F10" s="7"/>
      <c r="G10" s="2"/>
      <c r="H10" s="2"/>
      <c r="I10" s="3"/>
      <c r="J10" s="3"/>
    </row>
    <row r="11" spans="1:76">
      <c r="A11" s="61" t="s">
        <v>16</v>
      </c>
      <c r="B11" s="61"/>
      <c r="C11" s="61"/>
      <c r="D11" s="8">
        <f>SUM(D3:D10)</f>
        <v>1408.2</v>
      </c>
      <c r="E11" s="8">
        <f>SUM(E3:E10)</f>
        <v>1408.2</v>
      </c>
      <c r="F11" s="8">
        <f>SUM(F3:F10)</f>
        <v>0</v>
      </c>
      <c r="L11" s="5"/>
      <c r="M11" s="5"/>
      <c r="N11" s="8">
        <f>D11</f>
        <v>1408.2</v>
      </c>
      <c r="O11" s="5"/>
    </row>
    <row r="13" spans="1:76">
      <c r="A13" s="4" t="s">
        <v>17</v>
      </c>
      <c r="B13" s="53">
        <v>44928</v>
      </c>
      <c r="C13" s="5" t="s">
        <v>47</v>
      </c>
      <c r="D13" s="5" t="s">
        <v>1</v>
      </c>
      <c r="E13" s="6" t="s">
        <v>2</v>
      </c>
      <c r="F13" s="6" t="s">
        <v>3</v>
      </c>
    </row>
    <row r="14" spans="1:76">
      <c r="A14" s="4">
        <v>44885</v>
      </c>
      <c r="B14" s="5" t="s">
        <v>48</v>
      </c>
      <c r="C14" s="5"/>
      <c r="D14" s="7">
        <v>854.93</v>
      </c>
      <c r="E14" s="9">
        <f>D14</f>
        <v>854.93</v>
      </c>
      <c r="F14" s="10"/>
    </row>
    <row r="15" spans="1:76">
      <c r="A15" s="4">
        <v>44885</v>
      </c>
      <c r="B15" s="5" t="s">
        <v>49</v>
      </c>
      <c r="C15" s="5"/>
      <c r="D15" s="7">
        <v>1603.93</v>
      </c>
      <c r="E15" s="9">
        <f>D15</f>
        <v>1603.93</v>
      </c>
      <c r="F15" s="10"/>
    </row>
    <row r="16" spans="1:76">
      <c r="A16" s="4">
        <v>44883</v>
      </c>
      <c r="B16" s="5" t="s">
        <v>81</v>
      </c>
      <c r="C16" s="5"/>
      <c r="D16" s="7">
        <v>373.43</v>
      </c>
      <c r="E16" s="9">
        <f>D16</f>
        <v>373.43</v>
      </c>
      <c r="F16" s="10"/>
    </row>
    <row r="17" spans="1:15">
      <c r="A17" s="4"/>
      <c r="B17" s="5"/>
      <c r="C17" s="11"/>
      <c r="D17" s="7"/>
      <c r="E17" s="8"/>
      <c r="F17" s="8"/>
    </row>
    <row r="18" spans="1:15">
      <c r="A18" s="4">
        <f>A16</f>
        <v>44883</v>
      </c>
      <c r="B18" s="5" t="s">
        <v>20</v>
      </c>
      <c r="C18" s="11"/>
      <c r="D18" s="7"/>
      <c r="E18" s="8">
        <f>D18</f>
        <v>0</v>
      </c>
      <c r="F18" s="8"/>
    </row>
    <row r="19" spans="1:15">
      <c r="A19" s="4"/>
      <c r="B19" s="5"/>
      <c r="C19" s="11"/>
      <c r="D19" s="7"/>
      <c r="E19" s="8"/>
      <c r="F19" s="8"/>
    </row>
    <row r="20" spans="1:15">
      <c r="A20" s="61" t="s">
        <v>21</v>
      </c>
      <c r="B20" s="61"/>
      <c r="C20" s="61"/>
      <c r="D20" s="8">
        <f>SUM(D14:D19)</f>
        <v>2832.29</v>
      </c>
      <c r="E20" s="8">
        <f>SUM(E14:E19)</f>
        <v>2832.29</v>
      </c>
      <c r="F20" s="8">
        <f>SUM(F14:F19)</f>
        <v>0</v>
      </c>
      <c r="L20" s="8">
        <f>D20</f>
        <v>2832.29</v>
      </c>
      <c r="M20" s="5"/>
      <c r="N20" s="8"/>
      <c r="O20" s="5"/>
    </row>
    <row r="21" spans="1:15">
      <c r="A21" s="1"/>
      <c r="B21" s="1"/>
    </row>
    <row r="22" spans="1:15">
      <c r="A22" s="4" t="s">
        <v>22</v>
      </c>
      <c r="B22" s="53">
        <v>44929</v>
      </c>
      <c r="C22" s="5" t="s">
        <v>39</v>
      </c>
      <c r="D22" s="5" t="s">
        <v>1</v>
      </c>
      <c r="E22" s="6" t="s">
        <v>2</v>
      </c>
      <c r="F22" s="6" t="s">
        <v>3</v>
      </c>
    </row>
    <row r="23" spans="1:15">
      <c r="A23" s="4">
        <v>44885</v>
      </c>
      <c r="B23" s="5" t="s">
        <v>23</v>
      </c>
      <c r="C23" s="5"/>
      <c r="D23" s="7">
        <v>1191.8699999999999</v>
      </c>
      <c r="E23" s="9">
        <f>D23</f>
        <v>1191.8699999999999</v>
      </c>
      <c r="F23" s="10"/>
    </row>
    <row r="24" spans="1:15">
      <c r="A24" s="4">
        <v>44900</v>
      </c>
      <c r="B24" s="5" t="s">
        <v>175</v>
      </c>
      <c r="C24" s="11" t="s">
        <v>45</v>
      </c>
      <c r="D24" s="7">
        <v>2760.7</v>
      </c>
      <c r="E24" s="9">
        <f>D24</f>
        <v>2760.7</v>
      </c>
      <c r="F24" s="10"/>
      <c r="H24" s="3"/>
    </row>
    <row r="25" spans="1:15">
      <c r="A25" s="4">
        <f>A24</f>
        <v>44900</v>
      </c>
      <c r="B25" s="5" t="s">
        <v>176</v>
      </c>
      <c r="C25" s="11"/>
      <c r="D25" s="7">
        <v>204.29</v>
      </c>
      <c r="E25" s="8">
        <f>D25</f>
        <v>204.29</v>
      </c>
      <c r="F25" s="8"/>
      <c r="H25" s="3"/>
    </row>
    <row r="26" spans="1:15">
      <c r="A26" s="4"/>
      <c r="B26" s="5"/>
      <c r="C26" s="11"/>
      <c r="D26" s="7"/>
      <c r="E26" s="8"/>
      <c r="F26" s="8"/>
    </row>
    <row r="27" spans="1:15">
      <c r="A27" s="4"/>
      <c r="B27" s="5"/>
      <c r="C27" s="11"/>
      <c r="D27" s="7"/>
      <c r="E27" s="8"/>
      <c r="F27" s="8"/>
    </row>
    <row r="28" spans="1:15">
      <c r="A28" s="61" t="s">
        <v>27</v>
      </c>
      <c r="B28" s="61"/>
      <c r="C28" s="61"/>
      <c r="D28" s="8">
        <f>SUM(D23:D27)</f>
        <v>4156.8599999999997</v>
      </c>
      <c r="E28" s="8">
        <f>SUM(E23:E27)</f>
        <v>4156.8599999999997</v>
      </c>
      <c r="F28" s="8">
        <f>SUM(F23:F27)</f>
        <v>0</v>
      </c>
      <c r="O28" s="8">
        <f>D28</f>
        <v>4156.8599999999997</v>
      </c>
    </row>
    <row r="30" spans="1:15">
      <c r="A30" s="4" t="s">
        <v>28</v>
      </c>
      <c r="B30" s="53">
        <f>B13</f>
        <v>44928</v>
      </c>
      <c r="C30" s="5" t="s">
        <v>52</v>
      </c>
      <c r="D30" s="5" t="s">
        <v>1</v>
      </c>
      <c r="E30" s="6" t="s">
        <v>2</v>
      </c>
      <c r="F30" s="6" t="s">
        <v>3</v>
      </c>
    </row>
    <row r="31" spans="1:15">
      <c r="A31" s="4">
        <v>44847</v>
      </c>
      <c r="B31" s="5"/>
      <c r="C31" s="5"/>
      <c r="D31" s="7"/>
      <c r="E31" s="9"/>
      <c r="F31" s="10"/>
    </row>
    <row r="32" spans="1:15">
      <c r="A32" s="4"/>
      <c r="B32" s="5"/>
      <c r="C32" s="5"/>
      <c r="D32" s="7"/>
      <c r="E32" s="9"/>
      <c r="F32" s="10"/>
    </row>
    <row r="33" spans="1:15">
      <c r="A33" s="4"/>
      <c r="B33" s="5"/>
      <c r="C33" s="11"/>
      <c r="D33" s="7"/>
      <c r="E33" s="8"/>
      <c r="F33" s="8"/>
    </row>
    <row r="34" spans="1:15">
      <c r="A34" s="4"/>
      <c r="B34" s="5"/>
      <c r="C34" s="11"/>
      <c r="D34" s="7"/>
      <c r="E34" s="8"/>
      <c r="F34" s="8"/>
    </row>
    <row r="35" spans="1:15">
      <c r="A35" s="4"/>
      <c r="B35" s="5"/>
      <c r="C35" s="11"/>
      <c r="D35" s="7"/>
      <c r="E35" s="8"/>
      <c r="F35" s="8"/>
    </row>
    <row r="36" spans="1:15">
      <c r="A36" s="61" t="s">
        <v>31</v>
      </c>
      <c r="B36" s="61"/>
      <c r="C36" s="61"/>
      <c r="D36" s="8">
        <f>SUM(D31:D35)</f>
        <v>0</v>
      </c>
      <c r="E36" s="8">
        <f>SUM(E31:E35)</f>
        <v>0</v>
      </c>
      <c r="F36" s="8">
        <f>SUM(F31:F35)</f>
        <v>0</v>
      </c>
      <c r="L36" s="8">
        <f>D36</f>
        <v>0</v>
      </c>
      <c r="M36" s="5"/>
      <c r="N36" s="8"/>
      <c r="O36" s="8"/>
    </row>
    <row r="38" spans="1:15">
      <c r="A38" s="4" t="s">
        <v>54</v>
      </c>
      <c r="B38" s="53">
        <f>B30</f>
        <v>44928</v>
      </c>
      <c r="C38" s="5" t="s">
        <v>55</v>
      </c>
      <c r="D38" s="5" t="s">
        <v>1</v>
      </c>
      <c r="E38" s="6" t="s">
        <v>2</v>
      </c>
      <c r="F38" s="6" t="s">
        <v>3</v>
      </c>
      <c r="H38" t="s">
        <v>116</v>
      </c>
      <c r="I38" t="s">
        <v>117</v>
      </c>
    </row>
    <row r="39" spans="1:15">
      <c r="A39" s="4">
        <v>44902</v>
      </c>
      <c r="B39" s="5" t="s">
        <v>118</v>
      </c>
      <c r="C39" s="11" t="s">
        <v>196</v>
      </c>
      <c r="D39" s="7">
        <v>1094.03</v>
      </c>
      <c r="E39" s="9"/>
      <c r="F39" s="10"/>
      <c r="H39" s="2"/>
      <c r="I39" s="3"/>
      <c r="J39" s="2"/>
      <c r="K39" s="3"/>
    </row>
    <row r="40" spans="1:15">
      <c r="A40" s="4">
        <f>A39</f>
        <v>44902</v>
      </c>
      <c r="B40" s="5" t="s">
        <v>120</v>
      </c>
      <c r="C40" s="11" t="s">
        <v>197</v>
      </c>
      <c r="D40" s="7">
        <v>1390.12</v>
      </c>
      <c r="E40" s="9">
        <f>D40</f>
        <v>1390.12</v>
      </c>
      <c r="F40" s="10"/>
      <c r="H40" s="2">
        <v>33363</v>
      </c>
      <c r="I40" s="3">
        <f>H40/24</f>
        <v>1390.125</v>
      </c>
    </row>
    <row r="41" spans="1:15">
      <c r="A41" s="4">
        <f>A40</f>
        <v>44902</v>
      </c>
      <c r="B41" s="5" t="s">
        <v>122</v>
      </c>
      <c r="C41" s="11" t="s">
        <v>190</v>
      </c>
      <c r="D41" s="7">
        <f>I41</f>
        <v>416.25</v>
      </c>
      <c r="E41" s="9">
        <f>D41</f>
        <v>416.25</v>
      </c>
      <c r="F41" s="10"/>
      <c r="H41" s="2">
        <v>9990</v>
      </c>
      <c r="I41" s="3">
        <f>H41/24</f>
        <v>416.25</v>
      </c>
    </row>
    <row r="42" spans="1:15">
      <c r="A42" s="4">
        <f>A41</f>
        <v>44902</v>
      </c>
      <c r="B42" s="5" t="s">
        <v>123</v>
      </c>
      <c r="C42" s="11" t="str">
        <f>C41</f>
        <v>007/024</v>
      </c>
      <c r="D42" s="7">
        <f>I42-3.75</f>
        <v>183.33333333333334</v>
      </c>
      <c r="E42" s="9">
        <f>D42</f>
        <v>183.33333333333334</v>
      </c>
      <c r="F42" s="8"/>
      <c r="H42" s="2">
        <v>4490</v>
      </c>
      <c r="I42" s="3">
        <f>H42/24</f>
        <v>187.08333333333334</v>
      </c>
    </row>
    <row r="43" spans="1:15">
      <c r="A43" s="4">
        <f>A42</f>
        <v>44902</v>
      </c>
      <c r="B43" s="5" t="s">
        <v>124</v>
      </c>
      <c r="C43" s="11" t="str">
        <f>C42</f>
        <v>007/024</v>
      </c>
      <c r="D43" s="7">
        <v>1378.75</v>
      </c>
      <c r="E43" s="8"/>
      <c r="F43" s="8"/>
      <c r="H43" s="2">
        <v>33090</v>
      </c>
      <c r="I43" s="3">
        <f>H43/24</f>
        <v>1378.75</v>
      </c>
    </row>
    <row r="44" spans="1:15">
      <c r="A44" s="4"/>
      <c r="B44" s="5" t="s">
        <v>20</v>
      </c>
      <c r="C44" s="11"/>
      <c r="D44" s="7"/>
      <c r="E44" s="8"/>
      <c r="F44" s="8"/>
      <c r="H44" s="3"/>
      <c r="I44" s="3"/>
    </row>
    <row r="45" spans="1:15">
      <c r="A45" s="4"/>
      <c r="B45" s="5"/>
      <c r="C45" s="11"/>
      <c r="D45" s="7"/>
      <c r="E45" s="8"/>
      <c r="F45" s="8"/>
    </row>
    <row r="46" spans="1:15">
      <c r="A46" s="61" t="s">
        <v>56</v>
      </c>
      <c r="B46" s="61"/>
      <c r="C46" s="61"/>
      <c r="D46" s="8">
        <f>SUM(D39:D45)</f>
        <v>4462.4833333333336</v>
      </c>
      <c r="E46" s="8">
        <f>SUM(E39:E45)</f>
        <v>1989.7033333333331</v>
      </c>
      <c r="F46" s="8">
        <f>SUM(F39:F45)</f>
        <v>0</v>
      </c>
      <c r="O46" s="8">
        <f>E46</f>
        <v>1989.7033333333331</v>
      </c>
    </row>
    <row r="48" spans="1:15">
      <c r="A48" s="4" t="s">
        <v>92</v>
      </c>
      <c r="B48" s="53">
        <f>B38</f>
        <v>44928</v>
      </c>
      <c r="C48" s="5"/>
      <c r="D48" s="5" t="s">
        <v>1</v>
      </c>
      <c r="E48" s="6" t="s">
        <v>2</v>
      </c>
      <c r="F48" s="6" t="s">
        <v>3</v>
      </c>
    </row>
    <row r="49" spans="1:15">
      <c r="A49" s="4">
        <v>44920</v>
      </c>
      <c r="B49" s="5" t="s">
        <v>157</v>
      </c>
      <c r="C49" s="11" t="s">
        <v>76</v>
      </c>
      <c r="D49" s="7">
        <v>214.67</v>
      </c>
      <c r="E49" s="7">
        <v>214.67</v>
      </c>
      <c r="F49" s="10"/>
    </row>
    <row r="50" spans="1:15">
      <c r="A50" s="4">
        <f>A49</f>
        <v>44920</v>
      </c>
      <c r="B50" s="5" t="s">
        <v>191</v>
      </c>
      <c r="C50" s="11" t="s">
        <v>169</v>
      </c>
      <c r="D50" s="7">
        <v>619.33000000000004</v>
      </c>
      <c r="E50" s="7">
        <v>619.33000000000004</v>
      </c>
      <c r="F50" s="10"/>
    </row>
    <row r="51" spans="1:15">
      <c r="A51" s="4"/>
      <c r="C51" s="11"/>
      <c r="D51" s="7"/>
      <c r="E51" s="8"/>
      <c r="F51" s="8"/>
    </row>
    <row r="52" spans="1:15">
      <c r="A52" s="4"/>
      <c r="B52" s="5"/>
      <c r="C52" s="11"/>
      <c r="D52" s="7"/>
      <c r="E52" s="8"/>
      <c r="F52" s="8"/>
    </row>
    <row r="53" spans="1:15">
      <c r="A53" s="4"/>
      <c r="B53" s="5"/>
      <c r="C53" s="11"/>
      <c r="D53" s="7"/>
      <c r="E53" s="8"/>
      <c r="F53" s="8"/>
    </row>
    <row r="54" spans="1:15">
      <c r="A54" s="61" t="s">
        <v>60</v>
      </c>
      <c r="B54" s="61"/>
      <c r="C54" s="61"/>
      <c r="D54" s="8">
        <f>SUM(D49:D53)</f>
        <v>834</v>
      </c>
      <c r="E54" s="8">
        <f>SUM(E49:E53)</f>
        <v>834</v>
      </c>
      <c r="F54" s="8">
        <f>SUM(F49:F53)</f>
        <v>0</v>
      </c>
      <c r="L54" s="5"/>
      <c r="M54" s="5"/>
      <c r="N54" s="8"/>
      <c r="O54" s="8">
        <f>E54</f>
        <v>834</v>
      </c>
    </row>
    <row r="56" spans="1:15">
      <c r="A56" s="4" t="s">
        <v>171</v>
      </c>
      <c r="B56" s="53">
        <f>B48</f>
        <v>44928</v>
      </c>
      <c r="C56" s="5"/>
      <c r="D56" s="5" t="s">
        <v>1</v>
      </c>
      <c r="E56" s="6" t="s">
        <v>2</v>
      </c>
      <c r="F56" s="6" t="s">
        <v>3</v>
      </c>
    </row>
    <row r="57" spans="1:15">
      <c r="A57" s="4">
        <v>44883</v>
      </c>
      <c r="B57" s="5" t="s">
        <v>193</v>
      </c>
      <c r="C57" s="11"/>
      <c r="D57" s="7">
        <v>200</v>
      </c>
      <c r="E57" s="9">
        <v>200</v>
      </c>
      <c r="F57" s="10"/>
    </row>
    <row r="58" spans="1:15">
      <c r="A58" s="4"/>
      <c r="B58" s="35"/>
      <c r="C58" s="5"/>
      <c r="D58" s="7"/>
      <c r="E58" s="9"/>
      <c r="F58" s="10"/>
    </row>
    <row r="59" spans="1:15">
      <c r="A59" s="4"/>
      <c r="B59" s="5"/>
      <c r="C59" s="11"/>
      <c r="D59" s="7"/>
      <c r="E59" s="9"/>
      <c r="F59" s="8"/>
    </row>
    <row r="60" spans="1:15">
      <c r="A60" s="4"/>
      <c r="B60" s="5"/>
      <c r="C60" s="11"/>
      <c r="D60" s="7"/>
      <c r="E60" s="8"/>
      <c r="F60" s="8"/>
    </row>
    <row r="61" spans="1:15">
      <c r="A61" s="4"/>
      <c r="B61" s="5"/>
      <c r="C61" s="11"/>
      <c r="D61" s="7"/>
      <c r="E61" s="8"/>
      <c r="F61" s="8"/>
    </row>
    <row r="62" spans="1:15">
      <c r="A62" s="61" t="s">
        <v>60</v>
      </c>
      <c r="B62" s="61"/>
      <c r="C62" s="61"/>
      <c r="D62" s="8">
        <f>SUM(D57:D61)</f>
        <v>200</v>
      </c>
      <c r="E62" s="8">
        <f>SUM(E57:E61)</f>
        <v>200</v>
      </c>
      <c r="F62" s="8">
        <f>SUM(F57:F61)</f>
        <v>0</v>
      </c>
      <c r="L62" s="5"/>
      <c r="M62" s="5"/>
      <c r="N62" s="8"/>
      <c r="O62" s="8">
        <f>E62</f>
        <v>200</v>
      </c>
    </row>
    <row r="64" spans="1:15">
      <c r="A64" s="4" t="s">
        <v>32</v>
      </c>
      <c r="B64" s="53">
        <v>44948</v>
      </c>
      <c r="C64" s="5" t="s">
        <v>61</v>
      </c>
      <c r="D64" s="5" t="s">
        <v>1</v>
      </c>
      <c r="E64" s="6" t="s">
        <v>2</v>
      </c>
      <c r="F64" s="6" t="s">
        <v>3</v>
      </c>
    </row>
    <row r="65" spans="1:15">
      <c r="A65" s="4">
        <v>44868</v>
      </c>
      <c r="B65" s="5" t="s">
        <v>160</v>
      </c>
      <c r="C65" s="5"/>
      <c r="D65" s="7">
        <v>419</v>
      </c>
      <c r="E65" s="9">
        <f>D65</f>
        <v>419</v>
      </c>
      <c r="F65" s="10"/>
    </row>
    <row r="66" spans="1:15">
      <c r="A66" s="4"/>
      <c r="B66" s="5"/>
      <c r="C66" s="5"/>
      <c r="D66" s="7"/>
      <c r="E66" s="9"/>
      <c r="F66" s="10"/>
    </row>
    <row r="67" spans="1:15">
      <c r="A67" s="4"/>
      <c r="B67" s="5"/>
      <c r="C67" s="5"/>
      <c r="D67" s="7"/>
      <c r="E67" s="9"/>
      <c r="F67" s="10"/>
    </row>
    <row r="68" spans="1:15">
      <c r="A68" s="4"/>
      <c r="C68" s="11"/>
      <c r="D68" s="7"/>
      <c r="E68" s="8"/>
      <c r="F68" s="8"/>
    </row>
    <row r="69" spans="1:15">
      <c r="A69" s="4"/>
      <c r="B69" s="5"/>
      <c r="C69" s="11"/>
      <c r="D69" s="7"/>
      <c r="E69" s="8"/>
      <c r="F69" s="8"/>
    </row>
    <row r="70" spans="1:15">
      <c r="A70" s="4"/>
      <c r="B70" s="5"/>
      <c r="C70" s="11"/>
      <c r="D70" s="7"/>
      <c r="E70" s="8"/>
      <c r="F70" s="8"/>
    </row>
    <row r="71" spans="1:15">
      <c r="A71" s="4"/>
      <c r="B71" s="5"/>
      <c r="C71" s="11"/>
      <c r="D71" s="7"/>
      <c r="E71" s="8"/>
      <c r="F71" s="8"/>
    </row>
    <row r="72" spans="1:15">
      <c r="A72" s="61" t="s">
        <v>38</v>
      </c>
      <c r="B72" s="61"/>
      <c r="C72" s="61"/>
      <c r="D72" s="8">
        <f>SUM(D65:D71)</f>
        <v>419</v>
      </c>
      <c r="E72" s="8">
        <f>SUM(E65:E71)</f>
        <v>419</v>
      </c>
      <c r="F72" s="8">
        <f>SUM(F65:F71)</f>
        <v>0</v>
      </c>
      <c r="L72" s="5"/>
      <c r="M72" s="5"/>
      <c r="N72" s="8">
        <f>D72</f>
        <v>419</v>
      </c>
      <c r="O72" s="5"/>
    </row>
    <row r="74" spans="1:15">
      <c r="E74" s="3">
        <f>SUM(E72,E36,E28,E20,E11,E46,E54,E62)</f>
        <v>11840.053333333333</v>
      </c>
      <c r="F74" s="3">
        <f>SUM(F72,F36,F28,F20,F11,F46,F54,F62)</f>
        <v>0</v>
      </c>
    </row>
    <row r="75" spans="1:15">
      <c r="A75" s="4" t="s">
        <v>148</v>
      </c>
      <c r="B75" s="53">
        <v>44795</v>
      </c>
      <c r="C75" s="5" t="s">
        <v>61</v>
      </c>
      <c r="D75" s="5" t="s">
        <v>1</v>
      </c>
      <c r="E75" s="6" t="s">
        <v>2</v>
      </c>
      <c r="F75" s="6" t="s">
        <v>3</v>
      </c>
    </row>
    <row r="76" spans="1:15">
      <c r="A76" s="4">
        <v>44774</v>
      </c>
      <c r="B76" s="5" t="s">
        <v>149</v>
      </c>
      <c r="C76" s="5" t="s">
        <v>110</v>
      </c>
      <c r="D76" s="7">
        <v>9000</v>
      </c>
      <c r="E76" s="9">
        <f>D76/10</f>
        <v>900</v>
      </c>
      <c r="F76" s="10"/>
    </row>
    <row r="77" spans="1:15">
      <c r="A77" s="4"/>
      <c r="B77" s="5"/>
      <c r="C77" s="5"/>
      <c r="D77" s="7"/>
      <c r="E77" s="9"/>
      <c r="F77" s="10"/>
    </row>
    <row r="78" spans="1:15">
      <c r="A78" s="4"/>
      <c r="B78" s="5"/>
      <c r="C78" s="5"/>
      <c r="D78" s="7"/>
      <c r="E78" s="9"/>
      <c r="F78" s="10"/>
    </row>
    <row r="79" spans="1:15">
      <c r="A79" s="61" t="s">
        <v>150</v>
      </c>
      <c r="B79" s="61"/>
      <c r="C79" s="61"/>
      <c r="D79" s="8">
        <f>SUM(D76:D78)</f>
        <v>9000</v>
      </c>
      <c r="E79" s="29">
        <f>SUM(E76:E78)</f>
        <v>900</v>
      </c>
      <c r="F79" s="8">
        <f>SUM(F76:F78)</f>
        <v>0</v>
      </c>
      <c r="L79" s="5"/>
      <c r="M79" s="5"/>
      <c r="N79" s="8"/>
      <c r="O79" s="8">
        <f>E79</f>
        <v>900</v>
      </c>
    </row>
    <row r="80" spans="1:15">
      <c r="L80" s="5"/>
      <c r="M80" s="5"/>
      <c r="N80" s="5"/>
      <c r="O80" s="5"/>
    </row>
    <row r="81" spans="12:15">
      <c r="L81" s="7">
        <f>SUM(L2:L80)</f>
        <v>2832.29</v>
      </c>
      <c r="M81" s="7">
        <f>SUM(M2:M80)</f>
        <v>0</v>
      </c>
      <c r="N81" s="7">
        <f>SUM(N2:N80)</f>
        <v>1827.2</v>
      </c>
      <c r="O81" s="7">
        <f>SUM(O3:O80)</f>
        <v>8080.5633333333326</v>
      </c>
    </row>
    <row r="82" spans="12:15">
      <c r="L82" s="5" t="s">
        <v>69</v>
      </c>
      <c r="M82" s="5" t="s">
        <v>70</v>
      </c>
      <c r="N82" s="5" t="s">
        <v>71</v>
      </c>
      <c r="O82" s="5" t="s">
        <v>139</v>
      </c>
    </row>
    <row r="83" spans="12:15">
      <c r="O83" s="3">
        <f>SUM(L81:O81)</f>
        <v>12740.053333333333</v>
      </c>
    </row>
  </sheetData>
  <mergeCells count="9">
    <mergeCell ref="A62:C62"/>
    <mergeCell ref="A72:C72"/>
    <mergeCell ref="A79:C79"/>
    <mergeCell ref="A11:C11"/>
    <mergeCell ref="A20:C20"/>
    <mergeCell ref="A28:C28"/>
    <mergeCell ref="A36:C36"/>
    <mergeCell ref="A46:C46"/>
    <mergeCell ref="A54:C5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B11C-1317-4E1E-9A48-07073590B124}">
  <sheetPr>
    <tabColor rgb="FF92D050"/>
  </sheetPr>
  <dimension ref="A1:P1635"/>
  <sheetViews>
    <sheetView tabSelected="1" workbookViewId="0">
      <pane ySplit="1" topLeftCell="A602" activePane="bottomLeft" state="frozen"/>
      <selection pane="bottomLeft" activeCell="H1355" sqref="H1355"/>
    </sheetView>
  </sheetViews>
  <sheetFormatPr baseColWidth="10" defaultColWidth="8.83203125" defaultRowHeight="16"/>
  <cols>
    <col min="1" max="1" width="13" style="38" bestFit="1" customWidth="1"/>
    <col min="2" max="2" width="30.5" style="37" customWidth="1"/>
    <col min="3" max="3" width="18.33203125" style="37" bestFit="1" customWidth="1"/>
    <col min="4" max="4" width="59.1640625" style="37" bestFit="1" customWidth="1"/>
    <col min="5" max="5" width="11.6640625" style="37" bestFit="1" customWidth="1"/>
    <col min="6" max="6" width="13.5" style="38" bestFit="1" customWidth="1"/>
    <col min="7" max="7" width="15.5" style="37" bestFit="1" customWidth="1"/>
    <col min="8" max="8" width="16.33203125" style="39" customWidth="1"/>
    <col min="9" max="10" width="15" style="39" bestFit="1" customWidth="1"/>
    <col min="11" max="11" width="9.6640625" style="37" bestFit="1" customWidth="1"/>
    <col min="12" max="12" width="11.5" style="37" bestFit="1" customWidth="1"/>
    <col min="13" max="13" width="11.6640625" style="37" bestFit="1" customWidth="1"/>
    <col min="14" max="14" width="11.5" style="37" bestFit="1" customWidth="1"/>
    <col min="15" max="15" width="9.6640625" style="37" bestFit="1" customWidth="1"/>
    <col min="16" max="16" width="9.5" style="37" bestFit="1" customWidth="1"/>
    <col min="17" max="16384" width="8.83203125" style="37"/>
  </cols>
  <sheetData>
    <row r="1" spans="1:10">
      <c r="A1" s="38" t="s">
        <v>198</v>
      </c>
      <c r="B1" s="37" t="s">
        <v>199</v>
      </c>
      <c r="C1" s="37" t="s">
        <v>200</v>
      </c>
      <c r="D1" s="37" t="s">
        <v>201</v>
      </c>
      <c r="E1" s="37" t="s">
        <v>202</v>
      </c>
      <c r="F1" s="38" t="s">
        <v>203</v>
      </c>
      <c r="G1" s="37" t="s">
        <v>204</v>
      </c>
      <c r="H1" s="39" t="s">
        <v>205</v>
      </c>
      <c r="I1" s="39" t="s">
        <v>206</v>
      </c>
      <c r="J1" s="39" t="s">
        <v>207</v>
      </c>
    </row>
    <row r="2" spans="1:10">
      <c r="A2" s="38">
        <v>44618</v>
      </c>
      <c r="B2" s="37" t="s">
        <v>208</v>
      </c>
      <c r="C2" s="37" t="s">
        <v>209</v>
      </c>
      <c r="D2" s="37" t="s">
        <v>210</v>
      </c>
      <c r="E2" s="37" t="s">
        <v>211</v>
      </c>
      <c r="F2" s="38">
        <v>44653</v>
      </c>
      <c r="G2" s="37" t="s">
        <v>212</v>
      </c>
      <c r="H2" s="40">
        <v>3452</v>
      </c>
      <c r="I2" s="39">
        <v>2374</v>
      </c>
      <c r="J2" s="39">
        <v>1078</v>
      </c>
    </row>
    <row r="3" spans="1:10">
      <c r="A3" s="38">
        <v>44602</v>
      </c>
      <c r="B3" s="37" t="s">
        <v>208</v>
      </c>
      <c r="C3" s="37" t="s">
        <v>209</v>
      </c>
      <c r="D3" s="37" t="s">
        <v>140</v>
      </c>
      <c r="E3" s="37" t="s">
        <v>211</v>
      </c>
      <c r="F3" s="38">
        <v>44653</v>
      </c>
      <c r="G3" s="37" t="s">
        <v>212</v>
      </c>
      <c r="H3" s="40">
        <v>148</v>
      </c>
      <c r="I3" s="39">
        <v>74</v>
      </c>
      <c r="J3" s="39">
        <v>74</v>
      </c>
    </row>
    <row r="4" spans="1:10">
      <c r="A4" s="38">
        <v>44633</v>
      </c>
      <c r="B4" s="37" t="s">
        <v>208</v>
      </c>
      <c r="C4" s="37" t="s">
        <v>209</v>
      </c>
      <c r="D4" s="37" t="s">
        <v>213</v>
      </c>
      <c r="E4" s="37" t="s">
        <v>211</v>
      </c>
      <c r="F4" s="38">
        <v>44683</v>
      </c>
      <c r="G4" s="37" t="s">
        <v>212</v>
      </c>
      <c r="H4" s="40">
        <v>1121</v>
      </c>
      <c r="I4" s="39">
        <f>IF(My_Payment[[#This Row],[Payment_Code]]="S",My_Payment[[#This Row],[Total AMT]]/2,IF(My_Payment[[#This Row],[Payment_Code]]="P",My_Payment[[#This Row],[Total AMT]],0))</f>
        <v>560.5</v>
      </c>
      <c r="J4" s="39">
        <f>IF(My_Payment[[#This Row],[Payment_Code]]="S",My_Payment[[#This Row],[Total AMT]]/2,IF(My_Payment[[#This Row],[Payment_Code]]="N",My_Payment[[#This Row],[Total AMT]],0))</f>
        <v>560.5</v>
      </c>
    </row>
    <row r="5" spans="1:10">
      <c r="A5" s="38">
        <v>44661</v>
      </c>
      <c r="B5" s="37" t="s">
        <v>208</v>
      </c>
      <c r="C5" s="37" t="s">
        <v>209</v>
      </c>
      <c r="D5" s="37" t="s">
        <v>214</v>
      </c>
      <c r="E5" s="37" t="s">
        <v>211</v>
      </c>
      <c r="F5" s="38">
        <v>44714</v>
      </c>
      <c r="G5" s="37" t="s">
        <v>215</v>
      </c>
      <c r="H5" s="40">
        <v>1400</v>
      </c>
      <c r="I5" s="39">
        <f>IF(My_Payment[[#This Row],[Payment_Code]]="S",My_Payment[[#This Row],[Total AMT]]/2,IF(My_Payment[[#This Row],[Payment_Code]]="P",My_Payment[[#This Row],[Total AMT]],0))</f>
        <v>1400</v>
      </c>
      <c r="J5" s="39">
        <f>IF(My_Payment[[#This Row],[Payment_Code]]="S",My_Payment[[#This Row],[Total AMT]]/2,IF(My_Payment[[#This Row],[Payment_Code]]="N",My_Payment[[#This Row],[Total AMT]],0))</f>
        <v>0</v>
      </c>
    </row>
    <row r="6" spans="1:10">
      <c r="A6" s="38">
        <v>44664</v>
      </c>
      <c r="B6" s="37" t="s">
        <v>208</v>
      </c>
      <c r="C6" s="37" t="s">
        <v>209</v>
      </c>
      <c r="D6" s="37" t="s">
        <v>216</v>
      </c>
      <c r="E6" s="37" t="s">
        <v>211</v>
      </c>
      <c r="F6" s="38">
        <v>44714</v>
      </c>
      <c r="G6" s="37" t="s">
        <v>212</v>
      </c>
      <c r="H6" s="40">
        <v>1197</v>
      </c>
      <c r="I6" s="39">
        <f>IF(My_Payment[[#This Row],[Payment_Code]]="S",My_Payment[[#This Row],[Total AMT]]/2,IF(My_Payment[[#This Row],[Payment_Code]]="P",My_Payment[[#This Row],[Total AMT]],0))</f>
        <v>598.5</v>
      </c>
      <c r="J6" s="39">
        <f>IF(My_Payment[[#This Row],[Payment_Code]]="S",My_Payment[[#This Row],[Total AMT]]/2,IF(My_Payment[[#This Row],[Payment_Code]]="N",My_Payment[[#This Row],[Total AMT]],0))</f>
        <v>598.5</v>
      </c>
    </row>
    <row r="7" spans="1:10">
      <c r="A7" s="38">
        <v>44665</v>
      </c>
      <c r="B7" s="37" t="s">
        <v>208</v>
      </c>
      <c r="C7" s="37" t="s">
        <v>209</v>
      </c>
      <c r="D7" s="37" t="s">
        <v>217</v>
      </c>
      <c r="E7" s="37" t="s">
        <v>211</v>
      </c>
      <c r="F7" s="38">
        <v>44714</v>
      </c>
      <c r="G7" s="37" t="s">
        <v>212</v>
      </c>
      <c r="H7" s="40">
        <v>1846</v>
      </c>
      <c r="I7" s="39">
        <v>1078</v>
      </c>
      <c r="J7" s="39">
        <v>768</v>
      </c>
    </row>
    <row r="8" spans="1:10">
      <c r="A8" s="38">
        <v>44667</v>
      </c>
      <c r="B8" s="37" t="s">
        <v>208</v>
      </c>
      <c r="C8" s="37" t="s">
        <v>209</v>
      </c>
      <c r="D8" s="37" t="s">
        <v>140</v>
      </c>
      <c r="E8" s="37" t="s">
        <v>211</v>
      </c>
      <c r="F8" s="38">
        <v>44714</v>
      </c>
      <c r="G8" s="37" t="s">
        <v>212</v>
      </c>
      <c r="H8" s="40">
        <v>443.5</v>
      </c>
      <c r="I8" s="39">
        <v>280.5</v>
      </c>
      <c r="J8" s="39">
        <v>163</v>
      </c>
    </row>
    <row r="9" spans="1:10">
      <c r="A9" s="38">
        <v>44675</v>
      </c>
      <c r="B9" s="37" t="s">
        <v>208</v>
      </c>
      <c r="C9" s="37" t="s">
        <v>209</v>
      </c>
      <c r="D9" s="37" t="s">
        <v>210</v>
      </c>
      <c r="E9" s="37" t="s">
        <v>211</v>
      </c>
      <c r="F9" s="38">
        <v>44714</v>
      </c>
      <c r="G9" s="37" t="s">
        <v>212</v>
      </c>
      <c r="H9" s="40">
        <v>730.25</v>
      </c>
      <c r="I9" s="39">
        <f>IF(My_Payment[[#This Row],[Payment_Code]]="S",My_Payment[[#This Row],[Total AMT]]/2,IF(My_Payment[[#This Row],[Payment_Code]]="P",My_Payment[[#This Row],[Total AMT]],0))</f>
        <v>365.125</v>
      </c>
      <c r="J9" s="39">
        <f>IF(My_Payment[[#This Row],[Payment_Code]]="S",My_Payment[[#This Row],[Total AMT]]/2,IF(My_Payment[[#This Row],[Payment_Code]]="N",My_Payment[[#This Row],[Total AMT]],0))</f>
        <v>365.125</v>
      </c>
    </row>
    <row r="10" spans="1:10">
      <c r="A10" s="38">
        <v>44691</v>
      </c>
      <c r="B10" s="37" t="s">
        <v>208</v>
      </c>
      <c r="C10" s="37" t="s">
        <v>209</v>
      </c>
      <c r="D10" s="37" t="s">
        <v>218</v>
      </c>
      <c r="E10" s="37" t="s">
        <v>211</v>
      </c>
      <c r="F10" s="38">
        <v>44744</v>
      </c>
      <c r="G10" s="37" t="s">
        <v>215</v>
      </c>
      <c r="H10" s="40">
        <v>1035</v>
      </c>
      <c r="I10" s="39">
        <f>IF(My_Payment[[#This Row],[Payment_Code]]="S",My_Payment[[#This Row],[Total AMT]]/2,IF(My_Payment[[#This Row],[Payment_Code]]="P",My_Payment[[#This Row],[Total AMT]],0))</f>
        <v>1035</v>
      </c>
      <c r="J10" s="39">
        <f>IF(My_Payment[[#This Row],[Payment_Code]]="S",My_Payment[[#This Row],[Total AMT]]/2,IF(My_Payment[[#This Row],[Payment_Code]]="N",My_Payment[[#This Row],[Total AMT]],0))</f>
        <v>0</v>
      </c>
    </row>
    <row r="11" spans="1:10">
      <c r="A11" s="38">
        <v>44696</v>
      </c>
      <c r="B11" s="37" t="s">
        <v>208</v>
      </c>
      <c r="C11" s="37" t="s">
        <v>209</v>
      </c>
      <c r="D11" s="37" t="s">
        <v>219</v>
      </c>
      <c r="E11" s="37" t="s">
        <v>211</v>
      </c>
      <c r="F11" s="38">
        <v>44744</v>
      </c>
      <c r="G11" s="37" t="s">
        <v>212</v>
      </c>
      <c r="H11" s="40">
        <v>979</v>
      </c>
      <c r="I11" s="39">
        <f>IF(My_Payment[[#This Row],[Payment_Code]]="S",My_Payment[[#This Row],[Total AMT]]/2,IF(My_Payment[[#This Row],[Payment_Code]]="P",My_Payment[[#This Row],[Total AMT]],0))</f>
        <v>489.5</v>
      </c>
      <c r="J11" s="39">
        <f>IF(My_Payment[[#This Row],[Payment_Code]]="S",My_Payment[[#This Row],[Total AMT]]/2,IF(My_Payment[[#This Row],[Payment_Code]]="N",My_Payment[[#This Row],[Total AMT]],0))</f>
        <v>489.5</v>
      </c>
    </row>
    <row r="12" spans="1:10">
      <c r="A12" s="38">
        <v>44696</v>
      </c>
      <c r="B12" s="37" t="s">
        <v>208</v>
      </c>
      <c r="C12" s="37" t="s">
        <v>209</v>
      </c>
      <c r="D12" s="37" t="s">
        <v>220</v>
      </c>
      <c r="E12" s="37" t="s">
        <v>211</v>
      </c>
      <c r="F12" s="38">
        <v>44744</v>
      </c>
      <c r="G12" s="37" t="s">
        <v>212</v>
      </c>
      <c r="H12" s="40">
        <v>815</v>
      </c>
      <c r="I12" s="39">
        <f>IF(My_Payment[[#This Row],[Payment_Code]]="S",My_Payment[[#This Row],[Total AMT]]/2,IF(My_Payment[[#This Row],[Payment_Code]]="P",My_Payment[[#This Row],[Total AMT]],0))</f>
        <v>407.5</v>
      </c>
      <c r="J12" s="39">
        <f>IF(My_Payment[[#This Row],[Payment_Code]]="S",My_Payment[[#This Row],[Total AMT]]/2,IF(My_Payment[[#This Row],[Payment_Code]]="N",My_Payment[[#This Row],[Total AMT]],0))</f>
        <v>407.5</v>
      </c>
    </row>
    <row r="13" spans="1:10">
      <c r="A13" s="38">
        <v>44724</v>
      </c>
      <c r="B13" s="37" t="s">
        <v>208</v>
      </c>
      <c r="C13" s="37" t="s">
        <v>209</v>
      </c>
      <c r="D13" s="37" t="s">
        <v>217</v>
      </c>
      <c r="E13" s="37" t="s">
        <v>211</v>
      </c>
      <c r="F13" s="38">
        <v>44775</v>
      </c>
      <c r="G13" s="37" t="s">
        <v>212</v>
      </c>
      <c r="H13" s="40">
        <v>1035.75</v>
      </c>
      <c r="I13" s="39">
        <v>740.125</v>
      </c>
      <c r="J13" s="39">
        <v>295.625</v>
      </c>
    </row>
    <row r="14" spans="1:10">
      <c r="A14" s="38">
        <v>44731</v>
      </c>
      <c r="B14" s="37" t="s">
        <v>208</v>
      </c>
      <c r="C14" s="37" t="s">
        <v>209</v>
      </c>
      <c r="D14" s="37" t="s">
        <v>140</v>
      </c>
      <c r="E14" s="37" t="s">
        <v>211</v>
      </c>
      <c r="F14" s="38">
        <v>44775</v>
      </c>
      <c r="G14" s="37" t="s">
        <v>212</v>
      </c>
      <c r="H14" s="40">
        <v>381</v>
      </c>
      <c r="I14" s="39">
        <f>IF(My_Payment[[#This Row],[Payment_Code]]="S",My_Payment[[#This Row],[Total AMT]]/2,IF(My_Payment[[#This Row],[Payment_Code]]="P",My_Payment[[#This Row],[Total AMT]],0))</f>
        <v>190.5</v>
      </c>
      <c r="J14" s="39">
        <f>IF(My_Payment[[#This Row],[Payment_Code]]="S",My_Payment[[#This Row],[Total AMT]]/2,IF(My_Payment[[#This Row],[Payment_Code]]="N",My_Payment[[#This Row],[Total AMT]],0))</f>
        <v>190.5</v>
      </c>
    </row>
    <row r="15" spans="1:10">
      <c r="A15" s="38">
        <v>44748</v>
      </c>
      <c r="B15" s="37" t="s">
        <v>208</v>
      </c>
      <c r="C15" s="37" t="s">
        <v>209</v>
      </c>
      <c r="D15" s="37" t="s">
        <v>217</v>
      </c>
      <c r="E15" s="37" t="s">
        <v>211</v>
      </c>
      <c r="F15" s="38">
        <v>44775</v>
      </c>
      <c r="G15" s="37" t="s">
        <v>212</v>
      </c>
      <c r="H15" s="40">
        <v>584.75</v>
      </c>
      <c r="I15" s="39">
        <f>IF(My_Payment[[#This Row],[Payment_Code]]="S",My_Payment[[#This Row],[Total AMT]]/2,IF(My_Payment[[#This Row],[Payment_Code]]="P",My_Payment[[#This Row],[Total AMT]],0))</f>
        <v>292.375</v>
      </c>
      <c r="J15" s="39">
        <f>IF(My_Payment[[#This Row],[Payment_Code]]="S",My_Payment[[#This Row],[Total AMT]]/2,IF(My_Payment[[#This Row],[Payment_Code]]="N",My_Payment[[#This Row],[Total AMT]],0))</f>
        <v>292.375</v>
      </c>
    </row>
    <row r="16" spans="1:10">
      <c r="A16" s="38">
        <v>44755</v>
      </c>
      <c r="B16" s="37" t="s">
        <v>208</v>
      </c>
      <c r="C16" s="37" t="s">
        <v>209</v>
      </c>
      <c r="D16" s="37" t="s">
        <v>221</v>
      </c>
      <c r="E16" s="37" t="s">
        <v>211</v>
      </c>
      <c r="F16" s="38">
        <v>44806</v>
      </c>
      <c r="G16" s="37" t="s">
        <v>212</v>
      </c>
      <c r="H16" s="40">
        <v>598</v>
      </c>
      <c r="I16" s="39">
        <f>IF(My_Payment[[#This Row],[Payment_Code]]="S",My_Payment[[#This Row],[Total AMT]]/2,IF(My_Payment[[#This Row],[Payment_Code]]="P",My_Payment[[#This Row],[Total AMT]],0))</f>
        <v>299</v>
      </c>
      <c r="J16" s="39">
        <f>IF(My_Payment[[#This Row],[Payment_Code]]="S",My_Payment[[#This Row],[Total AMT]]/2,IF(My_Payment[[#This Row],[Payment_Code]]="N",My_Payment[[#This Row],[Total AMT]],0))</f>
        <v>299</v>
      </c>
    </row>
    <row r="17" spans="1:10">
      <c r="A17" s="38">
        <v>44759</v>
      </c>
      <c r="B17" s="37" t="s">
        <v>208</v>
      </c>
      <c r="C17" s="37" t="s">
        <v>209</v>
      </c>
      <c r="D17" s="37" t="s">
        <v>210</v>
      </c>
      <c r="E17" s="37" t="s">
        <v>211</v>
      </c>
      <c r="F17" s="38">
        <v>44806</v>
      </c>
      <c r="G17" s="37" t="s">
        <v>212</v>
      </c>
      <c r="H17" s="40">
        <v>336.5</v>
      </c>
      <c r="I17" s="39">
        <f>IF(My_Payment[[#This Row],[Payment_Code]]="S",My_Payment[[#This Row],[Total AMT]]/2,IF(My_Payment[[#This Row],[Payment_Code]]="P",My_Payment[[#This Row],[Total AMT]],0))</f>
        <v>168.25</v>
      </c>
      <c r="J17" s="39">
        <f>IF(My_Payment[[#This Row],[Payment_Code]]="S",My_Payment[[#This Row],[Total AMT]]/2,IF(My_Payment[[#This Row],[Payment_Code]]="N",My_Payment[[#This Row],[Total AMT]],0))</f>
        <v>168.25</v>
      </c>
    </row>
    <row r="18" spans="1:10">
      <c r="A18" s="38">
        <v>44766</v>
      </c>
      <c r="B18" s="37" t="s">
        <v>208</v>
      </c>
      <c r="C18" s="37" t="s">
        <v>209</v>
      </c>
      <c r="D18" s="37" t="s">
        <v>217</v>
      </c>
      <c r="E18" s="37" t="s">
        <v>211</v>
      </c>
      <c r="F18" s="38">
        <v>44806</v>
      </c>
      <c r="G18" s="37" t="s">
        <v>212</v>
      </c>
      <c r="H18" s="40">
        <v>911.75</v>
      </c>
      <c r="I18" s="39">
        <v>415.75</v>
      </c>
      <c r="J18" s="39">
        <v>496</v>
      </c>
    </row>
    <row r="19" spans="1:10">
      <c r="A19" s="38">
        <v>44780</v>
      </c>
      <c r="B19" s="37" t="s">
        <v>208</v>
      </c>
      <c r="C19" s="37" t="s">
        <v>209</v>
      </c>
      <c r="D19" s="37" t="s">
        <v>217</v>
      </c>
      <c r="E19" s="37" t="s">
        <v>211</v>
      </c>
      <c r="F19" s="38">
        <v>44806</v>
      </c>
      <c r="G19" s="37" t="s">
        <v>212</v>
      </c>
      <c r="H19" s="40">
        <v>757.5</v>
      </c>
      <c r="I19" s="39">
        <v>329.5</v>
      </c>
      <c r="J19" s="39">
        <v>428</v>
      </c>
    </row>
    <row r="20" spans="1:10">
      <c r="A20" s="38">
        <v>44785</v>
      </c>
      <c r="B20" s="37" t="s">
        <v>208</v>
      </c>
      <c r="C20" s="37" t="s">
        <v>209</v>
      </c>
      <c r="D20" s="37" t="s">
        <v>210</v>
      </c>
      <c r="E20" s="37" t="s">
        <v>211</v>
      </c>
      <c r="F20" s="38">
        <v>44836</v>
      </c>
      <c r="G20" s="37" t="s">
        <v>212</v>
      </c>
      <c r="H20" s="40">
        <v>1440.25</v>
      </c>
      <c r="I20" s="39">
        <f>IF(My_Payment[[#This Row],[Payment_Code]]="S",My_Payment[[#This Row],[Total AMT]]/2,IF(My_Payment[[#This Row],[Payment_Code]]="P",My_Payment[[#This Row],[Total AMT]],0))</f>
        <v>720.125</v>
      </c>
      <c r="J20" s="39">
        <f>IF(My_Payment[[#This Row],[Payment_Code]]="S",My_Payment[[#This Row],[Total AMT]]/2,IF(My_Payment[[#This Row],[Payment_Code]]="N",My_Payment[[#This Row],[Total AMT]],0))</f>
        <v>720.125</v>
      </c>
    </row>
    <row r="21" spans="1:10">
      <c r="A21" s="38">
        <v>44793</v>
      </c>
      <c r="B21" s="37" t="s">
        <v>208</v>
      </c>
      <c r="C21" s="37" t="s">
        <v>209</v>
      </c>
      <c r="D21" s="36" t="s">
        <v>140</v>
      </c>
      <c r="E21" s="37" t="s">
        <v>211</v>
      </c>
      <c r="F21" s="38">
        <v>44836</v>
      </c>
      <c r="G21" s="37" t="s">
        <v>212</v>
      </c>
      <c r="H21" s="40">
        <v>332.5</v>
      </c>
      <c r="I21" s="39">
        <f>IF(My_Payment[[#This Row],[Payment_Code]]="S",My_Payment[[#This Row],[Total AMT]]/2,IF(My_Payment[[#This Row],[Payment_Code]]="P",My_Payment[[#This Row],[Total AMT]],0))</f>
        <v>166.25</v>
      </c>
      <c r="J21" s="39">
        <f>IF(My_Payment[[#This Row],[Payment_Code]]="S",My_Payment[[#This Row],[Total AMT]]/2,IF(My_Payment[[#This Row],[Payment_Code]]="N",My_Payment[[#This Row],[Total AMT]],0))</f>
        <v>166.25</v>
      </c>
    </row>
    <row r="22" spans="1:10">
      <c r="A22" s="38">
        <v>44822</v>
      </c>
      <c r="B22" s="37" t="s">
        <v>208</v>
      </c>
      <c r="C22" s="37" t="s">
        <v>209</v>
      </c>
      <c r="D22" s="37" t="s">
        <v>217</v>
      </c>
      <c r="E22" s="37" t="s">
        <v>211</v>
      </c>
      <c r="F22" s="38">
        <v>44867</v>
      </c>
      <c r="G22" s="37" t="s">
        <v>212</v>
      </c>
      <c r="H22" s="40">
        <v>1664.5</v>
      </c>
      <c r="I22" s="39">
        <f>IF(My_Payment[[#This Row],[Payment_Code]]="S",My_Payment[[#This Row],[Total AMT]]/2,IF(My_Payment[[#This Row],[Payment_Code]]="P",My_Payment[[#This Row],[Total AMT]],0))</f>
        <v>832.25</v>
      </c>
      <c r="J22" s="39">
        <f>IF(My_Payment[[#This Row],[Payment_Code]]="S",My_Payment[[#This Row],[Total AMT]]/2,IF(My_Payment[[#This Row],[Payment_Code]]="N",My_Payment[[#This Row],[Total AMT]],0))</f>
        <v>832.25</v>
      </c>
    </row>
    <row r="23" spans="1:10">
      <c r="A23" s="38">
        <v>44847</v>
      </c>
      <c r="B23" s="37" t="s">
        <v>208</v>
      </c>
      <c r="C23" s="37" t="s">
        <v>209</v>
      </c>
      <c r="D23" s="37" t="s">
        <v>140</v>
      </c>
      <c r="E23" s="37" t="s">
        <v>211</v>
      </c>
      <c r="F23" s="38">
        <v>44897</v>
      </c>
      <c r="G23" s="37" t="s">
        <v>212</v>
      </c>
      <c r="H23" s="40">
        <v>490.75</v>
      </c>
      <c r="I23" s="39">
        <v>259.75</v>
      </c>
      <c r="J23" s="39">
        <v>231</v>
      </c>
    </row>
    <row r="24" spans="1:10">
      <c r="A24" s="38">
        <v>44847</v>
      </c>
      <c r="B24" s="37" t="s">
        <v>208</v>
      </c>
      <c r="C24" s="37" t="s">
        <v>209</v>
      </c>
      <c r="D24" s="37" t="s">
        <v>214</v>
      </c>
      <c r="E24" s="37" t="s">
        <v>211</v>
      </c>
      <c r="F24" s="38">
        <v>44897</v>
      </c>
      <c r="G24" s="37" t="s">
        <v>215</v>
      </c>
      <c r="H24" s="40">
        <v>1200</v>
      </c>
      <c r="I24" s="39">
        <f>IF(My_Payment[[#This Row],[Payment_Code]]="S",My_Payment[[#This Row],[Total AMT]]/2,IF(My_Payment[[#This Row],[Payment_Code]]="P",My_Payment[[#This Row],[Total AMT]],0))</f>
        <v>1200</v>
      </c>
      <c r="J24" s="39">
        <f>IF(My_Payment[[#This Row],[Payment_Code]]="S",My_Payment[[#This Row],[Total AMT]]/2,IF(My_Payment[[#This Row],[Payment_Code]]="N",My_Payment[[#This Row],[Total AMT]],0))</f>
        <v>0</v>
      </c>
    </row>
    <row r="25" spans="1:10">
      <c r="A25" s="38">
        <v>44864</v>
      </c>
      <c r="B25" s="37" t="s">
        <v>208</v>
      </c>
      <c r="C25" s="37" t="s">
        <v>209</v>
      </c>
      <c r="D25" s="37" t="s">
        <v>217</v>
      </c>
      <c r="E25" s="37" t="s">
        <v>211</v>
      </c>
      <c r="F25" s="38">
        <v>44897</v>
      </c>
      <c r="G25" s="37" t="s">
        <v>212</v>
      </c>
      <c r="H25" s="40">
        <v>1941.25</v>
      </c>
      <c r="I25" s="39">
        <v>750.25</v>
      </c>
      <c r="J25" s="39">
        <v>1191</v>
      </c>
    </row>
    <row r="26" spans="1:10">
      <c r="A26" s="38">
        <v>44733</v>
      </c>
      <c r="B26" s="37" t="s">
        <v>222</v>
      </c>
      <c r="C26" s="37" t="s">
        <v>209</v>
      </c>
      <c r="D26" s="37" t="s">
        <v>223</v>
      </c>
      <c r="E26" s="37" t="s">
        <v>211</v>
      </c>
      <c r="F26" s="38">
        <v>44775</v>
      </c>
      <c r="G26" s="37" t="s">
        <v>215</v>
      </c>
      <c r="H26" s="40">
        <v>539</v>
      </c>
      <c r="I26" s="39">
        <f>IF(My_Payment[[#This Row],[Payment_Code]]="S",My_Payment[[#This Row],[Total AMT]]/2,IF(My_Payment[[#This Row],[Payment_Code]]="P",My_Payment[[#This Row],[Total AMT]],0))</f>
        <v>539</v>
      </c>
      <c r="J26" s="39">
        <f>IF(My_Payment[[#This Row],[Payment_Code]]="S",My_Payment[[#This Row],[Total AMT]]/2,IF(My_Payment[[#This Row],[Payment_Code]]="N",My_Payment[[#This Row],[Total AMT]],0))</f>
        <v>0</v>
      </c>
    </row>
    <row r="27" spans="1:10">
      <c r="A27" s="38">
        <v>44865</v>
      </c>
      <c r="B27" s="37" t="s">
        <v>222</v>
      </c>
      <c r="C27" s="37" t="s">
        <v>209</v>
      </c>
      <c r="D27" s="37" t="s">
        <v>224</v>
      </c>
      <c r="E27" s="37" t="s">
        <v>211</v>
      </c>
      <c r="F27" s="38">
        <v>44897</v>
      </c>
      <c r="G27" s="37" t="s">
        <v>215</v>
      </c>
      <c r="H27" s="40">
        <v>214</v>
      </c>
      <c r="I27" s="39">
        <f>IF(My_Payment[[#This Row],[Payment_Code]]="S",My_Payment[[#This Row],[Total AMT]]/2,IF(My_Payment[[#This Row],[Payment_Code]]="P",My_Payment[[#This Row],[Total AMT]],0))</f>
        <v>214</v>
      </c>
      <c r="J27" s="39">
        <f>IF(My_Payment[[#This Row],[Payment_Code]]="S",My_Payment[[#This Row],[Total AMT]]/2,IF(My_Payment[[#This Row],[Payment_Code]]="N",My_Payment[[#This Row],[Total AMT]],0))</f>
        <v>0</v>
      </c>
    </row>
    <row r="28" spans="1:10">
      <c r="A28" s="38">
        <v>44533</v>
      </c>
      <c r="B28" s="37" t="s">
        <v>225</v>
      </c>
      <c r="C28" s="37" t="s">
        <v>226</v>
      </c>
      <c r="D28" s="37" t="s">
        <v>227</v>
      </c>
      <c r="E28" s="37" t="s">
        <v>211</v>
      </c>
      <c r="F28" s="38">
        <v>44583</v>
      </c>
      <c r="G28" s="37" t="s">
        <v>215</v>
      </c>
      <c r="H28" s="40">
        <v>419</v>
      </c>
      <c r="I28" s="39">
        <f>IF(My_Payment[[#This Row],[Payment_Code]]="S",My_Payment[[#This Row],[Total AMT]]/2,IF(My_Payment[[#This Row],[Payment_Code]]="P",My_Payment[[#This Row],[Total AMT]],0))</f>
        <v>419</v>
      </c>
      <c r="J28" s="39">
        <f>IF(My_Payment[[#This Row],[Payment_Code]]="S",My_Payment[[#This Row],[Total AMT]]/2,IF(My_Payment[[#This Row],[Payment_Code]]="N",My_Payment[[#This Row],[Total AMT]],0))</f>
        <v>0</v>
      </c>
    </row>
    <row r="29" spans="1:10">
      <c r="A29" s="38">
        <v>44535</v>
      </c>
      <c r="B29" s="37" t="s">
        <v>225</v>
      </c>
      <c r="C29" s="37" t="s">
        <v>226</v>
      </c>
      <c r="D29" s="37" t="s">
        <v>228</v>
      </c>
      <c r="E29" s="37" t="s">
        <v>211</v>
      </c>
      <c r="F29" s="38">
        <v>44583</v>
      </c>
      <c r="G29" s="37" t="s">
        <v>3</v>
      </c>
      <c r="H29" s="40">
        <v>716</v>
      </c>
      <c r="I29" s="39">
        <f>IF(My_Payment[[#This Row],[Payment_Code]]="S",My_Payment[[#This Row],[Total AMT]]/2,IF(My_Payment[[#This Row],[Payment_Code]]="P",My_Payment[[#This Row],[Total AMT]],0))</f>
        <v>0</v>
      </c>
      <c r="J29" s="39">
        <f>IF(My_Payment[[#This Row],[Payment_Code]]="S",My_Payment[[#This Row],[Total AMT]]/2,IF(My_Payment[[#This Row],[Payment_Code]]="N",My_Payment[[#This Row],[Total AMT]],0))</f>
        <v>716</v>
      </c>
    </row>
    <row r="30" spans="1:10">
      <c r="A30" s="38">
        <v>44540</v>
      </c>
      <c r="B30" s="37" t="s">
        <v>225</v>
      </c>
      <c r="C30" s="37" t="s">
        <v>226</v>
      </c>
      <c r="D30" s="37" t="s">
        <v>214</v>
      </c>
      <c r="E30" s="37" t="s">
        <v>211</v>
      </c>
      <c r="F30" s="38">
        <v>44583</v>
      </c>
      <c r="G30" s="37" t="s">
        <v>215</v>
      </c>
      <c r="H30" s="40">
        <v>1060</v>
      </c>
      <c r="I30" s="39">
        <f>IF(My_Payment[[#This Row],[Payment_Code]]="S",My_Payment[[#This Row],[Total AMT]]/2,IF(My_Payment[[#This Row],[Payment_Code]]="P",My_Payment[[#This Row],[Total AMT]],0))</f>
        <v>1060</v>
      </c>
      <c r="J30" s="39">
        <f>IF(My_Payment[[#This Row],[Payment_Code]]="S",My_Payment[[#This Row],[Total AMT]]/2,IF(My_Payment[[#This Row],[Payment_Code]]="N",My_Payment[[#This Row],[Total AMT]],0))</f>
        <v>0</v>
      </c>
    </row>
    <row r="31" spans="1:10">
      <c r="A31" s="38">
        <v>44563</v>
      </c>
      <c r="B31" s="37" t="s">
        <v>225</v>
      </c>
      <c r="C31" s="37" t="s">
        <v>226</v>
      </c>
      <c r="D31" s="37" t="s">
        <v>229</v>
      </c>
      <c r="E31" s="37" t="s">
        <v>211</v>
      </c>
      <c r="F31" s="38">
        <v>44614</v>
      </c>
      <c r="G31" s="37" t="s">
        <v>3</v>
      </c>
      <c r="H31" s="40">
        <v>1335</v>
      </c>
      <c r="I31" s="39">
        <f>IF(My_Payment[[#This Row],[Payment_Code]]="S",My_Payment[[#This Row],[Total AMT]]/2,IF(My_Payment[[#This Row],[Payment_Code]]="P",My_Payment[[#This Row],[Total AMT]],0))</f>
        <v>0</v>
      </c>
      <c r="J31" s="39">
        <f>IF(My_Payment[[#This Row],[Payment_Code]]="S",My_Payment[[#This Row],[Total AMT]]/2,IF(My_Payment[[#This Row],[Payment_Code]]="N",My_Payment[[#This Row],[Total AMT]],0))</f>
        <v>1335</v>
      </c>
    </row>
    <row r="32" spans="1:10">
      <c r="A32" s="38">
        <v>44563</v>
      </c>
      <c r="B32" s="37" t="s">
        <v>225</v>
      </c>
      <c r="C32" s="37" t="s">
        <v>226</v>
      </c>
      <c r="D32" s="37" t="s">
        <v>229</v>
      </c>
      <c r="E32" s="37" t="s">
        <v>211</v>
      </c>
      <c r="F32" s="38">
        <v>44614</v>
      </c>
      <c r="G32" s="37" t="s">
        <v>212</v>
      </c>
      <c r="H32" s="40">
        <v>2632</v>
      </c>
      <c r="I32" s="39">
        <f>IF(My_Payment[[#This Row],[Payment_Code]]="S",My_Payment[[#This Row],[Total AMT]]/2,IF(My_Payment[[#This Row],[Payment_Code]]="P",My_Payment[[#This Row],[Total AMT]],0))</f>
        <v>1316</v>
      </c>
      <c r="J32" s="39">
        <f>IF(My_Payment[[#This Row],[Payment_Code]]="S",My_Payment[[#This Row],[Total AMT]]/2,IF(My_Payment[[#This Row],[Payment_Code]]="N",My_Payment[[#This Row],[Total AMT]],0))</f>
        <v>1316</v>
      </c>
    </row>
    <row r="33" spans="1:10">
      <c r="A33" s="38">
        <v>44564</v>
      </c>
      <c r="B33" s="37" t="s">
        <v>225</v>
      </c>
      <c r="C33" s="37" t="s">
        <v>226</v>
      </c>
      <c r="D33" s="37" t="s">
        <v>227</v>
      </c>
      <c r="E33" s="37" t="s">
        <v>211</v>
      </c>
      <c r="F33" s="38">
        <v>44614</v>
      </c>
      <c r="G33" s="37" t="s">
        <v>215</v>
      </c>
      <c r="H33" s="40">
        <v>419</v>
      </c>
      <c r="I33" s="39">
        <f>IF(My_Payment[[#This Row],[Payment_Code]]="S",My_Payment[[#This Row],[Total AMT]]/2,IF(My_Payment[[#This Row],[Payment_Code]]="P",My_Payment[[#This Row],[Total AMT]],0))</f>
        <v>419</v>
      </c>
      <c r="J33" s="39">
        <f>IF(My_Payment[[#This Row],[Payment_Code]]="S",My_Payment[[#This Row],[Total AMT]]/2,IF(My_Payment[[#This Row],[Payment_Code]]="N",My_Payment[[#This Row],[Total AMT]],0))</f>
        <v>0</v>
      </c>
    </row>
    <row r="34" spans="1:10">
      <c r="A34" s="38">
        <v>44576</v>
      </c>
      <c r="B34" s="37" t="s">
        <v>225</v>
      </c>
      <c r="C34" s="37" t="s">
        <v>226</v>
      </c>
      <c r="D34" s="37" t="s">
        <v>230</v>
      </c>
      <c r="E34" s="37" t="s">
        <v>211</v>
      </c>
      <c r="F34" s="38">
        <v>44614</v>
      </c>
      <c r="G34" s="37" t="s">
        <v>215</v>
      </c>
      <c r="H34" s="40">
        <v>280</v>
      </c>
      <c r="I34" s="39">
        <f>IF(My_Payment[[#This Row],[Payment_Code]]="S",My_Payment[[#This Row],[Total AMT]]/2,IF(My_Payment[[#This Row],[Payment_Code]]="P",My_Payment[[#This Row],[Total AMT]],0))</f>
        <v>280</v>
      </c>
      <c r="J34" s="39">
        <f>IF(My_Payment[[#This Row],[Payment_Code]]="S",My_Payment[[#This Row],[Total AMT]]/2,IF(My_Payment[[#This Row],[Payment_Code]]="N",My_Payment[[#This Row],[Total AMT]],0))</f>
        <v>0</v>
      </c>
    </row>
    <row r="35" spans="1:10">
      <c r="A35" s="38">
        <v>44595</v>
      </c>
      <c r="B35" s="37" t="s">
        <v>225</v>
      </c>
      <c r="C35" s="37" t="s">
        <v>226</v>
      </c>
      <c r="D35" s="37" t="s">
        <v>227</v>
      </c>
      <c r="E35" s="37" t="s">
        <v>211</v>
      </c>
      <c r="F35" s="38">
        <v>44642</v>
      </c>
      <c r="G35" s="37" t="s">
        <v>215</v>
      </c>
      <c r="H35" s="40">
        <v>419</v>
      </c>
      <c r="I35" s="39">
        <f>IF(My_Payment[[#This Row],[Payment_Code]]="S",My_Payment[[#This Row],[Total AMT]]/2,IF(My_Payment[[#This Row],[Payment_Code]]="P",My_Payment[[#This Row],[Total AMT]],0))</f>
        <v>419</v>
      </c>
      <c r="J35" s="39">
        <f>IF(My_Payment[[#This Row],[Payment_Code]]="S",My_Payment[[#This Row],[Total AMT]]/2,IF(My_Payment[[#This Row],[Payment_Code]]="N",My_Payment[[#This Row],[Total AMT]],0))</f>
        <v>0</v>
      </c>
    </row>
    <row r="36" spans="1:10">
      <c r="A36" s="38">
        <v>44598</v>
      </c>
      <c r="B36" s="37" t="s">
        <v>225</v>
      </c>
      <c r="C36" s="37" t="s">
        <v>226</v>
      </c>
      <c r="D36" s="37" t="s">
        <v>33</v>
      </c>
      <c r="E36" s="37" t="s">
        <v>211</v>
      </c>
      <c r="F36" s="38">
        <v>44642</v>
      </c>
      <c r="G36" s="37" t="s">
        <v>215</v>
      </c>
      <c r="H36" s="40">
        <v>198.6</v>
      </c>
      <c r="I36" s="39">
        <f>IF(My_Payment[[#This Row],[Payment_Code]]="S",My_Payment[[#This Row],[Total AMT]]/2,IF(My_Payment[[#This Row],[Payment_Code]]="P",My_Payment[[#This Row],[Total AMT]],0))</f>
        <v>198.6</v>
      </c>
      <c r="J36" s="39">
        <f>IF(My_Payment[[#This Row],[Payment_Code]]="S",My_Payment[[#This Row],[Total AMT]]/2,IF(My_Payment[[#This Row],[Payment_Code]]="N",My_Payment[[#This Row],[Total AMT]],0))</f>
        <v>0</v>
      </c>
    </row>
    <row r="37" spans="1:10">
      <c r="A37" s="38">
        <v>44598</v>
      </c>
      <c r="B37" s="37" t="s">
        <v>225</v>
      </c>
      <c r="C37" s="37" t="s">
        <v>226</v>
      </c>
      <c r="D37" s="37" t="s">
        <v>231</v>
      </c>
      <c r="E37" s="37" t="s">
        <v>211</v>
      </c>
      <c r="F37" s="38">
        <v>44642</v>
      </c>
      <c r="G37" s="37" t="s">
        <v>215</v>
      </c>
      <c r="H37" s="40">
        <v>450</v>
      </c>
      <c r="I37" s="39">
        <f>IF(My_Payment[[#This Row],[Payment_Code]]="S",My_Payment[[#This Row],[Total AMT]]/2,IF(My_Payment[[#This Row],[Payment_Code]]="P",My_Payment[[#This Row],[Total AMT]],0))</f>
        <v>450</v>
      </c>
      <c r="J37" s="39">
        <f>IF(My_Payment[[#This Row],[Payment_Code]]="S",My_Payment[[#This Row],[Total AMT]]/2,IF(My_Payment[[#This Row],[Payment_Code]]="N",My_Payment[[#This Row],[Total AMT]],0))</f>
        <v>0</v>
      </c>
    </row>
    <row r="38" spans="1:10">
      <c r="A38" s="38">
        <v>44598</v>
      </c>
      <c r="B38" s="37" t="s">
        <v>225</v>
      </c>
      <c r="C38" s="37" t="s">
        <v>226</v>
      </c>
      <c r="D38" s="37" t="s">
        <v>214</v>
      </c>
      <c r="E38" s="37" t="s">
        <v>211</v>
      </c>
      <c r="F38" s="38">
        <v>44642</v>
      </c>
      <c r="G38" s="37" t="s">
        <v>215</v>
      </c>
      <c r="H38" s="40">
        <v>1210</v>
      </c>
      <c r="I38" s="39">
        <f>IF(My_Payment[[#This Row],[Payment_Code]]="S",My_Payment[[#This Row],[Total AMT]]/2,IF(My_Payment[[#This Row],[Payment_Code]]="P",My_Payment[[#This Row],[Total AMT]],0))</f>
        <v>1210</v>
      </c>
      <c r="J38" s="39">
        <f>IF(My_Payment[[#This Row],[Payment_Code]]="S",My_Payment[[#This Row],[Total AMT]]/2,IF(My_Payment[[#This Row],[Payment_Code]]="N",My_Payment[[#This Row],[Total AMT]],0))</f>
        <v>0</v>
      </c>
    </row>
    <row r="39" spans="1:10">
      <c r="A39" s="38">
        <v>44619</v>
      </c>
      <c r="B39" s="37" t="s">
        <v>225</v>
      </c>
      <c r="C39" s="37" t="s">
        <v>226</v>
      </c>
      <c r="D39" s="37" t="s">
        <v>232</v>
      </c>
      <c r="E39" s="37" t="s">
        <v>211</v>
      </c>
      <c r="F39" s="38">
        <v>44642</v>
      </c>
      <c r="G39" s="37" t="s">
        <v>212</v>
      </c>
      <c r="H39" s="40">
        <v>599</v>
      </c>
      <c r="I39" s="39">
        <f>IF(My_Payment[[#This Row],[Payment_Code]]="S",My_Payment[[#This Row],[Total AMT]]/2,IF(My_Payment[[#This Row],[Payment_Code]]="P",My_Payment[[#This Row],[Total AMT]],0))</f>
        <v>299.5</v>
      </c>
      <c r="J39" s="39">
        <f>IF(My_Payment[[#This Row],[Payment_Code]]="S",My_Payment[[#This Row],[Total AMT]]/2,IF(My_Payment[[#This Row],[Payment_Code]]="N",My_Payment[[#This Row],[Total AMT]],0))</f>
        <v>299.5</v>
      </c>
    </row>
    <row r="40" spans="1:10">
      <c r="A40" s="38">
        <v>44622</v>
      </c>
      <c r="B40" s="37" t="s">
        <v>225</v>
      </c>
      <c r="C40" s="37" t="s">
        <v>226</v>
      </c>
      <c r="D40" s="37" t="s">
        <v>33</v>
      </c>
      <c r="E40" s="37" t="s">
        <v>211</v>
      </c>
      <c r="F40" s="38">
        <v>44673</v>
      </c>
      <c r="G40" s="37" t="s">
        <v>215</v>
      </c>
      <c r="H40" s="40">
        <v>528.41999999999996</v>
      </c>
      <c r="I40" s="39">
        <f>IF(My_Payment[[#This Row],[Payment_Code]]="S",My_Payment[[#This Row],[Total AMT]]/2,IF(My_Payment[[#This Row],[Payment_Code]]="P",My_Payment[[#This Row],[Total AMT]],0))</f>
        <v>528.41999999999996</v>
      </c>
      <c r="J40" s="39">
        <f>IF(My_Payment[[#This Row],[Payment_Code]]="S",My_Payment[[#This Row],[Total AMT]]/2,IF(My_Payment[[#This Row],[Payment_Code]]="N",My_Payment[[#This Row],[Total AMT]],0))</f>
        <v>0</v>
      </c>
    </row>
    <row r="41" spans="1:10">
      <c r="A41" s="38">
        <v>44623</v>
      </c>
      <c r="B41" s="37" t="s">
        <v>225</v>
      </c>
      <c r="C41" s="37" t="s">
        <v>226</v>
      </c>
      <c r="D41" s="37" t="s">
        <v>227</v>
      </c>
      <c r="E41" s="37" t="s">
        <v>211</v>
      </c>
      <c r="F41" s="38">
        <v>44673</v>
      </c>
      <c r="G41" s="37" t="s">
        <v>215</v>
      </c>
      <c r="H41" s="40">
        <v>419</v>
      </c>
      <c r="I41" s="39">
        <f>IF(My_Payment[[#This Row],[Payment_Code]]="S",My_Payment[[#This Row],[Total AMT]]/2,IF(My_Payment[[#This Row],[Payment_Code]]="P",My_Payment[[#This Row],[Total AMT]],0))</f>
        <v>419</v>
      </c>
      <c r="J41" s="39">
        <f>IF(My_Payment[[#This Row],[Payment_Code]]="S",My_Payment[[#This Row],[Total AMT]]/2,IF(My_Payment[[#This Row],[Payment_Code]]="N",My_Payment[[#This Row],[Total AMT]],0))</f>
        <v>0</v>
      </c>
    </row>
    <row r="42" spans="1:10">
      <c r="A42" s="38">
        <v>44626</v>
      </c>
      <c r="B42" s="37" t="s">
        <v>225</v>
      </c>
      <c r="C42" s="37" t="s">
        <v>226</v>
      </c>
      <c r="D42" s="37" t="s">
        <v>233</v>
      </c>
      <c r="E42" s="37" t="s">
        <v>211</v>
      </c>
      <c r="F42" s="38">
        <v>44673</v>
      </c>
      <c r="G42" s="37" t="s">
        <v>212</v>
      </c>
      <c r="H42" s="40">
        <v>729</v>
      </c>
      <c r="I42" s="39">
        <f>IF(My_Payment[[#This Row],[Payment_Code]]="S",My_Payment[[#This Row],[Total AMT]]/2,IF(My_Payment[[#This Row],[Payment_Code]]="P",My_Payment[[#This Row],[Total AMT]],0))</f>
        <v>364.5</v>
      </c>
      <c r="J42" s="39">
        <f>IF(My_Payment[[#This Row],[Payment_Code]]="S",My_Payment[[#This Row],[Total AMT]]/2,IF(My_Payment[[#This Row],[Payment_Code]]="N",My_Payment[[#This Row],[Total AMT]],0))</f>
        <v>364.5</v>
      </c>
    </row>
    <row r="43" spans="1:10">
      <c r="A43" s="38">
        <v>44634</v>
      </c>
      <c r="B43" s="37" t="s">
        <v>225</v>
      </c>
      <c r="C43" s="37" t="s">
        <v>226</v>
      </c>
      <c r="D43" s="37" t="s">
        <v>36</v>
      </c>
      <c r="E43" s="37" t="s">
        <v>211</v>
      </c>
      <c r="F43" s="38">
        <v>44673</v>
      </c>
      <c r="G43" s="37" t="s">
        <v>212</v>
      </c>
      <c r="H43" s="40">
        <v>1064.71</v>
      </c>
      <c r="I43" s="39">
        <f>IF(My_Payment[[#This Row],[Payment_Code]]="S",My_Payment[[#This Row],[Total AMT]]/2,IF(My_Payment[[#This Row],[Payment_Code]]="P",My_Payment[[#This Row],[Total AMT]],0))</f>
        <v>532.35500000000002</v>
      </c>
      <c r="J43" s="39">
        <f>IF(My_Payment[[#This Row],[Payment_Code]]="S",My_Payment[[#This Row],[Total AMT]]/2,IF(My_Payment[[#This Row],[Payment_Code]]="N",My_Payment[[#This Row],[Total AMT]],0))</f>
        <v>532.35500000000002</v>
      </c>
    </row>
    <row r="44" spans="1:10">
      <c r="A44" s="38">
        <v>44635</v>
      </c>
      <c r="B44" s="37" t="s">
        <v>225</v>
      </c>
      <c r="C44" s="37" t="s">
        <v>226</v>
      </c>
      <c r="D44" s="37" t="s">
        <v>33</v>
      </c>
      <c r="E44" s="37" t="s">
        <v>211</v>
      </c>
      <c r="F44" s="38">
        <v>44673</v>
      </c>
      <c r="G44" s="37" t="s">
        <v>215</v>
      </c>
      <c r="H44" s="40">
        <v>284.7</v>
      </c>
      <c r="I44" s="39">
        <f>IF(My_Payment[[#This Row],[Payment_Code]]="S",My_Payment[[#This Row],[Total AMT]]/2,IF(My_Payment[[#This Row],[Payment_Code]]="P",My_Payment[[#This Row],[Total AMT]],0))</f>
        <v>284.7</v>
      </c>
      <c r="J44" s="39">
        <f>IF(My_Payment[[#This Row],[Payment_Code]]="S",My_Payment[[#This Row],[Total AMT]]/2,IF(My_Payment[[#This Row],[Payment_Code]]="N",My_Payment[[#This Row],[Total AMT]],0))</f>
        <v>0</v>
      </c>
    </row>
    <row r="45" spans="1:10">
      <c r="A45" s="38">
        <v>44654</v>
      </c>
      <c r="B45" s="37" t="s">
        <v>225</v>
      </c>
      <c r="C45" s="37" t="s">
        <v>226</v>
      </c>
      <c r="D45" s="37" t="s">
        <v>227</v>
      </c>
      <c r="E45" s="37" t="s">
        <v>211</v>
      </c>
      <c r="F45" s="38">
        <v>44703</v>
      </c>
      <c r="G45" s="37" t="s">
        <v>215</v>
      </c>
      <c r="H45" s="40">
        <v>419</v>
      </c>
      <c r="I45" s="39">
        <f>IF(My_Payment[[#This Row],[Payment_Code]]="S",My_Payment[[#This Row],[Total AMT]]/2,IF(My_Payment[[#This Row],[Payment_Code]]="P",My_Payment[[#This Row],[Total AMT]],0))</f>
        <v>419</v>
      </c>
      <c r="J45" s="39">
        <f>IF(My_Payment[[#This Row],[Payment_Code]]="S",My_Payment[[#This Row],[Total AMT]]/2,IF(My_Payment[[#This Row],[Payment_Code]]="N",My_Payment[[#This Row],[Total AMT]],0))</f>
        <v>0</v>
      </c>
    </row>
    <row r="46" spans="1:10">
      <c r="A46" s="38">
        <v>44654</v>
      </c>
      <c r="B46" s="37" t="s">
        <v>225</v>
      </c>
      <c r="C46" s="37" t="s">
        <v>226</v>
      </c>
      <c r="D46" s="37" t="s">
        <v>234</v>
      </c>
      <c r="E46" s="37" t="s">
        <v>211</v>
      </c>
      <c r="F46" s="38">
        <v>44703</v>
      </c>
      <c r="G46" s="37" t="s">
        <v>212</v>
      </c>
      <c r="H46" s="40">
        <v>224</v>
      </c>
      <c r="I46" s="39">
        <f>IF(My_Payment[[#This Row],[Payment_Code]]="S",My_Payment[[#This Row],[Total AMT]]/2,IF(My_Payment[[#This Row],[Payment_Code]]="P",My_Payment[[#This Row],[Total AMT]],0))</f>
        <v>112</v>
      </c>
      <c r="J46" s="39">
        <f>IF(My_Payment[[#This Row],[Payment_Code]]="S",My_Payment[[#This Row],[Total AMT]]/2,IF(My_Payment[[#This Row],[Payment_Code]]="N",My_Payment[[#This Row],[Total AMT]],0))</f>
        <v>112</v>
      </c>
    </row>
    <row r="47" spans="1:10">
      <c r="A47" s="38">
        <v>44656</v>
      </c>
      <c r="B47" s="37" t="s">
        <v>225</v>
      </c>
      <c r="C47" s="37" t="s">
        <v>226</v>
      </c>
      <c r="D47" s="37" t="s">
        <v>235</v>
      </c>
      <c r="E47" s="37" t="s">
        <v>211</v>
      </c>
      <c r="F47" s="38">
        <v>44703</v>
      </c>
      <c r="G47" s="37" t="s">
        <v>215</v>
      </c>
      <c r="H47" s="40">
        <v>1105</v>
      </c>
      <c r="I47" s="39">
        <f>IF(My_Payment[[#This Row],[Payment_Code]]="S",My_Payment[[#This Row],[Total AMT]]/2,IF(My_Payment[[#This Row],[Payment_Code]]="P",My_Payment[[#This Row],[Total AMT]],0))</f>
        <v>1105</v>
      </c>
      <c r="J47" s="39">
        <f>IF(My_Payment[[#This Row],[Payment_Code]]="S",My_Payment[[#This Row],[Total AMT]]/2,IF(My_Payment[[#This Row],[Payment_Code]]="N",My_Payment[[#This Row],[Total AMT]],0))</f>
        <v>0</v>
      </c>
    </row>
    <row r="48" spans="1:10">
      <c r="A48" s="38">
        <v>44656</v>
      </c>
      <c r="B48" s="37" t="s">
        <v>225</v>
      </c>
      <c r="C48" s="37" t="s">
        <v>226</v>
      </c>
      <c r="D48" s="37" t="s">
        <v>236</v>
      </c>
      <c r="E48" s="37" t="s">
        <v>211</v>
      </c>
      <c r="F48" s="38">
        <v>44703</v>
      </c>
      <c r="G48" s="37" t="s">
        <v>215</v>
      </c>
      <c r="H48" s="40">
        <v>1765</v>
      </c>
      <c r="I48" s="39">
        <f>IF(My_Payment[[#This Row],[Payment_Code]]="S",My_Payment[[#This Row],[Total AMT]]/2,IF(My_Payment[[#This Row],[Payment_Code]]="P",My_Payment[[#This Row],[Total AMT]],0))</f>
        <v>1765</v>
      </c>
      <c r="J48" s="39">
        <f>IF(My_Payment[[#This Row],[Payment_Code]]="S",My_Payment[[#This Row],[Total AMT]]/2,IF(My_Payment[[#This Row],[Payment_Code]]="N",My_Payment[[#This Row],[Total AMT]],0))</f>
        <v>0</v>
      </c>
    </row>
    <row r="49" spans="1:10">
      <c r="A49" s="38">
        <v>44657</v>
      </c>
      <c r="B49" s="37" t="s">
        <v>225</v>
      </c>
      <c r="C49" s="37" t="s">
        <v>226</v>
      </c>
      <c r="D49" s="37" t="s">
        <v>237</v>
      </c>
      <c r="E49" s="37" t="s">
        <v>211</v>
      </c>
      <c r="F49" s="38">
        <v>44703</v>
      </c>
      <c r="G49" s="37" t="s">
        <v>212</v>
      </c>
      <c r="H49" s="40">
        <v>1390</v>
      </c>
      <c r="I49" s="39">
        <f>IF(My_Payment[[#This Row],[Payment_Code]]="S",My_Payment[[#This Row],[Total AMT]]/2,IF(My_Payment[[#This Row],[Payment_Code]]="P",My_Payment[[#This Row],[Total AMT]],0))</f>
        <v>695</v>
      </c>
      <c r="J49" s="39">
        <f>IF(My_Payment[[#This Row],[Payment_Code]]="S",My_Payment[[#This Row],[Total AMT]]/2,IF(My_Payment[[#This Row],[Payment_Code]]="N",My_Payment[[#This Row],[Total AMT]],0))</f>
        <v>695</v>
      </c>
    </row>
    <row r="50" spans="1:10">
      <c r="A50" s="38">
        <v>44661</v>
      </c>
      <c r="B50" s="37" t="s">
        <v>225</v>
      </c>
      <c r="C50" s="37" t="s">
        <v>226</v>
      </c>
      <c r="D50" s="37" t="s">
        <v>238</v>
      </c>
      <c r="E50" s="37" t="s">
        <v>211</v>
      </c>
      <c r="F50" s="38">
        <v>44703</v>
      </c>
      <c r="G50" s="37" t="s">
        <v>212</v>
      </c>
      <c r="H50" s="40">
        <v>529</v>
      </c>
      <c r="I50" s="39">
        <v>500</v>
      </c>
      <c r="J50" s="39">
        <v>29</v>
      </c>
    </row>
    <row r="51" spans="1:10">
      <c r="A51" s="38">
        <v>44680</v>
      </c>
      <c r="B51" s="37" t="s">
        <v>225</v>
      </c>
      <c r="C51" s="37" t="s">
        <v>226</v>
      </c>
      <c r="D51" s="37" t="s">
        <v>218</v>
      </c>
      <c r="E51" s="37" t="s">
        <v>211</v>
      </c>
      <c r="F51" s="38">
        <v>44703</v>
      </c>
      <c r="G51" s="37" t="s">
        <v>215</v>
      </c>
      <c r="H51" s="40">
        <v>320</v>
      </c>
      <c r="I51" s="39">
        <f>IF(My_Payment[[#This Row],[Payment_Code]]="S",My_Payment[[#This Row],[Total AMT]]/2,IF(My_Payment[[#This Row],[Payment_Code]]="P",My_Payment[[#This Row],[Total AMT]],0))</f>
        <v>320</v>
      </c>
      <c r="J51" s="39">
        <f>IF(My_Payment[[#This Row],[Payment_Code]]="S",My_Payment[[#This Row],[Total AMT]]/2,IF(My_Payment[[#This Row],[Payment_Code]]="N",My_Payment[[#This Row],[Total AMT]],0))</f>
        <v>0</v>
      </c>
    </row>
    <row r="52" spans="1:10">
      <c r="A52" s="38">
        <v>44682</v>
      </c>
      <c r="B52" s="37" t="s">
        <v>225</v>
      </c>
      <c r="C52" s="37" t="s">
        <v>226</v>
      </c>
      <c r="D52" s="37" t="s">
        <v>239</v>
      </c>
      <c r="E52" s="37" t="s">
        <v>211</v>
      </c>
      <c r="F52" s="38">
        <v>44703</v>
      </c>
      <c r="G52" s="37" t="s">
        <v>212</v>
      </c>
      <c r="H52" s="40">
        <v>1315.89</v>
      </c>
      <c r="I52" s="39">
        <f>IF(My_Payment[[#This Row],[Payment_Code]]="S",My_Payment[[#This Row],[Total AMT]]/2,IF(My_Payment[[#This Row],[Payment_Code]]="P",My_Payment[[#This Row],[Total AMT]],0))</f>
        <v>657.94500000000005</v>
      </c>
      <c r="J52" s="39">
        <f>IF(My_Payment[[#This Row],[Payment_Code]]="S",My_Payment[[#This Row],[Total AMT]]/2,IF(My_Payment[[#This Row],[Payment_Code]]="N",My_Payment[[#This Row],[Total AMT]],0))</f>
        <v>657.94500000000005</v>
      </c>
    </row>
    <row r="53" spans="1:10">
      <c r="A53" s="38">
        <v>44683</v>
      </c>
      <c r="B53" s="37" t="s">
        <v>225</v>
      </c>
      <c r="C53" s="37" t="s">
        <v>226</v>
      </c>
      <c r="D53" s="37" t="s">
        <v>233</v>
      </c>
      <c r="E53" s="37" t="s">
        <v>211</v>
      </c>
      <c r="F53" s="38">
        <v>44734</v>
      </c>
      <c r="G53" s="37" t="s">
        <v>212</v>
      </c>
      <c r="H53" s="40">
        <v>573</v>
      </c>
      <c r="I53" s="39">
        <f>IF(My_Payment[[#This Row],[Payment_Code]]="S",My_Payment[[#This Row],[Total AMT]]/2,IF(My_Payment[[#This Row],[Payment_Code]]="P",My_Payment[[#This Row],[Total AMT]],0))</f>
        <v>286.5</v>
      </c>
      <c r="J53" s="39">
        <f>IF(My_Payment[[#This Row],[Payment_Code]]="S",My_Payment[[#This Row],[Total AMT]]/2,IF(My_Payment[[#This Row],[Payment_Code]]="N",My_Payment[[#This Row],[Total AMT]],0))</f>
        <v>286.5</v>
      </c>
    </row>
    <row r="54" spans="1:10">
      <c r="A54" s="38">
        <v>44684</v>
      </c>
      <c r="B54" s="37" t="s">
        <v>225</v>
      </c>
      <c r="C54" s="37" t="s">
        <v>226</v>
      </c>
      <c r="D54" s="37" t="s">
        <v>227</v>
      </c>
      <c r="E54" s="37" t="s">
        <v>211</v>
      </c>
      <c r="F54" s="38">
        <v>44734</v>
      </c>
      <c r="G54" s="37" t="s">
        <v>215</v>
      </c>
      <c r="H54" s="40">
        <v>419</v>
      </c>
      <c r="I54" s="39">
        <f>IF(My_Payment[[#This Row],[Payment_Code]]="S",My_Payment[[#This Row],[Total AMT]]/2,IF(My_Payment[[#This Row],[Payment_Code]]="P",My_Payment[[#This Row],[Total AMT]],0))</f>
        <v>419</v>
      </c>
      <c r="J54" s="39">
        <f>IF(My_Payment[[#This Row],[Payment_Code]]="S",My_Payment[[#This Row],[Total AMT]]/2,IF(My_Payment[[#This Row],[Payment_Code]]="N",My_Payment[[#This Row],[Total AMT]],0))</f>
        <v>0</v>
      </c>
    </row>
    <row r="55" spans="1:10">
      <c r="A55" s="38">
        <v>44684</v>
      </c>
      <c r="B55" s="37" t="s">
        <v>225</v>
      </c>
      <c r="C55" s="37" t="s">
        <v>226</v>
      </c>
      <c r="D55" s="37" t="s">
        <v>218</v>
      </c>
      <c r="E55" s="37" t="s">
        <v>211</v>
      </c>
      <c r="F55" s="38">
        <v>44734</v>
      </c>
      <c r="G55" s="37" t="s">
        <v>215</v>
      </c>
      <c r="H55" s="40">
        <v>1195</v>
      </c>
      <c r="I55" s="39">
        <f>IF(My_Payment[[#This Row],[Payment_Code]]="S",My_Payment[[#This Row],[Total AMT]]/2,IF(My_Payment[[#This Row],[Payment_Code]]="P",My_Payment[[#This Row],[Total AMT]],0))</f>
        <v>1195</v>
      </c>
      <c r="J55" s="39">
        <f>IF(My_Payment[[#This Row],[Payment_Code]]="S",My_Payment[[#This Row],[Total AMT]]/2,IF(My_Payment[[#This Row],[Payment_Code]]="N",My_Payment[[#This Row],[Total AMT]],0))</f>
        <v>0</v>
      </c>
    </row>
    <row r="56" spans="1:10">
      <c r="A56" s="38">
        <v>44684</v>
      </c>
      <c r="B56" s="37" t="s">
        <v>225</v>
      </c>
      <c r="C56" s="37" t="s">
        <v>226</v>
      </c>
      <c r="D56" s="37" t="s">
        <v>214</v>
      </c>
      <c r="E56" s="37" t="s">
        <v>211</v>
      </c>
      <c r="F56" s="38">
        <v>44734</v>
      </c>
      <c r="G56" s="37" t="s">
        <v>215</v>
      </c>
      <c r="H56" s="40">
        <v>1440</v>
      </c>
      <c r="I56" s="39">
        <f>IF(My_Payment[[#This Row],[Payment_Code]]="S",My_Payment[[#This Row],[Total AMT]]/2,IF(My_Payment[[#This Row],[Payment_Code]]="P",My_Payment[[#This Row],[Total AMT]],0))</f>
        <v>1440</v>
      </c>
      <c r="J56" s="39">
        <f>IF(My_Payment[[#This Row],[Payment_Code]]="S",My_Payment[[#This Row],[Total AMT]]/2,IF(My_Payment[[#This Row],[Payment_Code]]="N",My_Payment[[#This Row],[Total AMT]],0))</f>
        <v>0</v>
      </c>
    </row>
    <row r="57" spans="1:10">
      <c r="A57" s="38">
        <v>44685</v>
      </c>
      <c r="B57" s="37" t="s">
        <v>225</v>
      </c>
      <c r="C57" s="37" t="s">
        <v>226</v>
      </c>
      <c r="D57" s="37" t="s">
        <v>235</v>
      </c>
      <c r="E57" s="37" t="s">
        <v>211</v>
      </c>
      <c r="F57" s="38">
        <v>44734</v>
      </c>
      <c r="G57" s="37" t="s">
        <v>215</v>
      </c>
      <c r="H57" s="40">
        <v>442</v>
      </c>
      <c r="I57" s="39">
        <f>IF(My_Payment[[#This Row],[Payment_Code]]="S",My_Payment[[#This Row],[Total AMT]]/2,IF(My_Payment[[#This Row],[Payment_Code]]="P",My_Payment[[#This Row],[Total AMT]],0))</f>
        <v>442</v>
      </c>
      <c r="J57" s="39">
        <f>IF(My_Payment[[#This Row],[Payment_Code]]="S",My_Payment[[#This Row],[Total AMT]]/2,IF(My_Payment[[#This Row],[Payment_Code]]="N",My_Payment[[#This Row],[Total AMT]],0))</f>
        <v>0</v>
      </c>
    </row>
    <row r="58" spans="1:10">
      <c r="A58" s="38">
        <v>44693</v>
      </c>
      <c r="B58" s="37" t="s">
        <v>225</v>
      </c>
      <c r="C58" s="37" t="s">
        <v>226</v>
      </c>
      <c r="D58" s="37" t="s">
        <v>240</v>
      </c>
      <c r="E58" s="37" t="s">
        <v>211</v>
      </c>
      <c r="F58" s="38">
        <v>44734</v>
      </c>
      <c r="G58" s="37" t="s">
        <v>215</v>
      </c>
      <c r="H58" s="40">
        <v>231</v>
      </c>
      <c r="I58" s="39">
        <f>IF(My_Payment[[#This Row],[Payment_Code]]="S",My_Payment[[#This Row],[Total AMT]]/2,IF(My_Payment[[#This Row],[Payment_Code]]="P",My_Payment[[#This Row],[Total AMT]],0))</f>
        <v>231</v>
      </c>
      <c r="J58" s="39">
        <f>IF(My_Payment[[#This Row],[Payment_Code]]="S",My_Payment[[#This Row],[Total AMT]]/2,IF(My_Payment[[#This Row],[Payment_Code]]="N",My_Payment[[#This Row],[Total AMT]],0))</f>
        <v>0</v>
      </c>
    </row>
    <row r="59" spans="1:10">
      <c r="A59" s="38">
        <v>44715</v>
      </c>
      <c r="B59" s="37" t="s">
        <v>225</v>
      </c>
      <c r="C59" s="37" t="s">
        <v>226</v>
      </c>
      <c r="D59" s="37" t="s">
        <v>227</v>
      </c>
      <c r="E59" s="37" t="s">
        <v>211</v>
      </c>
      <c r="F59" s="38">
        <v>44764</v>
      </c>
      <c r="G59" s="37" t="s">
        <v>215</v>
      </c>
      <c r="H59" s="40">
        <v>419</v>
      </c>
      <c r="I59" s="39">
        <f>IF(My_Payment[[#This Row],[Payment_Code]]="S",My_Payment[[#This Row],[Total AMT]]/2,IF(My_Payment[[#This Row],[Payment_Code]]="P",My_Payment[[#This Row],[Total AMT]],0))</f>
        <v>419</v>
      </c>
      <c r="J59" s="39">
        <f>IF(My_Payment[[#This Row],[Payment_Code]]="S",My_Payment[[#This Row],[Total AMT]]/2,IF(My_Payment[[#This Row],[Payment_Code]]="N",My_Payment[[#This Row],[Total AMT]],0))</f>
        <v>0</v>
      </c>
    </row>
    <row r="60" spans="1:10">
      <c r="A60" s="38">
        <v>44715</v>
      </c>
      <c r="B60" s="37" t="s">
        <v>225</v>
      </c>
      <c r="C60" s="37" t="s">
        <v>226</v>
      </c>
      <c r="D60" s="37" t="s">
        <v>220</v>
      </c>
      <c r="E60" s="37" t="s">
        <v>211</v>
      </c>
      <c r="F60" s="38">
        <v>44764</v>
      </c>
      <c r="G60" s="37" t="s">
        <v>212</v>
      </c>
      <c r="H60" s="40">
        <v>1215</v>
      </c>
      <c r="I60" s="39">
        <v>405</v>
      </c>
      <c r="J60" s="39">
        <v>810</v>
      </c>
    </row>
    <row r="61" spans="1:10">
      <c r="A61" s="38">
        <v>44718</v>
      </c>
      <c r="B61" s="37" t="s">
        <v>225</v>
      </c>
      <c r="C61" s="37" t="s">
        <v>226</v>
      </c>
      <c r="D61" s="37" t="s">
        <v>241</v>
      </c>
      <c r="E61" s="37" t="s">
        <v>211</v>
      </c>
      <c r="F61" s="38">
        <v>44764</v>
      </c>
      <c r="G61" s="37" t="s">
        <v>215</v>
      </c>
      <c r="H61" s="40">
        <v>320</v>
      </c>
      <c r="I61" s="39">
        <f>IF(My_Payment[[#This Row],[Payment_Code]]="S",My_Payment[[#This Row],[Total AMT]]/2,IF(My_Payment[[#This Row],[Payment_Code]]="P",My_Payment[[#This Row],[Total AMT]],0))</f>
        <v>320</v>
      </c>
      <c r="J61" s="39">
        <f>IF(My_Payment[[#This Row],[Payment_Code]]="S",My_Payment[[#This Row],[Total AMT]]/2,IF(My_Payment[[#This Row],[Payment_Code]]="N",My_Payment[[#This Row],[Total AMT]],0))</f>
        <v>0</v>
      </c>
    </row>
    <row r="62" spans="1:10">
      <c r="A62" s="38">
        <v>44718</v>
      </c>
      <c r="B62" s="37" t="s">
        <v>225</v>
      </c>
      <c r="C62" s="37" t="s">
        <v>226</v>
      </c>
      <c r="D62" s="37" t="s">
        <v>242</v>
      </c>
      <c r="E62" s="37" t="s">
        <v>211</v>
      </c>
      <c r="F62" s="38">
        <v>44764</v>
      </c>
      <c r="G62" s="37" t="s">
        <v>215</v>
      </c>
      <c r="H62" s="40">
        <v>190</v>
      </c>
      <c r="I62" s="39">
        <f>IF(My_Payment[[#This Row],[Payment_Code]]="S",My_Payment[[#This Row],[Total AMT]]/2,IF(My_Payment[[#This Row],[Payment_Code]]="P",My_Payment[[#This Row],[Total AMT]],0))</f>
        <v>190</v>
      </c>
      <c r="J62" s="39">
        <f>IF(My_Payment[[#This Row],[Payment_Code]]="S",My_Payment[[#This Row],[Total AMT]]/2,IF(My_Payment[[#This Row],[Payment_Code]]="N",My_Payment[[#This Row],[Total AMT]],0))</f>
        <v>0</v>
      </c>
    </row>
    <row r="63" spans="1:10">
      <c r="A63" s="38">
        <v>44718</v>
      </c>
      <c r="B63" s="37" t="s">
        <v>225</v>
      </c>
      <c r="C63" s="37" t="s">
        <v>226</v>
      </c>
      <c r="D63" s="37" t="s">
        <v>243</v>
      </c>
      <c r="E63" s="37" t="s">
        <v>211</v>
      </c>
      <c r="F63" s="38">
        <v>44764</v>
      </c>
      <c r="G63" s="37" t="s">
        <v>215</v>
      </c>
      <c r="H63" s="40">
        <v>318</v>
      </c>
      <c r="I63" s="39">
        <f>IF(My_Payment[[#This Row],[Payment_Code]]="S",My_Payment[[#This Row],[Total AMT]]/2,IF(My_Payment[[#This Row],[Payment_Code]]="P",My_Payment[[#This Row],[Total AMT]],0))</f>
        <v>318</v>
      </c>
      <c r="J63" s="39">
        <f>IF(My_Payment[[#This Row],[Payment_Code]]="S",My_Payment[[#This Row],[Total AMT]]/2,IF(My_Payment[[#This Row],[Payment_Code]]="N",My_Payment[[#This Row],[Total AMT]],0))</f>
        <v>0</v>
      </c>
    </row>
    <row r="64" spans="1:10">
      <c r="A64" s="38">
        <v>44745</v>
      </c>
      <c r="B64" s="37" t="s">
        <v>225</v>
      </c>
      <c r="C64" s="37" t="s">
        <v>226</v>
      </c>
      <c r="D64" s="37" t="s">
        <v>227</v>
      </c>
      <c r="E64" s="37" t="s">
        <v>211</v>
      </c>
      <c r="F64" s="38">
        <v>44795</v>
      </c>
      <c r="G64" s="37" t="s">
        <v>215</v>
      </c>
      <c r="H64" s="40">
        <v>419</v>
      </c>
      <c r="I64" s="39">
        <f>IF(My_Payment[[#This Row],[Payment_Code]]="S",My_Payment[[#This Row],[Total AMT]]/2,IF(My_Payment[[#This Row],[Payment_Code]]="P",My_Payment[[#This Row],[Total AMT]],0))</f>
        <v>419</v>
      </c>
      <c r="J64" s="39">
        <f>IF(My_Payment[[#This Row],[Payment_Code]]="S",My_Payment[[#This Row],[Total AMT]]/2,IF(My_Payment[[#This Row],[Payment_Code]]="N",My_Payment[[#This Row],[Total AMT]],0))</f>
        <v>0</v>
      </c>
    </row>
    <row r="65" spans="1:10">
      <c r="A65" s="38">
        <v>44744</v>
      </c>
      <c r="B65" s="37" t="s">
        <v>225</v>
      </c>
      <c r="C65" s="37" t="s">
        <v>226</v>
      </c>
      <c r="D65" s="37" t="s">
        <v>214</v>
      </c>
      <c r="E65" s="37" t="s">
        <v>211</v>
      </c>
      <c r="F65" s="38">
        <v>44795</v>
      </c>
      <c r="G65" s="37" t="s">
        <v>212</v>
      </c>
      <c r="H65" s="40">
        <v>1030</v>
      </c>
      <c r="I65" s="39">
        <f>IF(My_Payment[[#This Row],[Payment_Code]]="S",My_Payment[[#This Row],[Total AMT]]/2,IF(My_Payment[[#This Row],[Payment_Code]]="P",My_Payment[[#This Row],[Total AMT]],0))</f>
        <v>515</v>
      </c>
      <c r="J65" s="39">
        <f>IF(My_Payment[[#This Row],[Payment_Code]]="S",My_Payment[[#This Row],[Total AMT]]/2,IF(My_Payment[[#This Row],[Payment_Code]]="N",My_Payment[[#This Row],[Total AMT]],0))</f>
        <v>515</v>
      </c>
    </row>
    <row r="66" spans="1:10">
      <c r="A66" s="38">
        <v>44776</v>
      </c>
      <c r="B66" s="37" t="s">
        <v>225</v>
      </c>
      <c r="C66" s="37" t="s">
        <v>226</v>
      </c>
      <c r="D66" s="37" t="s">
        <v>227</v>
      </c>
      <c r="E66" s="37" t="s">
        <v>211</v>
      </c>
      <c r="F66" s="38">
        <v>44826</v>
      </c>
      <c r="G66" s="37" t="s">
        <v>215</v>
      </c>
      <c r="H66" s="40">
        <v>419</v>
      </c>
      <c r="I66" s="39">
        <f>IF(My_Payment[[#This Row],[Payment_Code]]="S",My_Payment[[#This Row],[Total AMT]]/2,IF(My_Payment[[#This Row],[Payment_Code]]="P",My_Payment[[#This Row],[Total AMT]],0))</f>
        <v>419</v>
      </c>
      <c r="J66" s="39">
        <f>IF(My_Payment[[#This Row],[Payment_Code]]="S",My_Payment[[#This Row],[Total AMT]]/2,IF(My_Payment[[#This Row],[Payment_Code]]="N",My_Payment[[#This Row],[Total AMT]],0))</f>
        <v>0</v>
      </c>
    </row>
    <row r="67" spans="1:10">
      <c r="A67" s="38">
        <v>44778</v>
      </c>
      <c r="B67" s="37" t="s">
        <v>225</v>
      </c>
      <c r="C67" s="37" t="s">
        <v>226</v>
      </c>
      <c r="D67" s="37" t="s">
        <v>244</v>
      </c>
      <c r="E67" s="37" t="s">
        <v>211</v>
      </c>
      <c r="F67" s="38">
        <v>44826</v>
      </c>
      <c r="G67" s="37" t="s">
        <v>215</v>
      </c>
      <c r="H67" s="40">
        <v>119</v>
      </c>
      <c r="I67" s="39">
        <f>IF(My_Payment[[#This Row],[Payment_Code]]="S",My_Payment[[#This Row],[Total AMT]]/2,IF(My_Payment[[#This Row],[Payment_Code]]="P",My_Payment[[#This Row],[Total AMT]],0))</f>
        <v>119</v>
      </c>
      <c r="J67" s="39">
        <f>IF(My_Payment[[#This Row],[Payment_Code]]="S",My_Payment[[#This Row],[Total AMT]]/2,IF(My_Payment[[#This Row],[Payment_Code]]="N",My_Payment[[#This Row],[Total AMT]],0))</f>
        <v>0</v>
      </c>
    </row>
    <row r="68" spans="1:10">
      <c r="A68" s="38">
        <v>44807</v>
      </c>
      <c r="B68" s="37" t="s">
        <v>225</v>
      </c>
      <c r="C68" s="37" t="s">
        <v>226</v>
      </c>
      <c r="D68" s="37" t="s">
        <v>227</v>
      </c>
      <c r="E68" s="37" t="s">
        <v>211</v>
      </c>
      <c r="F68" s="38">
        <v>44856</v>
      </c>
      <c r="G68" s="37" t="s">
        <v>215</v>
      </c>
      <c r="H68" s="40">
        <v>419</v>
      </c>
      <c r="I68" s="39">
        <f>IF(My_Payment[[#This Row],[Payment_Code]]="S",My_Payment[[#This Row],[Total AMT]]/2,IF(My_Payment[[#This Row],[Payment_Code]]="P",My_Payment[[#This Row],[Total AMT]],0))</f>
        <v>419</v>
      </c>
      <c r="J68" s="39">
        <f>IF(My_Payment[[#This Row],[Payment_Code]]="S",My_Payment[[#This Row],[Total AMT]]/2,IF(My_Payment[[#This Row],[Payment_Code]]="N",My_Payment[[#This Row],[Total AMT]],0))</f>
        <v>0</v>
      </c>
    </row>
    <row r="69" spans="1:10">
      <c r="A69" s="38">
        <v>44823</v>
      </c>
      <c r="B69" s="37" t="s">
        <v>225</v>
      </c>
      <c r="C69" s="37" t="s">
        <v>226</v>
      </c>
      <c r="D69" s="37" t="s">
        <v>245</v>
      </c>
      <c r="E69" s="37" t="s">
        <v>211</v>
      </c>
      <c r="F69" s="38">
        <v>44856</v>
      </c>
      <c r="G69" s="37" t="s">
        <v>215</v>
      </c>
      <c r="H69" s="40">
        <v>203.52</v>
      </c>
      <c r="I69" s="39">
        <f>IF(My_Payment[[#This Row],[Payment_Code]]="S",My_Payment[[#This Row],[Total AMT]]/2,IF(My_Payment[[#This Row],[Payment_Code]]="P",My_Payment[[#This Row],[Total AMT]],0))</f>
        <v>203.52</v>
      </c>
      <c r="J69" s="39">
        <f>IF(My_Payment[[#This Row],[Payment_Code]]="S",My_Payment[[#This Row],[Total AMT]]/2,IF(My_Payment[[#This Row],[Payment_Code]]="N",My_Payment[[#This Row],[Total AMT]],0))</f>
        <v>0</v>
      </c>
    </row>
    <row r="70" spans="1:10">
      <c r="A70" s="38">
        <v>44837</v>
      </c>
      <c r="B70" s="37" t="s">
        <v>225</v>
      </c>
      <c r="C70" s="37" t="s">
        <v>226</v>
      </c>
      <c r="D70" s="37" t="s">
        <v>227</v>
      </c>
      <c r="E70" s="37" t="s">
        <v>211</v>
      </c>
      <c r="F70" s="38">
        <v>44887</v>
      </c>
      <c r="G70" s="37" t="s">
        <v>215</v>
      </c>
      <c r="H70" s="40">
        <v>419</v>
      </c>
      <c r="I70" s="39">
        <f>IF(My_Payment[[#This Row],[Payment_Code]]="S",My_Payment[[#This Row],[Total AMT]]/2,IF(My_Payment[[#This Row],[Payment_Code]]="P",My_Payment[[#This Row],[Total AMT]],0))</f>
        <v>419</v>
      </c>
      <c r="J70" s="39">
        <f>IF(My_Payment[[#This Row],[Payment_Code]]="S",My_Payment[[#This Row],[Total AMT]]/2,IF(My_Payment[[#This Row],[Payment_Code]]="N",My_Payment[[#This Row],[Total AMT]],0))</f>
        <v>0</v>
      </c>
    </row>
    <row r="71" spans="1:10">
      <c r="A71" s="38">
        <v>44836</v>
      </c>
      <c r="B71" s="37" t="s">
        <v>225</v>
      </c>
      <c r="C71" s="37" t="s">
        <v>226</v>
      </c>
      <c r="D71" s="37" t="s">
        <v>246</v>
      </c>
      <c r="E71" s="37" t="s">
        <v>211</v>
      </c>
      <c r="F71" s="38">
        <v>44887</v>
      </c>
      <c r="G71" s="37" t="s">
        <v>212</v>
      </c>
      <c r="H71" s="40">
        <v>670</v>
      </c>
      <c r="I71" s="39">
        <f>IF(My_Payment[[#This Row],[Payment_Code]]="S",My_Payment[[#This Row],[Total AMT]]/2,IF(My_Payment[[#This Row],[Payment_Code]]="P",My_Payment[[#This Row],[Total AMT]],0))</f>
        <v>335</v>
      </c>
      <c r="J71" s="39">
        <f>IF(My_Payment[[#This Row],[Payment_Code]]="S",My_Payment[[#This Row],[Total AMT]]/2,IF(My_Payment[[#This Row],[Payment_Code]]="N",My_Payment[[#This Row],[Total AMT]],0))</f>
        <v>335</v>
      </c>
    </row>
    <row r="72" spans="1:10">
      <c r="A72" s="38">
        <v>44841</v>
      </c>
      <c r="B72" s="37" t="s">
        <v>225</v>
      </c>
      <c r="C72" s="37" t="s">
        <v>226</v>
      </c>
      <c r="D72" s="37" t="s">
        <v>218</v>
      </c>
      <c r="E72" s="37" t="s">
        <v>211</v>
      </c>
      <c r="F72" s="38">
        <v>44887</v>
      </c>
      <c r="G72" s="37" t="s">
        <v>215</v>
      </c>
      <c r="H72" s="40">
        <v>2286</v>
      </c>
      <c r="I72" s="39">
        <f>IF(My_Payment[[#This Row],[Payment_Code]]="S",My_Payment[[#This Row],[Total AMT]]/2,IF(My_Payment[[#This Row],[Payment_Code]]="P",My_Payment[[#This Row],[Total AMT]],0))</f>
        <v>2286</v>
      </c>
      <c r="J72" s="39">
        <f>IF(My_Payment[[#This Row],[Payment_Code]]="S",My_Payment[[#This Row],[Total AMT]]/2,IF(My_Payment[[#This Row],[Payment_Code]]="N",My_Payment[[#This Row],[Total AMT]],0))</f>
        <v>0</v>
      </c>
    </row>
    <row r="73" spans="1:10">
      <c r="A73" s="38">
        <v>44537</v>
      </c>
      <c r="B73" s="37" t="s">
        <v>247</v>
      </c>
      <c r="C73" s="37" t="s">
        <v>248</v>
      </c>
      <c r="D73" s="37" t="s">
        <v>249</v>
      </c>
      <c r="E73" s="37" t="s">
        <v>250</v>
      </c>
      <c r="F73" s="38">
        <v>44562</v>
      </c>
      <c r="H73" s="40">
        <v>1094.03</v>
      </c>
      <c r="I73" s="39">
        <f>IF(My_Payment[[#This Row],[Payment_Code]]="S",My_Payment[[#This Row],[Total AMT]]/2,IF(My_Payment[[#This Row],[Payment_Code]]="P",My_Payment[[#This Row],[Total AMT]],0))</f>
        <v>0</v>
      </c>
      <c r="J73" s="39">
        <f>IF(My_Payment[[#This Row],[Payment_Code]]="S",My_Payment[[#This Row],[Total AMT]]/2,IF(My_Payment[[#This Row],[Payment_Code]]="N",My_Payment[[#This Row],[Total AMT]],0))</f>
        <v>0</v>
      </c>
    </row>
    <row r="74" spans="1:10">
      <c r="A74" s="38">
        <v>44537</v>
      </c>
      <c r="B74" s="37" t="s">
        <v>247</v>
      </c>
      <c r="C74" s="37" t="s">
        <v>248</v>
      </c>
      <c r="D74" s="37" t="s">
        <v>251</v>
      </c>
      <c r="E74" s="37" t="s">
        <v>252</v>
      </c>
      <c r="F74" s="38">
        <v>44562</v>
      </c>
      <c r="H74" s="40">
        <v>1383.33</v>
      </c>
      <c r="I74" s="39">
        <f>IF(My_Payment[[#This Row],[Payment_Code]]="S",My_Payment[[#This Row],[Total AMT]]/2,IF(My_Payment[[#This Row],[Payment_Code]]="P",My_Payment[[#This Row],[Total AMT]],0))</f>
        <v>0</v>
      </c>
      <c r="J74" s="39">
        <f>IF(My_Payment[[#This Row],[Payment_Code]]="S",My_Payment[[#This Row],[Total AMT]]/2,IF(My_Payment[[#This Row],[Payment_Code]]="N",My_Payment[[#This Row],[Total AMT]],0))</f>
        <v>0</v>
      </c>
    </row>
    <row r="75" spans="1:10">
      <c r="A75" s="38">
        <v>44568</v>
      </c>
      <c r="B75" s="37" t="s">
        <v>247</v>
      </c>
      <c r="C75" s="37" t="s">
        <v>248</v>
      </c>
      <c r="D75" s="37" t="s">
        <v>249</v>
      </c>
      <c r="E75" s="37" t="s">
        <v>253</v>
      </c>
      <c r="F75" s="38">
        <v>44593</v>
      </c>
      <c r="H75" s="40">
        <v>1094.03</v>
      </c>
      <c r="I75" s="39">
        <f>IF(My_Payment[[#This Row],[Payment_Code]]="S",My_Payment[[#This Row],[Total AMT]]/2,IF(My_Payment[[#This Row],[Payment_Code]]="P",My_Payment[[#This Row],[Total AMT]],0))</f>
        <v>0</v>
      </c>
      <c r="J75" s="39">
        <f>IF(My_Payment[[#This Row],[Payment_Code]]="S",My_Payment[[#This Row],[Total AMT]]/2,IF(My_Payment[[#This Row],[Payment_Code]]="N",My_Payment[[#This Row],[Total AMT]],0))</f>
        <v>0</v>
      </c>
    </row>
    <row r="76" spans="1:10">
      <c r="A76" s="38">
        <v>44599</v>
      </c>
      <c r="B76" s="37" t="s">
        <v>247</v>
      </c>
      <c r="C76" s="37" t="s">
        <v>248</v>
      </c>
      <c r="D76" s="37" t="s">
        <v>249</v>
      </c>
      <c r="E76" s="37" t="s">
        <v>254</v>
      </c>
      <c r="F76" s="38">
        <v>44621</v>
      </c>
      <c r="H76" s="40">
        <v>1094.03</v>
      </c>
      <c r="I76" s="39">
        <f>IF(My_Payment[[#This Row],[Payment_Code]]="S",My_Payment[[#This Row],[Total AMT]]/2,IF(My_Payment[[#This Row],[Payment_Code]]="P",My_Payment[[#This Row],[Total AMT]],0))</f>
        <v>0</v>
      </c>
      <c r="J76" s="39">
        <f>IF(My_Payment[[#This Row],[Payment_Code]]="S",My_Payment[[#This Row],[Total AMT]]/2,IF(My_Payment[[#This Row],[Payment_Code]]="N",My_Payment[[#This Row],[Total AMT]],0))</f>
        <v>0</v>
      </c>
    </row>
    <row r="77" spans="1:10">
      <c r="A77" s="38">
        <v>44627</v>
      </c>
      <c r="B77" s="37" t="s">
        <v>247</v>
      </c>
      <c r="C77" s="37" t="s">
        <v>248</v>
      </c>
      <c r="D77" s="37" t="s">
        <v>249</v>
      </c>
      <c r="E77" s="37" t="s">
        <v>255</v>
      </c>
      <c r="F77" s="38">
        <v>44652</v>
      </c>
      <c r="H77" s="40">
        <v>1094.03</v>
      </c>
      <c r="I77" s="39">
        <f>IF(My_Payment[[#This Row],[Payment_Code]]="S",My_Payment[[#This Row],[Total AMT]]/2,IF(My_Payment[[#This Row],[Payment_Code]]="P",My_Payment[[#This Row],[Total AMT]],0))</f>
        <v>0</v>
      </c>
      <c r="J77" s="39">
        <f>IF(My_Payment[[#This Row],[Payment_Code]]="S",My_Payment[[#This Row],[Total AMT]]/2,IF(My_Payment[[#This Row],[Payment_Code]]="N",My_Payment[[#This Row],[Total AMT]],0))</f>
        <v>0</v>
      </c>
    </row>
    <row r="78" spans="1:10">
      <c r="A78" s="38">
        <v>44658</v>
      </c>
      <c r="B78" s="37" t="s">
        <v>247</v>
      </c>
      <c r="C78" s="37" t="s">
        <v>248</v>
      </c>
      <c r="D78" s="37" t="s">
        <v>249</v>
      </c>
      <c r="E78" s="37" t="s">
        <v>256</v>
      </c>
      <c r="F78" s="38">
        <v>44682</v>
      </c>
      <c r="H78" s="40">
        <v>1094.03</v>
      </c>
      <c r="I78" s="39">
        <f>IF(My_Payment[[#This Row],[Payment_Code]]="S",My_Payment[[#This Row],[Total AMT]]/2,IF(My_Payment[[#This Row],[Payment_Code]]="P",My_Payment[[#This Row],[Total AMT]],0))</f>
        <v>0</v>
      </c>
      <c r="J78" s="39">
        <f>IF(My_Payment[[#This Row],[Payment_Code]]="S",My_Payment[[#This Row],[Total AMT]]/2,IF(My_Payment[[#This Row],[Payment_Code]]="N",My_Payment[[#This Row],[Total AMT]],0))</f>
        <v>0</v>
      </c>
    </row>
    <row r="79" spans="1:10">
      <c r="A79" s="38">
        <v>44688</v>
      </c>
      <c r="B79" s="37" t="s">
        <v>247</v>
      </c>
      <c r="C79" s="37" t="s">
        <v>248</v>
      </c>
      <c r="D79" s="37" t="s">
        <v>249</v>
      </c>
      <c r="E79" s="37" t="s">
        <v>257</v>
      </c>
      <c r="F79" s="38">
        <v>44713</v>
      </c>
      <c r="H79" s="40">
        <v>1094.03</v>
      </c>
      <c r="I79" s="39">
        <f>IF(My_Payment[[#This Row],[Payment_Code]]="S",My_Payment[[#This Row],[Total AMT]]/2,IF(My_Payment[[#This Row],[Payment_Code]]="P",My_Payment[[#This Row],[Total AMT]],0))</f>
        <v>0</v>
      </c>
      <c r="J79" s="39">
        <f>IF(My_Payment[[#This Row],[Payment_Code]]="S",My_Payment[[#This Row],[Total AMT]]/2,IF(My_Payment[[#This Row],[Payment_Code]]="N",My_Payment[[#This Row],[Total AMT]],0))</f>
        <v>0</v>
      </c>
    </row>
    <row r="80" spans="1:10">
      <c r="A80" s="38">
        <v>44719</v>
      </c>
      <c r="B80" s="37" t="s">
        <v>247</v>
      </c>
      <c r="C80" s="37" t="s">
        <v>248</v>
      </c>
      <c r="D80" s="37" t="s">
        <v>249</v>
      </c>
      <c r="E80" s="37" t="s">
        <v>258</v>
      </c>
      <c r="F80" s="38">
        <v>44743</v>
      </c>
      <c r="H80" s="40">
        <v>1094.03</v>
      </c>
      <c r="I80" s="39">
        <f>IF(My_Payment[[#This Row],[Payment_Code]]="S",My_Payment[[#This Row],[Total AMT]]/2,IF(My_Payment[[#This Row],[Payment_Code]]="P",My_Payment[[#This Row],[Total AMT]],0))</f>
        <v>0</v>
      </c>
      <c r="J80" s="39">
        <f>IF(My_Payment[[#This Row],[Payment_Code]]="S",My_Payment[[#This Row],[Total AMT]]/2,IF(My_Payment[[#This Row],[Payment_Code]]="N",My_Payment[[#This Row],[Total AMT]],0))</f>
        <v>0</v>
      </c>
    </row>
    <row r="81" spans="1:10">
      <c r="A81" s="38">
        <v>44749</v>
      </c>
      <c r="B81" s="37" t="s">
        <v>247</v>
      </c>
      <c r="C81" s="37" t="s">
        <v>248</v>
      </c>
      <c r="D81" s="37" t="s">
        <v>249</v>
      </c>
      <c r="E81" s="37" t="s">
        <v>259</v>
      </c>
      <c r="F81" s="38">
        <v>44774</v>
      </c>
      <c r="H81" s="40">
        <v>1094.03</v>
      </c>
      <c r="I81" s="39">
        <f>IF(My_Payment[[#This Row],[Payment_Code]]="S",My_Payment[[#This Row],[Total AMT]]/2,IF(My_Payment[[#This Row],[Payment_Code]]="P",My_Payment[[#This Row],[Total AMT]],0))</f>
        <v>0</v>
      </c>
      <c r="J81" s="39">
        <f>IF(My_Payment[[#This Row],[Payment_Code]]="S",My_Payment[[#This Row],[Total AMT]]/2,IF(My_Payment[[#This Row],[Payment_Code]]="N",My_Payment[[#This Row],[Total AMT]],0))</f>
        <v>0</v>
      </c>
    </row>
    <row r="82" spans="1:10">
      <c r="A82" s="38">
        <v>44780</v>
      </c>
      <c r="B82" s="37" t="s">
        <v>247</v>
      </c>
      <c r="C82" s="37" t="s">
        <v>248</v>
      </c>
      <c r="D82" s="37" t="s">
        <v>249</v>
      </c>
      <c r="E82" s="37" t="s">
        <v>260</v>
      </c>
      <c r="F82" s="38">
        <v>44805</v>
      </c>
      <c r="H82" s="40">
        <v>1094.03</v>
      </c>
      <c r="I82" s="39">
        <f>IF(My_Payment[[#This Row],[Payment_Code]]="S",My_Payment[[#This Row],[Total AMT]]/2,IF(My_Payment[[#This Row],[Payment_Code]]="P",My_Payment[[#This Row],[Total AMT]],0))</f>
        <v>0</v>
      </c>
      <c r="J82" s="39">
        <f>IF(My_Payment[[#This Row],[Payment_Code]]="S",My_Payment[[#This Row],[Total AMT]]/2,IF(My_Payment[[#This Row],[Payment_Code]]="N",My_Payment[[#This Row],[Total AMT]],0))</f>
        <v>0</v>
      </c>
    </row>
    <row r="83" spans="1:10">
      <c r="A83" s="38">
        <v>44811</v>
      </c>
      <c r="B83" s="37" t="s">
        <v>247</v>
      </c>
      <c r="C83" s="37" t="s">
        <v>248</v>
      </c>
      <c r="D83" s="37" t="s">
        <v>249</v>
      </c>
      <c r="E83" s="37" t="s">
        <v>261</v>
      </c>
      <c r="F83" s="38">
        <v>44835</v>
      </c>
      <c r="H83" s="40">
        <v>1094.03</v>
      </c>
      <c r="I83" s="39">
        <f>IF(My_Payment[[#This Row],[Payment_Code]]="S",My_Payment[[#This Row],[Total AMT]]/2,IF(My_Payment[[#This Row],[Payment_Code]]="P",My_Payment[[#This Row],[Total AMT]],0))</f>
        <v>0</v>
      </c>
      <c r="J83" s="39">
        <f>IF(My_Payment[[#This Row],[Payment_Code]]="S",My_Payment[[#This Row],[Total AMT]]/2,IF(My_Payment[[#This Row],[Payment_Code]]="N",My_Payment[[#This Row],[Total AMT]],0))</f>
        <v>0</v>
      </c>
    </row>
    <row r="84" spans="1:10">
      <c r="A84" s="38">
        <v>44841</v>
      </c>
      <c r="B84" s="37" t="s">
        <v>247</v>
      </c>
      <c r="C84" s="37" t="s">
        <v>248</v>
      </c>
      <c r="D84" s="37" t="s">
        <v>249</v>
      </c>
      <c r="E84" s="37" t="s">
        <v>262</v>
      </c>
      <c r="F84" s="38">
        <v>44866</v>
      </c>
      <c r="H84" s="40">
        <v>1094.03</v>
      </c>
      <c r="I84" s="39">
        <f>IF(My_Payment[[#This Row],[Payment_Code]]="S",My_Payment[[#This Row],[Total AMT]]/2,IF(My_Payment[[#This Row],[Payment_Code]]="P",My_Payment[[#This Row],[Total AMT]],0))</f>
        <v>0</v>
      </c>
      <c r="J84" s="39">
        <f>IF(My_Payment[[#This Row],[Payment_Code]]="S",My_Payment[[#This Row],[Total AMT]]/2,IF(My_Payment[[#This Row],[Payment_Code]]="N",My_Payment[[#This Row],[Total AMT]],0))</f>
        <v>0</v>
      </c>
    </row>
    <row r="85" spans="1:10">
      <c r="A85" s="38">
        <v>44872</v>
      </c>
      <c r="B85" s="37" t="s">
        <v>247</v>
      </c>
      <c r="C85" s="37" t="s">
        <v>248</v>
      </c>
      <c r="D85" s="37" t="s">
        <v>249</v>
      </c>
      <c r="E85" s="37" t="s">
        <v>263</v>
      </c>
      <c r="F85" s="38">
        <v>44896</v>
      </c>
      <c r="H85" s="40">
        <v>1094.03</v>
      </c>
      <c r="I85" s="39">
        <f>IF(My_Payment[[#This Row],[Payment_Code]]="S",My_Payment[[#This Row],[Total AMT]]/2,IF(My_Payment[[#This Row],[Payment_Code]]="P",My_Payment[[#This Row],[Total AMT]],0))</f>
        <v>0</v>
      </c>
      <c r="J85" s="39">
        <f>IF(My_Payment[[#This Row],[Payment_Code]]="S",My_Payment[[#This Row],[Total AMT]]/2,IF(My_Payment[[#This Row],[Payment_Code]]="N",My_Payment[[#This Row],[Total AMT]],0))</f>
        <v>0</v>
      </c>
    </row>
    <row r="86" spans="1:10">
      <c r="A86" s="38">
        <v>44902</v>
      </c>
      <c r="B86" s="37" t="s">
        <v>247</v>
      </c>
      <c r="C86" s="37" t="s">
        <v>248</v>
      </c>
      <c r="D86" s="37" t="s">
        <v>249</v>
      </c>
      <c r="E86" s="37" t="s">
        <v>264</v>
      </c>
      <c r="F86" s="38">
        <v>44927</v>
      </c>
      <c r="H86" s="40">
        <v>1094.03</v>
      </c>
      <c r="I86" s="39">
        <f>IF(My_Payment[[#This Row],[Payment_Code]]="S",My_Payment[[#This Row],[Total AMT]]/2,IF(My_Payment[[#This Row],[Payment_Code]]="P",My_Payment[[#This Row],[Total AMT]],0))</f>
        <v>0</v>
      </c>
      <c r="J86" s="39">
        <f>IF(My_Payment[[#This Row],[Payment_Code]]="S",My_Payment[[#This Row],[Total AMT]]/2,IF(My_Payment[[#This Row],[Payment_Code]]="N",My_Payment[[#This Row],[Total AMT]],0))</f>
        <v>0</v>
      </c>
    </row>
    <row r="87" spans="1:10">
      <c r="A87" s="38">
        <v>44933</v>
      </c>
      <c r="B87" s="37" t="s">
        <v>247</v>
      </c>
      <c r="C87" s="37" t="s">
        <v>248</v>
      </c>
      <c r="D87" s="37" t="s">
        <v>249</v>
      </c>
      <c r="E87" s="37" t="s">
        <v>265</v>
      </c>
      <c r="F87" s="38">
        <v>44958</v>
      </c>
      <c r="H87" s="40">
        <v>1094.03</v>
      </c>
      <c r="I87" s="39">
        <f>IF(My_Payment[[#This Row],[Payment_Code]]="S",My_Payment[[#This Row],[Total AMT]]/2,IF(My_Payment[[#This Row],[Payment_Code]]="P",My_Payment[[#This Row],[Total AMT]],0))</f>
        <v>0</v>
      </c>
      <c r="J87" s="39">
        <f>IF(My_Payment[[#This Row],[Payment_Code]]="S",My_Payment[[#This Row],[Total AMT]]/2,IF(My_Payment[[#This Row],[Payment_Code]]="N",My_Payment[[#This Row],[Total AMT]],0))</f>
        <v>0</v>
      </c>
    </row>
    <row r="88" spans="1:10">
      <c r="A88" s="38">
        <v>44964</v>
      </c>
      <c r="B88" s="37" t="s">
        <v>247</v>
      </c>
      <c r="C88" s="37" t="s">
        <v>248</v>
      </c>
      <c r="D88" s="37" t="s">
        <v>249</v>
      </c>
      <c r="E88" s="37" t="s">
        <v>266</v>
      </c>
      <c r="F88" s="38">
        <v>44986</v>
      </c>
      <c r="H88" s="40">
        <v>1094.03</v>
      </c>
      <c r="I88" s="39">
        <f>IF(My_Payment[[#This Row],[Payment_Code]]="S",My_Payment[[#This Row],[Total AMT]]/2,IF(My_Payment[[#This Row],[Payment_Code]]="P",My_Payment[[#This Row],[Total AMT]],0))</f>
        <v>0</v>
      </c>
      <c r="J88" s="39">
        <f>IF(My_Payment[[#This Row],[Payment_Code]]="S",My_Payment[[#This Row],[Total AMT]]/2,IF(My_Payment[[#This Row],[Payment_Code]]="N",My_Payment[[#This Row],[Total AMT]],0))</f>
        <v>0</v>
      </c>
    </row>
    <row r="89" spans="1:10">
      <c r="A89" s="38">
        <v>44992</v>
      </c>
      <c r="B89" s="37" t="s">
        <v>247</v>
      </c>
      <c r="C89" s="37" t="s">
        <v>248</v>
      </c>
      <c r="D89" s="37" t="s">
        <v>249</v>
      </c>
      <c r="E89" s="37" t="s">
        <v>267</v>
      </c>
      <c r="F89" s="38">
        <v>45017</v>
      </c>
      <c r="H89" s="40">
        <v>1094.03</v>
      </c>
      <c r="I89" s="39">
        <f>IF(My_Payment[[#This Row],[Payment_Code]]="S",My_Payment[[#This Row],[Total AMT]]/2,IF(My_Payment[[#This Row],[Payment_Code]]="P",My_Payment[[#This Row],[Total AMT]],0))</f>
        <v>0</v>
      </c>
      <c r="J89" s="39">
        <f>IF(My_Payment[[#This Row],[Payment_Code]]="S",My_Payment[[#This Row],[Total AMT]]/2,IF(My_Payment[[#This Row],[Payment_Code]]="N",My_Payment[[#This Row],[Total AMT]],0))</f>
        <v>0</v>
      </c>
    </row>
    <row r="90" spans="1:10">
      <c r="A90" s="38">
        <v>45023</v>
      </c>
      <c r="B90" s="37" t="s">
        <v>247</v>
      </c>
      <c r="C90" s="37" t="s">
        <v>248</v>
      </c>
      <c r="D90" s="37" t="s">
        <v>249</v>
      </c>
      <c r="E90" s="37" t="s">
        <v>268</v>
      </c>
      <c r="F90" s="38">
        <v>45047</v>
      </c>
      <c r="H90" s="40">
        <v>1094.03</v>
      </c>
      <c r="I90" s="39">
        <f>IF(My_Payment[[#This Row],[Payment_Code]]="S",My_Payment[[#This Row],[Total AMT]]/2,IF(My_Payment[[#This Row],[Payment_Code]]="P",My_Payment[[#This Row],[Total AMT]],0))</f>
        <v>0</v>
      </c>
      <c r="J90" s="39">
        <f>IF(My_Payment[[#This Row],[Payment_Code]]="S",My_Payment[[#This Row],[Total AMT]]/2,IF(My_Payment[[#This Row],[Payment_Code]]="N",My_Payment[[#This Row],[Total AMT]],0))</f>
        <v>0</v>
      </c>
    </row>
    <row r="91" spans="1:10">
      <c r="A91" s="38">
        <v>45053</v>
      </c>
      <c r="B91" s="37" t="s">
        <v>247</v>
      </c>
      <c r="C91" s="37" t="s">
        <v>248</v>
      </c>
      <c r="D91" s="37" t="s">
        <v>249</v>
      </c>
      <c r="E91" s="37" t="s">
        <v>269</v>
      </c>
      <c r="F91" s="38">
        <v>45078</v>
      </c>
      <c r="H91" s="40">
        <v>1094.03</v>
      </c>
      <c r="I91" s="39">
        <f>IF(My_Payment[[#This Row],[Payment_Code]]="S",My_Payment[[#This Row],[Total AMT]]/2,IF(My_Payment[[#This Row],[Payment_Code]]="P",My_Payment[[#This Row],[Total AMT]],0))</f>
        <v>0</v>
      </c>
      <c r="J91" s="39">
        <f>IF(My_Payment[[#This Row],[Payment_Code]]="S",My_Payment[[#This Row],[Total AMT]]/2,IF(My_Payment[[#This Row],[Payment_Code]]="N",My_Payment[[#This Row],[Total AMT]],0))</f>
        <v>0</v>
      </c>
    </row>
    <row r="92" spans="1:10">
      <c r="A92" s="38">
        <v>45084</v>
      </c>
      <c r="B92" s="37" t="s">
        <v>247</v>
      </c>
      <c r="C92" s="37" t="s">
        <v>248</v>
      </c>
      <c r="D92" s="37" t="s">
        <v>249</v>
      </c>
      <c r="E92" s="37" t="s">
        <v>270</v>
      </c>
      <c r="F92" s="38">
        <v>45108</v>
      </c>
      <c r="H92" s="40">
        <v>1094.03</v>
      </c>
      <c r="I92" s="39">
        <f>IF(My_Payment[[#This Row],[Payment_Code]]="S",My_Payment[[#This Row],[Total AMT]]/2,IF(My_Payment[[#This Row],[Payment_Code]]="P",My_Payment[[#This Row],[Total AMT]],0))</f>
        <v>0</v>
      </c>
      <c r="J92" s="39">
        <f>IF(My_Payment[[#This Row],[Payment_Code]]="S",My_Payment[[#This Row],[Total AMT]]/2,IF(My_Payment[[#This Row],[Payment_Code]]="N",My_Payment[[#This Row],[Total AMT]],0))</f>
        <v>0</v>
      </c>
    </row>
    <row r="93" spans="1:10">
      <c r="A93" s="38">
        <v>45114</v>
      </c>
      <c r="B93" s="37" t="s">
        <v>247</v>
      </c>
      <c r="C93" s="37" t="s">
        <v>248</v>
      </c>
      <c r="D93" s="37" t="s">
        <v>249</v>
      </c>
      <c r="E93" s="37" t="s">
        <v>271</v>
      </c>
      <c r="F93" s="38">
        <v>45139</v>
      </c>
      <c r="H93" s="40">
        <v>1094.03</v>
      </c>
      <c r="I93" s="39">
        <f>IF(My_Payment[[#This Row],[Payment_Code]]="S",My_Payment[[#This Row],[Total AMT]]/2,IF(My_Payment[[#This Row],[Payment_Code]]="P",My_Payment[[#This Row],[Total AMT]],0))</f>
        <v>0</v>
      </c>
      <c r="J93" s="39">
        <f>IF(My_Payment[[#This Row],[Payment_Code]]="S",My_Payment[[#This Row],[Total AMT]]/2,IF(My_Payment[[#This Row],[Payment_Code]]="N",My_Payment[[#This Row],[Total AMT]],0))</f>
        <v>0</v>
      </c>
    </row>
    <row r="94" spans="1:10">
      <c r="A94" s="38">
        <v>45145</v>
      </c>
      <c r="B94" s="37" t="s">
        <v>247</v>
      </c>
      <c r="C94" s="37" t="s">
        <v>248</v>
      </c>
      <c r="D94" s="37" t="s">
        <v>249</v>
      </c>
      <c r="E94" s="37" t="s">
        <v>272</v>
      </c>
      <c r="F94" s="38">
        <v>45170</v>
      </c>
      <c r="H94" s="40">
        <v>1094.03</v>
      </c>
      <c r="I94" s="39">
        <f>IF(My_Payment[[#This Row],[Payment_Code]]="S",My_Payment[[#This Row],[Total AMT]]/2,IF(My_Payment[[#This Row],[Payment_Code]]="P",My_Payment[[#This Row],[Total AMT]],0))</f>
        <v>0</v>
      </c>
      <c r="J94" s="39">
        <f>IF(My_Payment[[#This Row],[Payment_Code]]="S",My_Payment[[#This Row],[Total AMT]]/2,IF(My_Payment[[#This Row],[Payment_Code]]="N",My_Payment[[#This Row],[Total AMT]],0))</f>
        <v>0</v>
      </c>
    </row>
    <row r="95" spans="1:10">
      <c r="A95" s="38">
        <v>45176</v>
      </c>
      <c r="B95" s="37" t="s">
        <v>247</v>
      </c>
      <c r="C95" s="37" t="s">
        <v>248</v>
      </c>
      <c r="D95" s="37" t="s">
        <v>249</v>
      </c>
      <c r="E95" s="37" t="s">
        <v>273</v>
      </c>
      <c r="F95" s="38">
        <v>45200</v>
      </c>
      <c r="H95" s="40">
        <v>1094.03</v>
      </c>
      <c r="I95" s="39">
        <f>IF(My_Payment[[#This Row],[Payment_Code]]="S",My_Payment[[#This Row],[Total AMT]]/2,IF(My_Payment[[#This Row],[Payment_Code]]="P",My_Payment[[#This Row],[Total AMT]],0))</f>
        <v>0</v>
      </c>
      <c r="J95" s="39">
        <f>IF(My_Payment[[#This Row],[Payment_Code]]="S",My_Payment[[#This Row],[Total AMT]]/2,IF(My_Payment[[#This Row],[Payment_Code]]="N",My_Payment[[#This Row],[Total AMT]],0))</f>
        <v>0</v>
      </c>
    </row>
    <row r="96" spans="1:10">
      <c r="A96" s="38">
        <v>44688</v>
      </c>
      <c r="B96" s="37" t="s">
        <v>247</v>
      </c>
      <c r="C96" s="37" t="s">
        <v>248</v>
      </c>
      <c r="D96" s="37" t="s">
        <v>274</v>
      </c>
      <c r="E96" s="37" t="s">
        <v>275</v>
      </c>
      <c r="F96" s="38">
        <v>44713</v>
      </c>
      <c r="G96" s="37" t="s">
        <v>215</v>
      </c>
      <c r="H96" s="40">
        <v>1390.24</v>
      </c>
      <c r="I96" s="39">
        <f>IF(My_Payment[[#This Row],[Payment_Code]]="S",My_Payment[[#This Row],[Total AMT]]/2,IF(My_Payment[[#This Row],[Payment_Code]]="P",My_Payment[[#This Row],[Total AMT]],0))</f>
        <v>1390.24</v>
      </c>
      <c r="J96" s="39">
        <f>IF(My_Payment[[#This Row],[Payment_Code]]="S",My_Payment[[#This Row],[Total AMT]]/2,IF(My_Payment[[#This Row],[Payment_Code]]="N",My_Payment[[#This Row],[Total AMT]],0))</f>
        <v>0</v>
      </c>
    </row>
    <row r="97" spans="1:10">
      <c r="A97" s="38">
        <v>44719</v>
      </c>
      <c r="B97" s="37" t="s">
        <v>247</v>
      </c>
      <c r="C97" s="37" t="s">
        <v>248</v>
      </c>
      <c r="D97" s="37" t="s">
        <v>274</v>
      </c>
      <c r="E97" s="37" t="s">
        <v>276</v>
      </c>
      <c r="F97" s="38">
        <v>44743</v>
      </c>
      <c r="G97" s="37" t="s">
        <v>215</v>
      </c>
      <c r="H97" s="40">
        <v>1390.12</v>
      </c>
      <c r="I97" s="39">
        <f>IF(My_Payment[[#This Row],[Payment_Code]]="S",My_Payment[[#This Row],[Total AMT]]/2,IF(My_Payment[[#This Row],[Payment_Code]]="P",My_Payment[[#This Row],[Total AMT]],0))</f>
        <v>1390.12</v>
      </c>
      <c r="J97" s="39">
        <f>IF(My_Payment[[#This Row],[Payment_Code]]="S",My_Payment[[#This Row],[Total AMT]]/2,IF(My_Payment[[#This Row],[Payment_Code]]="N",My_Payment[[#This Row],[Total AMT]],0))</f>
        <v>0</v>
      </c>
    </row>
    <row r="98" spans="1:10">
      <c r="A98" s="38">
        <v>44749</v>
      </c>
      <c r="B98" s="37" t="s">
        <v>247</v>
      </c>
      <c r="C98" s="37" t="s">
        <v>248</v>
      </c>
      <c r="D98" s="37" t="s">
        <v>274</v>
      </c>
      <c r="E98" s="37" t="s">
        <v>277</v>
      </c>
      <c r="F98" s="38">
        <v>44774</v>
      </c>
      <c r="G98" s="37" t="s">
        <v>215</v>
      </c>
      <c r="H98" s="40">
        <v>1390.12</v>
      </c>
      <c r="I98" s="39">
        <f>IF(My_Payment[[#This Row],[Payment_Code]]="S",My_Payment[[#This Row],[Total AMT]]/2,IF(My_Payment[[#This Row],[Payment_Code]]="P",My_Payment[[#This Row],[Total AMT]],0))</f>
        <v>1390.12</v>
      </c>
      <c r="J98" s="39">
        <f>IF(My_Payment[[#This Row],[Payment_Code]]="S",My_Payment[[#This Row],[Total AMT]]/2,IF(My_Payment[[#This Row],[Payment_Code]]="N",My_Payment[[#This Row],[Total AMT]],0))</f>
        <v>0</v>
      </c>
    </row>
    <row r="99" spans="1:10">
      <c r="A99" s="38">
        <v>44780</v>
      </c>
      <c r="B99" s="37" t="s">
        <v>247</v>
      </c>
      <c r="C99" s="37" t="s">
        <v>248</v>
      </c>
      <c r="D99" s="37" t="s">
        <v>274</v>
      </c>
      <c r="E99" s="37" t="s">
        <v>278</v>
      </c>
      <c r="F99" s="38">
        <v>44805</v>
      </c>
      <c r="G99" s="37" t="s">
        <v>215</v>
      </c>
      <c r="H99" s="40">
        <v>1390.12</v>
      </c>
      <c r="I99" s="39">
        <f>IF(My_Payment[[#This Row],[Payment_Code]]="S",My_Payment[[#This Row],[Total AMT]]/2,IF(My_Payment[[#This Row],[Payment_Code]]="P",My_Payment[[#This Row],[Total AMT]],0))</f>
        <v>1390.12</v>
      </c>
      <c r="J99" s="39">
        <f>IF(My_Payment[[#This Row],[Payment_Code]]="S",My_Payment[[#This Row],[Total AMT]]/2,IF(My_Payment[[#This Row],[Payment_Code]]="N",My_Payment[[#This Row],[Total AMT]],0))</f>
        <v>0</v>
      </c>
    </row>
    <row r="100" spans="1:10">
      <c r="A100" s="38">
        <v>44811</v>
      </c>
      <c r="B100" s="37" t="s">
        <v>247</v>
      </c>
      <c r="C100" s="37" t="s">
        <v>248</v>
      </c>
      <c r="D100" s="37" t="s">
        <v>274</v>
      </c>
      <c r="E100" s="37" t="s">
        <v>279</v>
      </c>
      <c r="F100" s="38">
        <v>44835</v>
      </c>
      <c r="G100" s="37" t="s">
        <v>215</v>
      </c>
      <c r="H100" s="40">
        <v>1390.12</v>
      </c>
      <c r="I100" s="39">
        <f>IF(My_Payment[[#This Row],[Payment_Code]]="S",My_Payment[[#This Row],[Total AMT]]/2,IF(My_Payment[[#This Row],[Payment_Code]]="P",My_Payment[[#This Row],[Total AMT]],0))</f>
        <v>1390.12</v>
      </c>
      <c r="J100" s="39">
        <f>IF(My_Payment[[#This Row],[Payment_Code]]="S",My_Payment[[#This Row],[Total AMT]]/2,IF(My_Payment[[#This Row],[Payment_Code]]="N",My_Payment[[#This Row],[Total AMT]],0))</f>
        <v>0</v>
      </c>
    </row>
    <row r="101" spans="1:10">
      <c r="A101" s="38">
        <v>44841</v>
      </c>
      <c r="B101" s="37" t="s">
        <v>247</v>
      </c>
      <c r="C101" s="37" t="s">
        <v>248</v>
      </c>
      <c r="D101" s="37" t="s">
        <v>274</v>
      </c>
      <c r="E101" s="37" t="s">
        <v>280</v>
      </c>
      <c r="F101" s="38">
        <v>44866</v>
      </c>
      <c r="G101" s="37" t="s">
        <v>215</v>
      </c>
      <c r="H101" s="40">
        <v>1390.12</v>
      </c>
      <c r="I101" s="39">
        <f>IF(My_Payment[[#This Row],[Payment_Code]]="S",My_Payment[[#This Row],[Total AMT]]/2,IF(My_Payment[[#This Row],[Payment_Code]]="P",My_Payment[[#This Row],[Total AMT]],0))</f>
        <v>1390.12</v>
      </c>
      <c r="J101" s="39">
        <f>IF(My_Payment[[#This Row],[Payment_Code]]="S",My_Payment[[#This Row],[Total AMT]]/2,IF(My_Payment[[#This Row],[Payment_Code]]="N",My_Payment[[#This Row],[Total AMT]],0))</f>
        <v>0</v>
      </c>
    </row>
    <row r="102" spans="1:10">
      <c r="A102" s="38">
        <v>44872</v>
      </c>
      <c r="B102" s="37" t="s">
        <v>247</v>
      </c>
      <c r="C102" s="37" t="s">
        <v>248</v>
      </c>
      <c r="D102" s="37" t="s">
        <v>274</v>
      </c>
      <c r="E102" s="37" t="s">
        <v>281</v>
      </c>
      <c r="F102" s="38">
        <v>44896</v>
      </c>
      <c r="G102" s="37" t="s">
        <v>215</v>
      </c>
      <c r="H102" s="40">
        <v>1390.12</v>
      </c>
      <c r="I102" s="39">
        <f>IF(My_Payment[[#This Row],[Payment_Code]]="S",My_Payment[[#This Row],[Total AMT]]/2,IF(My_Payment[[#This Row],[Payment_Code]]="P",My_Payment[[#This Row],[Total AMT]],0))</f>
        <v>1390.12</v>
      </c>
      <c r="J102" s="39">
        <f>IF(My_Payment[[#This Row],[Payment_Code]]="S",My_Payment[[#This Row],[Total AMT]]/2,IF(My_Payment[[#This Row],[Payment_Code]]="N",My_Payment[[#This Row],[Total AMT]],0))</f>
        <v>0</v>
      </c>
    </row>
    <row r="103" spans="1:10">
      <c r="A103" s="38">
        <v>44902</v>
      </c>
      <c r="B103" s="37" t="s">
        <v>247</v>
      </c>
      <c r="C103" s="37" t="s">
        <v>248</v>
      </c>
      <c r="D103" s="37" t="s">
        <v>274</v>
      </c>
      <c r="E103" s="37" t="s">
        <v>282</v>
      </c>
      <c r="F103" s="38">
        <v>44927</v>
      </c>
      <c r="G103" s="37" t="s">
        <v>215</v>
      </c>
      <c r="H103" s="40">
        <v>1390.12</v>
      </c>
      <c r="I103" s="39">
        <f>IF(My_Payment[[#This Row],[Payment_Code]]="S",My_Payment[[#This Row],[Total AMT]]/2,IF(My_Payment[[#This Row],[Payment_Code]]="P",My_Payment[[#This Row],[Total AMT]],0))</f>
        <v>1390.12</v>
      </c>
      <c r="J103" s="39">
        <f>IF(My_Payment[[#This Row],[Payment_Code]]="S",My_Payment[[#This Row],[Total AMT]]/2,IF(My_Payment[[#This Row],[Payment_Code]]="N",My_Payment[[#This Row],[Total AMT]],0))</f>
        <v>0</v>
      </c>
    </row>
    <row r="104" spans="1:10">
      <c r="A104" s="38">
        <v>44933</v>
      </c>
      <c r="B104" s="37" t="s">
        <v>247</v>
      </c>
      <c r="C104" s="37" t="s">
        <v>248</v>
      </c>
      <c r="D104" s="37" t="s">
        <v>274</v>
      </c>
      <c r="E104" s="37" t="s">
        <v>283</v>
      </c>
      <c r="F104" s="38">
        <v>44958</v>
      </c>
      <c r="G104" s="37" t="s">
        <v>215</v>
      </c>
      <c r="H104" s="40">
        <v>1390.12</v>
      </c>
      <c r="I104" s="39">
        <f>IF(My_Payment[[#This Row],[Payment_Code]]="S",My_Payment[[#This Row],[Total AMT]]/2,IF(My_Payment[[#This Row],[Payment_Code]]="P",My_Payment[[#This Row],[Total AMT]],0))</f>
        <v>1390.12</v>
      </c>
      <c r="J104" s="39">
        <f>IF(My_Payment[[#This Row],[Payment_Code]]="S",My_Payment[[#This Row],[Total AMT]]/2,IF(My_Payment[[#This Row],[Payment_Code]]="N",My_Payment[[#This Row],[Total AMT]],0))</f>
        <v>0</v>
      </c>
    </row>
    <row r="105" spans="1:10">
      <c r="A105" s="38">
        <v>44964</v>
      </c>
      <c r="B105" s="37" t="s">
        <v>247</v>
      </c>
      <c r="C105" s="37" t="s">
        <v>248</v>
      </c>
      <c r="D105" s="37" t="s">
        <v>274</v>
      </c>
      <c r="E105" s="37" t="s">
        <v>284</v>
      </c>
      <c r="F105" s="38">
        <v>44986</v>
      </c>
      <c r="G105" s="37" t="s">
        <v>215</v>
      </c>
      <c r="H105" s="40">
        <v>1390.12</v>
      </c>
      <c r="I105" s="39">
        <f>IF(My_Payment[[#This Row],[Payment_Code]]="S",My_Payment[[#This Row],[Total AMT]]/2,IF(My_Payment[[#This Row],[Payment_Code]]="P",My_Payment[[#This Row],[Total AMT]],0))</f>
        <v>1390.12</v>
      </c>
      <c r="J105" s="39">
        <f>IF(My_Payment[[#This Row],[Payment_Code]]="S",My_Payment[[#This Row],[Total AMT]]/2,IF(My_Payment[[#This Row],[Payment_Code]]="N",My_Payment[[#This Row],[Total AMT]],0))</f>
        <v>0</v>
      </c>
    </row>
    <row r="106" spans="1:10">
      <c r="A106" s="38">
        <v>44992</v>
      </c>
      <c r="B106" s="37" t="s">
        <v>247</v>
      </c>
      <c r="C106" s="37" t="s">
        <v>248</v>
      </c>
      <c r="D106" s="37" t="s">
        <v>274</v>
      </c>
      <c r="E106" s="37" t="s">
        <v>285</v>
      </c>
      <c r="F106" s="38">
        <v>45017</v>
      </c>
      <c r="G106" s="37" t="s">
        <v>215</v>
      </c>
      <c r="H106" s="40">
        <v>1390.12</v>
      </c>
      <c r="I106" s="39">
        <f>IF(My_Payment[[#This Row],[Payment_Code]]="S",My_Payment[[#This Row],[Total AMT]]/2,IF(My_Payment[[#This Row],[Payment_Code]]="P",My_Payment[[#This Row],[Total AMT]],0))</f>
        <v>1390.12</v>
      </c>
      <c r="J106" s="39">
        <f>IF(My_Payment[[#This Row],[Payment_Code]]="S",My_Payment[[#This Row],[Total AMT]]/2,IF(My_Payment[[#This Row],[Payment_Code]]="N",My_Payment[[#This Row],[Total AMT]],0))</f>
        <v>0</v>
      </c>
    </row>
    <row r="107" spans="1:10">
      <c r="A107" s="38">
        <v>45023</v>
      </c>
      <c r="B107" s="37" t="s">
        <v>247</v>
      </c>
      <c r="C107" s="37" t="s">
        <v>248</v>
      </c>
      <c r="D107" s="37" t="s">
        <v>274</v>
      </c>
      <c r="E107" s="37" t="s">
        <v>286</v>
      </c>
      <c r="F107" s="38">
        <v>45047</v>
      </c>
      <c r="G107" s="37" t="s">
        <v>215</v>
      </c>
      <c r="H107" s="40">
        <v>1390.12</v>
      </c>
      <c r="I107" s="39">
        <f>IF(My_Payment[[#This Row],[Payment_Code]]="S",My_Payment[[#This Row],[Total AMT]]/2,IF(My_Payment[[#This Row],[Payment_Code]]="P",My_Payment[[#This Row],[Total AMT]],0))</f>
        <v>1390.12</v>
      </c>
      <c r="J107" s="39">
        <f>IF(My_Payment[[#This Row],[Payment_Code]]="S",My_Payment[[#This Row],[Total AMT]]/2,IF(My_Payment[[#This Row],[Payment_Code]]="N",My_Payment[[#This Row],[Total AMT]],0))</f>
        <v>0</v>
      </c>
    </row>
    <row r="108" spans="1:10">
      <c r="A108" s="38">
        <v>45053</v>
      </c>
      <c r="B108" s="37" t="s">
        <v>247</v>
      </c>
      <c r="C108" s="37" t="s">
        <v>248</v>
      </c>
      <c r="D108" s="37" t="s">
        <v>274</v>
      </c>
      <c r="E108" s="37" t="s">
        <v>287</v>
      </c>
      <c r="F108" s="38">
        <v>45078</v>
      </c>
      <c r="G108" s="37" t="s">
        <v>215</v>
      </c>
      <c r="H108" s="40">
        <v>1390.12</v>
      </c>
      <c r="I108" s="39">
        <f>IF(My_Payment[[#This Row],[Payment_Code]]="S",My_Payment[[#This Row],[Total AMT]]/2,IF(My_Payment[[#This Row],[Payment_Code]]="P",My_Payment[[#This Row],[Total AMT]],0))</f>
        <v>1390.12</v>
      </c>
      <c r="J108" s="39">
        <f>IF(My_Payment[[#This Row],[Payment_Code]]="S",My_Payment[[#This Row],[Total AMT]]/2,IF(My_Payment[[#This Row],[Payment_Code]]="N",My_Payment[[#This Row],[Total AMT]],0))</f>
        <v>0</v>
      </c>
    </row>
    <row r="109" spans="1:10">
      <c r="A109" s="38">
        <v>45084</v>
      </c>
      <c r="B109" s="37" t="s">
        <v>247</v>
      </c>
      <c r="C109" s="37" t="s">
        <v>248</v>
      </c>
      <c r="D109" s="37" t="s">
        <v>274</v>
      </c>
      <c r="E109" s="37" t="s">
        <v>288</v>
      </c>
      <c r="F109" s="38">
        <v>45108</v>
      </c>
      <c r="G109" s="37" t="s">
        <v>215</v>
      </c>
      <c r="H109" s="40">
        <v>1390.12</v>
      </c>
      <c r="I109" s="39">
        <f>IF(My_Payment[[#This Row],[Payment_Code]]="S",My_Payment[[#This Row],[Total AMT]]/2,IF(My_Payment[[#This Row],[Payment_Code]]="P",My_Payment[[#This Row],[Total AMT]],0))</f>
        <v>1390.12</v>
      </c>
      <c r="J109" s="39">
        <f>IF(My_Payment[[#This Row],[Payment_Code]]="S",My_Payment[[#This Row],[Total AMT]]/2,IF(My_Payment[[#This Row],[Payment_Code]]="N",My_Payment[[#This Row],[Total AMT]],0))</f>
        <v>0</v>
      </c>
    </row>
    <row r="110" spans="1:10">
      <c r="A110" s="38">
        <v>45114</v>
      </c>
      <c r="B110" s="37" t="s">
        <v>247</v>
      </c>
      <c r="C110" s="37" t="s">
        <v>248</v>
      </c>
      <c r="D110" s="37" t="s">
        <v>274</v>
      </c>
      <c r="E110" s="37" t="s">
        <v>289</v>
      </c>
      <c r="F110" s="38">
        <v>45139</v>
      </c>
      <c r="G110" s="37" t="s">
        <v>215</v>
      </c>
      <c r="H110" s="40">
        <v>1390.12</v>
      </c>
      <c r="I110" s="39">
        <f>IF(My_Payment[[#This Row],[Payment_Code]]="S",My_Payment[[#This Row],[Total AMT]]/2,IF(My_Payment[[#This Row],[Payment_Code]]="P",My_Payment[[#This Row],[Total AMT]],0))</f>
        <v>1390.12</v>
      </c>
      <c r="J110" s="39">
        <f>IF(My_Payment[[#This Row],[Payment_Code]]="S",My_Payment[[#This Row],[Total AMT]]/2,IF(My_Payment[[#This Row],[Payment_Code]]="N",My_Payment[[#This Row],[Total AMT]],0))</f>
        <v>0</v>
      </c>
    </row>
    <row r="111" spans="1:10">
      <c r="A111" s="38">
        <v>45145</v>
      </c>
      <c r="B111" s="37" t="s">
        <v>247</v>
      </c>
      <c r="C111" s="37" t="s">
        <v>248</v>
      </c>
      <c r="D111" s="37" t="s">
        <v>274</v>
      </c>
      <c r="E111" s="37" t="s">
        <v>290</v>
      </c>
      <c r="F111" s="38">
        <v>45170</v>
      </c>
      <c r="G111" s="37" t="s">
        <v>215</v>
      </c>
      <c r="H111" s="40">
        <v>1390.12</v>
      </c>
      <c r="I111" s="39">
        <f>IF(My_Payment[[#This Row],[Payment_Code]]="S",My_Payment[[#This Row],[Total AMT]]/2,IF(My_Payment[[#This Row],[Payment_Code]]="P",My_Payment[[#This Row],[Total AMT]],0))</f>
        <v>1390.12</v>
      </c>
      <c r="J111" s="39">
        <f>IF(My_Payment[[#This Row],[Payment_Code]]="S",My_Payment[[#This Row],[Total AMT]]/2,IF(My_Payment[[#This Row],[Payment_Code]]="N",My_Payment[[#This Row],[Total AMT]],0))</f>
        <v>0</v>
      </c>
    </row>
    <row r="112" spans="1:10">
      <c r="A112" s="38">
        <v>45176</v>
      </c>
      <c r="B112" s="37" t="s">
        <v>247</v>
      </c>
      <c r="C112" s="37" t="s">
        <v>248</v>
      </c>
      <c r="D112" s="37" t="s">
        <v>274</v>
      </c>
      <c r="E112" s="37" t="s">
        <v>291</v>
      </c>
      <c r="F112" s="38">
        <v>45200</v>
      </c>
      <c r="G112" s="37" t="s">
        <v>215</v>
      </c>
      <c r="H112" s="40">
        <v>1390.12</v>
      </c>
      <c r="I112" s="39">
        <f>IF(My_Payment[[#This Row],[Payment_Code]]="S",My_Payment[[#This Row],[Total AMT]]/2,IF(My_Payment[[#This Row],[Payment_Code]]="P",My_Payment[[#This Row],[Total AMT]],0))</f>
        <v>1390.12</v>
      </c>
      <c r="J112" s="39">
        <f>IF(My_Payment[[#This Row],[Payment_Code]]="S",My_Payment[[#This Row],[Total AMT]]/2,IF(My_Payment[[#This Row],[Payment_Code]]="N",My_Payment[[#This Row],[Total AMT]],0))</f>
        <v>0</v>
      </c>
    </row>
    <row r="113" spans="1:10">
      <c r="A113" s="38">
        <v>45206</v>
      </c>
      <c r="B113" s="37" t="s">
        <v>247</v>
      </c>
      <c r="C113" s="37" t="s">
        <v>248</v>
      </c>
      <c r="D113" s="37" t="s">
        <v>274</v>
      </c>
      <c r="E113" s="37" t="s">
        <v>292</v>
      </c>
      <c r="F113" s="38">
        <v>45231</v>
      </c>
      <c r="G113" s="37" t="s">
        <v>215</v>
      </c>
      <c r="H113" s="40">
        <v>1390.12</v>
      </c>
      <c r="I113" s="39">
        <f>IF(My_Payment[[#This Row],[Payment_Code]]="S",My_Payment[[#This Row],[Total AMT]]/2,IF(My_Payment[[#This Row],[Payment_Code]]="P",My_Payment[[#This Row],[Total AMT]],0))</f>
        <v>1390.12</v>
      </c>
      <c r="J113" s="39">
        <f>IF(My_Payment[[#This Row],[Payment_Code]]="S",My_Payment[[#This Row],[Total AMT]]/2,IF(My_Payment[[#This Row],[Payment_Code]]="N",My_Payment[[#This Row],[Total AMT]],0))</f>
        <v>0</v>
      </c>
    </row>
    <row r="114" spans="1:10">
      <c r="A114" s="38">
        <v>45237</v>
      </c>
      <c r="B114" s="37" t="s">
        <v>247</v>
      </c>
      <c r="C114" s="37" t="s">
        <v>248</v>
      </c>
      <c r="D114" s="37" t="s">
        <v>274</v>
      </c>
      <c r="E114" s="37" t="s">
        <v>293</v>
      </c>
      <c r="F114" s="38">
        <v>45261</v>
      </c>
      <c r="G114" s="37" t="s">
        <v>215</v>
      </c>
      <c r="H114" s="40">
        <v>1390.12</v>
      </c>
      <c r="I114" s="39">
        <f>IF(My_Payment[[#This Row],[Payment_Code]]="S",My_Payment[[#This Row],[Total AMT]]/2,IF(My_Payment[[#This Row],[Payment_Code]]="P",My_Payment[[#This Row],[Total AMT]],0))</f>
        <v>1390.12</v>
      </c>
      <c r="J114" s="39">
        <f>IF(My_Payment[[#This Row],[Payment_Code]]="S",My_Payment[[#This Row],[Total AMT]]/2,IF(My_Payment[[#This Row],[Payment_Code]]="N",My_Payment[[#This Row],[Total AMT]],0))</f>
        <v>0</v>
      </c>
    </row>
    <row r="115" spans="1:10">
      <c r="A115" s="38">
        <v>45267</v>
      </c>
      <c r="B115" s="37" t="s">
        <v>247</v>
      </c>
      <c r="C115" s="37" t="s">
        <v>248</v>
      </c>
      <c r="D115" s="37" t="s">
        <v>274</v>
      </c>
      <c r="E115" s="37" t="s">
        <v>294</v>
      </c>
      <c r="F115" s="38">
        <v>45292</v>
      </c>
      <c r="G115" s="37" t="s">
        <v>215</v>
      </c>
      <c r="H115" s="40">
        <v>1390.12</v>
      </c>
      <c r="I115" s="39">
        <f>IF(My_Payment[[#This Row],[Payment_Code]]="S",My_Payment[[#This Row],[Total AMT]]/2,IF(My_Payment[[#This Row],[Payment_Code]]="P",My_Payment[[#This Row],[Total AMT]],0))</f>
        <v>1390.12</v>
      </c>
      <c r="J115" s="39">
        <f>IF(My_Payment[[#This Row],[Payment_Code]]="S",My_Payment[[#This Row],[Total AMT]]/2,IF(My_Payment[[#This Row],[Payment_Code]]="N",My_Payment[[#This Row],[Total AMT]],0))</f>
        <v>0</v>
      </c>
    </row>
    <row r="116" spans="1:10">
      <c r="A116" s="38">
        <v>45298</v>
      </c>
      <c r="B116" s="37" t="s">
        <v>247</v>
      </c>
      <c r="C116" s="37" t="s">
        <v>248</v>
      </c>
      <c r="D116" s="37" t="s">
        <v>274</v>
      </c>
      <c r="E116" s="37" t="s">
        <v>295</v>
      </c>
      <c r="F116" s="38">
        <v>45323</v>
      </c>
      <c r="G116" s="37" t="s">
        <v>215</v>
      </c>
      <c r="H116" s="40">
        <v>1390.12</v>
      </c>
      <c r="I116" s="39">
        <f>IF(My_Payment[[#This Row],[Payment_Code]]="S",My_Payment[[#This Row],[Total AMT]]/2,IF(My_Payment[[#This Row],[Payment_Code]]="P",My_Payment[[#This Row],[Total AMT]],0))</f>
        <v>1390.12</v>
      </c>
      <c r="J116" s="39">
        <f>IF(My_Payment[[#This Row],[Payment_Code]]="S",My_Payment[[#This Row],[Total AMT]]/2,IF(My_Payment[[#This Row],[Payment_Code]]="N",My_Payment[[#This Row],[Total AMT]],0))</f>
        <v>0</v>
      </c>
    </row>
    <row r="117" spans="1:10">
      <c r="A117" s="38">
        <v>45329</v>
      </c>
      <c r="B117" s="37" t="s">
        <v>247</v>
      </c>
      <c r="C117" s="37" t="s">
        <v>248</v>
      </c>
      <c r="D117" s="37" t="s">
        <v>274</v>
      </c>
      <c r="E117" s="37" t="s">
        <v>296</v>
      </c>
      <c r="F117" s="38">
        <v>45352</v>
      </c>
      <c r="G117" s="37" t="s">
        <v>215</v>
      </c>
      <c r="H117" s="40">
        <v>1390.12</v>
      </c>
      <c r="I117" s="39">
        <f>IF(My_Payment[[#This Row],[Payment_Code]]="S",My_Payment[[#This Row],[Total AMT]]/2,IF(My_Payment[[#This Row],[Payment_Code]]="P",My_Payment[[#This Row],[Total AMT]],0))</f>
        <v>1390.12</v>
      </c>
      <c r="J117" s="39">
        <f>IF(My_Payment[[#This Row],[Payment_Code]]="S",My_Payment[[#This Row],[Total AMT]]/2,IF(My_Payment[[#This Row],[Payment_Code]]="N",My_Payment[[#This Row],[Total AMT]],0))</f>
        <v>0</v>
      </c>
    </row>
    <row r="118" spans="1:10">
      <c r="A118" s="38">
        <v>45358</v>
      </c>
      <c r="B118" s="37" t="s">
        <v>247</v>
      </c>
      <c r="C118" s="37" t="s">
        <v>248</v>
      </c>
      <c r="D118" s="37" t="s">
        <v>274</v>
      </c>
      <c r="E118" s="37" t="s">
        <v>297</v>
      </c>
      <c r="F118" s="38">
        <v>45383</v>
      </c>
      <c r="G118" s="37" t="s">
        <v>215</v>
      </c>
      <c r="H118" s="40">
        <v>1390.12</v>
      </c>
      <c r="I118" s="39">
        <f>IF(My_Payment[[#This Row],[Payment_Code]]="S",My_Payment[[#This Row],[Total AMT]]/2,IF(My_Payment[[#This Row],[Payment_Code]]="P",My_Payment[[#This Row],[Total AMT]],0))</f>
        <v>1390.12</v>
      </c>
      <c r="J118" s="39">
        <f>IF(My_Payment[[#This Row],[Payment_Code]]="S",My_Payment[[#This Row],[Total AMT]]/2,IF(My_Payment[[#This Row],[Payment_Code]]="N",My_Payment[[#This Row],[Total AMT]],0))</f>
        <v>0</v>
      </c>
    </row>
    <row r="119" spans="1:10">
      <c r="A119" s="38">
        <v>45389</v>
      </c>
      <c r="B119" s="37" t="s">
        <v>298</v>
      </c>
      <c r="C119" s="37" t="s">
        <v>299</v>
      </c>
      <c r="D119" s="37" t="s">
        <v>274</v>
      </c>
      <c r="E119" s="37" t="s">
        <v>252</v>
      </c>
      <c r="F119" s="38">
        <v>45413</v>
      </c>
      <c r="G119" s="37" t="s">
        <v>215</v>
      </c>
      <c r="H119" s="40">
        <v>1390.12</v>
      </c>
      <c r="I119" s="39">
        <f>IF(My_Payment[[#This Row],[Payment_Code]]="S",My_Payment[[#This Row],[Total AMT]]/2,IF(My_Payment[[#This Row],[Payment_Code]]="P",My_Payment[[#This Row],[Total AMT]],0))</f>
        <v>1390.12</v>
      </c>
      <c r="J119" s="39">
        <f>IF(My_Payment[[#This Row],[Payment_Code]]="S",My_Payment[[#This Row],[Total AMT]]/2,IF(My_Payment[[#This Row],[Payment_Code]]="N",My_Payment[[#This Row],[Total AMT]],0))</f>
        <v>0</v>
      </c>
    </row>
    <row r="120" spans="1:10">
      <c r="A120" s="38">
        <v>44719</v>
      </c>
      <c r="B120" s="37" t="s">
        <v>247</v>
      </c>
      <c r="C120" s="37" t="s">
        <v>248</v>
      </c>
      <c r="D120" s="37" t="s">
        <v>300</v>
      </c>
      <c r="E120" s="37" t="s">
        <v>275</v>
      </c>
      <c r="F120" s="38">
        <v>44743</v>
      </c>
      <c r="G120" s="37" t="s">
        <v>215</v>
      </c>
      <c r="H120" s="40">
        <v>412.5</v>
      </c>
      <c r="I120" s="39">
        <f>IF(My_Payment[[#This Row],[Payment_Code]]="S",My_Payment[[#This Row],[Total AMT]]/2,IF(My_Payment[[#This Row],[Payment_Code]]="P",My_Payment[[#This Row],[Total AMT]],0))</f>
        <v>412.5</v>
      </c>
      <c r="J120" s="39">
        <f>IF(My_Payment[[#This Row],[Payment_Code]]="S",My_Payment[[#This Row],[Total AMT]]/2,IF(My_Payment[[#This Row],[Payment_Code]]="N",My_Payment[[#This Row],[Total AMT]],0))</f>
        <v>0</v>
      </c>
    </row>
    <row r="121" spans="1:10">
      <c r="A121" s="38">
        <v>44749</v>
      </c>
      <c r="B121" s="37" t="s">
        <v>247</v>
      </c>
      <c r="C121" s="37" t="s">
        <v>248</v>
      </c>
      <c r="D121" s="37" t="s">
        <v>300</v>
      </c>
      <c r="E121" s="37" t="s">
        <v>276</v>
      </c>
      <c r="F121" s="38">
        <v>44774</v>
      </c>
      <c r="G121" s="37" t="s">
        <v>215</v>
      </c>
      <c r="H121" s="40">
        <v>412.5</v>
      </c>
      <c r="I121" s="39">
        <f>IF(My_Payment[[#This Row],[Payment_Code]]="S",My_Payment[[#This Row],[Total AMT]]/2,IF(My_Payment[[#This Row],[Payment_Code]]="P",My_Payment[[#This Row],[Total AMT]],0))</f>
        <v>412.5</v>
      </c>
      <c r="J121" s="39">
        <f>IF(My_Payment[[#This Row],[Payment_Code]]="S",My_Payment[[#This Row],[Total AMT]]/2,IF(My_Payment[[#This Row],[Payment_Code]]="N",My_Payment[[#This Row],[Total AMT]],0))</f>
        <v>0</v>
      </c>
    </row>
    <row r="122" spans="1:10">
      <c r="A122" s="38">
        <v>44780</v>
      </c>
      <c r="B122" s="37" t="s">
        <v>247</v>
      </c>
      <c r="C122" s="37" t="s">
        <v>248</v>
      </c>
      <c r="D122" s="37" t="s">
        <v>300</v>
      </c>
      <c r="E122" s="37" t="s">
        <v>277</v>
      </c>
      <c r="F122" s="38">
        <v>44805</v>
      </c>
      <c r="G122" s="37" t="s">
        <v>215</v>
      </c>
      <c r="H122" s="40">
        <v>412.5</v>
      </c>
      <c r="I122" s="39">
        <f>IF(My_Payment[[#This Row],[Payment_Code]]="S",My_Payment[[#This Row],[Total AMT]]/2,IF(My_Payment[[#This Row],[Payment_Code]]="P",My_Payment[[#This Row],[Total AMT]],0))</f>
        <v>412.5</v>
      </c>
      <c r="J122" s="39">
        <f>IF(My_Payment[[#This Row],[Payment_Code]]="S",My_Payment[[#This Row],[Total AMT]]/2,IF(My_Payment[[#This Row],[Payment_Code]]="N",My_Payment[[#This Row],[Total AMT]],0))</f>
        <v>0</v>
      </c>
    </row>
    <row r="123" spans="1:10">
      <c r="A123" s="38">
        <v>44811</v>
      </c>
      <c r="B123" s="37" t="s">
        <v>247</v>
      </c>
      <c r="C123" s="37" t="s">
        <v>248</v>
      </c>
      <c r="D123" s="37" t="s">
        <v>300</v>
      </c>
      <c r="E123" s="37" t="s">
        <v>278</v>
      </c>
      <c r="F123" s="38">
        <v>44835</v>
      </c>
      <c r="G123" s="37" t="s">
        <v>215</v>
      </c>
      <c r="H123" s="40">
        <v>412.5</v>
      </c>
      <c r="I123" s="39">
        <f>IF(My_Payment[[#This Row],[Payment_Code]]="S",My_Payment[[#This Row],[Total AMT]]/2,IF(My_Payment[[#This Row],[Payment_Code]]="P",My_Payment[[#This Row],[Total AMT]],0))</f>
        <v>412.5</v>
      </c>
      <c r="J123" s="39">
        <f>IF(My_Payment[[#This Row],[Payment_Code]]="S",My_Payment[[#This Row],[Total AMT]]/2,IF(My_Payment[[#This Row],[Payment_Code]]="N",My_Payment[[#This Row],[Total AMT]],0))</f>
        <v>0</v>
      </c>
    </row>
    <row r="124" spans="1:10">
      <c r="A124" s="38">
        <v>44841</v>
      </c>
      <c r="B124" s="37" t="s">
        <v>247</v>
      </c>
      <c r="C124" s="37" t="s">
        <v>248</v>
      </c>
      <c r="D124" s="37" t="s">
        <v>300</v>
      </c>
      <c r="E124" s="37" t="s">
        <v>279</v>
      </c>
      <c r="F124" s="38">
        <v>44866</v>
      </c>
      <c r="G124" s="37" t="s">
        <v>215</v>
      </c>
      <c r="H124" s="40">
        <v>412.5</v>
      </c>
      <c r="I124" s="39">
        <f>IF(My_Payment[[#This Row],[Payment_Code]]="S",My_Payment[[#This Row],[Total AMT]]/2,IF(My_Payment[[#This Row],[Payment_Code]]="P",My_Payment[[#This Row],[Total AMT]],0))</f>
        <v>412.5</v>
      </c>
      <c r="J124" s="39">
        <f>IF(My_Payment[[#This Row],[Payment_Code]]="S",My_Payment[[#This Row],[Total AMT]]/2,IF(My_Payment[[#This Row],[Payment_Code]]="N",My_Payment[[#This Row],[Total AMT]],0))</f>
        <v>0</v>
      </c>
    </row>
    <row r="125" spans="1:10">
      <c r="A125" s="38">
        <v>44872</v>
      </c>
      <c r="B125" s="37" t="s">
        <v>247</v>
      </c>
      <c r="C125" s="37" t="s">
        <v>248</v>
      </c>
      <c r="D125" s="37" t="s">
        <v>300</v>
      </c>
      <c r="E125" s="37" t="s">
        <v>280</v>
      </c>
      <c r="F125" s="38">
        <v>44896</v>
      </c>
      <c r="G125" s="37" t="s">
        <v>215</v>
      </c>
      <c r="H125" s="40">
        <v>412.5</v>
      </c>
      <c r="I125" s="39">
        <f>IF(My_Payment[[#This Row],[Payment_Code]]="S",My_Payment[[#This Row],[Total AMT]]/2,IF(My_Payment[[#This Row],[Payment_Code]]="P",My_Payment[[#This Row],[Total AMT]],0))</f>
        <v>412.5</v>
      </c>
      <c r="J125" s="39">
        <f>IF(My_Payment[[#This Row],[Payment_Code]]="S",My_Payment[[#This Row],[Total AMT]]/2,IF(My_Payment[[#This Row],[Payment_Code]]="N",My_Payment[[#This Row],[Total AMT]],0))</f>
        <v>0</v>
      </c>
    </row>
    <row r="126" spans="1:10">
      <c r="A126" s="38">
        <v>44902</v>
      </c>
      <c r="B126" s="37" t="s">
        <v>247</v>
      </c>
      <c r="C126" s="37" t="s">
        <v>248</v>
      </c>
      <c r="D126" s="37" t="s">
        <v>300</v>
      </c>
      <c r="E126" s="37" t="s">
        <v>281</v>
      </c>
      <c r="F126" s="38">
        <v>44927</v>
      </c>
      <c r="G126" s="37" t="s">
        <v>215</v>
      </c>
      <c r="H126" s="40">
        <v>412.5</v>
      </c>
      <c r="I126" s="39">
        <f>IF(My_Payment[[#This Row],[Payment_Code]]="S",My_Payment[[#This Row],[Total AMT]]/2,IF(My_Payment[[#This Row],[Payment_Code]]="P",My_Payment[[#This Row],[Total AMT]],0))</f>
        <v>412.5</v>
      </c>
      <c r="J126" s="39">
        <f>IF(My_Payment[[#This Row],[Payment_Code]]="S",My_Payment[[#This Row],[Total AMT]]/2,IF(My_Payment[[#This Row],[Payment_Code]]="N",My_Payment[[#This Row],[Total AMT]],0))</f>
        <v>0</v>
      </c>
    </row>
    <row r="127" spans="1:10">
      <c r="A127" s="38">
        <v>44933</v>
      </c>
      <c r="B127" s="37" t="s">
        <v>247</v>
      </c>
      <c r="C127" s="37" t="s">
        <v>248</v>
      </c>
      <c r="D127" s="37" t="s">
        <v>300</v>
      </c>
      <c r="E127" s="37" t="s">
        <v>282</v>
      </c>
      <c r="F127" s="38">
        <v>44958</v>
      </c>
      <c r="G127" s="37" t="s">
        <v>215</v>
      </c>
      <c r="H127" s="40">
        <v>412.5</v>
      </c>
      <c r="I127" s="39">
        <f>IF(My_Payment[[#This Row],[Payment_Code]]="S",My_Payment[[#This Row],[Total AMT]]/2,IF(My_Payment[[#This Row],[Payment_Code]]="P",My_Payment[[#This Row],[Total AMT]],0))</f>
        <v>412.5</v>
      </c>
      <c r="J127" s="39">
        <f>IF(My_Payment[[#This Row],[Payment_Code]]="S",My_Payment[[#This Row],[Total AMT]]/2,IF(My_Payment[[#This Row],[Payment_Code]]="N",My_Payment[[#This Row],[Total AMT]],0))</f>
        <v>0</v>
      </c>
    </row>
    <row r="128" spans="1:10">
      <c r="A128" s="38">
        <v>44964</v>
      </c>
      <c r="B128" s="37" t="s">
        <v>247</v>
      </c>
      <c r="C128" s="37" t="s">
        <v>248</v>
      </c>
      <c r="D128" s="37" t="s">
        <v>300</v>
      </c>
      <c r="E128" s="37" t="s">
        <v>283</v>
      </c>
      <c r="F128" s="38">
        <v>44986</v>
      </c>
      <c r="G128" s="37" t="s">
        <v>215</v>
      </c>
      <c r="H128" s="40">
        <v>412.5</v>
      </c>
      <c r="I128" s="39">
        <f>IF(My_Payment[[#This Row],[Payment_Code]]="S",My_Payment[[#This Row],[Total AMT]]/2,IF(My_Payment[[#This Row],[Payment_Code]]="P",My_Payment[[#This Row],[Total AMT]],0))</f>
        <v>412.5</v>
      </c>
      <c r="J128" s="39">
        <f>IF(My_Payment[[#This Row],[Payment_Code]]="S",My_Payment[[#This Row],[Total AMT]]/2,IF(My_Payment[[#This Row],[Payment_Code]]="N",My_Payment[[#This Row],[Total AMT]],0))</f>
        <v>0</v>
      </c>
    </row>
    <row r="129" spans="1:10">
      <c r="A129" s="38">
        <v>44992</v>
      </c>
      <c r="B129" s="37" t="s">
        <v>247</v>
      </c>
      <c r="C129" s="37" t="s">
        <v>248</v>
      </c>
      <c r="D129" s="37" t="s">
        <v>300</v>
      </c>
      <c r="E129" s="37" t="s">
        <v>284</v>
      </c>
      <c r="F129" s="38">
        <v>45017</v>
      </c>
      <c r="G129" s="37" t="s">
        <v>215</v>
      </c>
      <c r="H129" s="40">
        <v>412.5</v>
      </c>
      <c r="I129" s="39">
        <f>IF(My_Payment[[#This Row],[Payment_Code]]="S",My_Payment[[#This Row],[Total AMT]]/2,IF(My_Payment[[#This Row],[Payment_Code]]="P",My_Payment[[#This Row],[Total AMT]],0))</f>
        <v>412.5</v>
      </c>
      <c r="J129" s="39">
        <f>IF(My_Payment[[#This Row],[Payment_Code]]="S",My_Payment[[#This Row],[Total AMT]]/2,IF(My_Payment[[#This Row],[Payment_Code]]="N",My_Payment[[#This Row],[Total AMT]],0))</f>
        <v>0</v>
      </c>
    </row>
    <row r="130" spans="1:10">
      <c r="A130" s="38">
        <v>45023</v>
      </c>
      <c r="B130" s="37" t="s">
        <v>247</v>
      </c>
      <c r="C130" s="37" t="s">
        <v>248</v>
      </c>
      <c r="D130" s="37" t="s">
        <v>300</v>
      </c>
      <c r="E130" s="37" t="s">
        <v>285</v>
      </c>
      <c r="F130" s="38">
        <v>45047</v>
      </c>
      <c r="G130" s="37" t="s">
        <v>215</v>
      </c>
      <c r="H130" s="40">
        <v>412.5</v>
      </c>
      <c r="I130" s="39">
        <f>IF(My_Payment[[#This Row],[Payment_Code]]="S",My_Payment[[#This Row],[Total AMT]]/2,IF(My_Payment[[#This Row],[Payment_Code]]="P",My_Payment[[#This Row],[Total AMT]],0))</f>
        <v>412.5</v>
      </c>
      <c r="J130" s="39">
        <f>IF(My_Payment[[#This Row],[Payment_Code]]="S",My_Payment[[#This Row],[Total AMT]]/2,IF(My_Payment[[#This Row],[Payment_Code]]="N",My_Payment[[#This Row],[Total AMT]],0))</f>
        <v>0</v>
      </c>
    </row>
    <row r="131" spans="1:10">
      <c r="A131" s="38">
        <v>45053</v>
      </c>
      <c r="B131" s="37" t="s">
        <v>247</v>
      </c>
      <c r="C131" s="37" t="s">
        <v>248</v>
      </c>
      <c r="D131" s="37" t="s">
        <v>300</v>
      </c>
      <c r="E131" s="37" t="s">
        <v>286</v>
      </c>
      <c r="F131" s="38">
        <v>45078</v>
      </c>
      <c r="G131" s="37" t="s">
        <v>215</v>
      </c>
      <c r="H131" s="40">
        <v>412.5</v>
      </c>
      <c r="I131" s="39">
        <f>IF(My_Payment[[#This Row],[Payment_Code]]="S",My_Payment[[#This Row],[Total AMT]]/2,IF(My_Payment[[#This Row],[Payment_Code]]="P",My_Payment[[#This Row],[Total AMT]],0))</f>
        <v>412.5</v>
      </c>
      <c r="J131" s="39">
        <f>IF(My_Payment[[#This Row],[Payment_Code]]="S",My_Payment[[#This Row],[Total AMT]]/2,IF(My_Payment[[#This Row],[Payment_Code]]="N",My_Payment[[#This Row],[Total AMT]],0))</f>
        <v>0</v>
      </c>
    </row>
    <row r="132" spans="1:10">
      <c r="A132" s="38">
        <v>45084</v>
      </c>
      <c r="B132" s="37" t="s">
        <v>247</v>
      </c>
      <c r="C132" s="37" t="s">
        <v>248</v>
      </c>
      <c r="D132" s="37" t="s">
        <v>300</v>
      </c>
      <c r="E132" s="37" t="s">
        <v>287</v>
      </c>
      <c r="F132" s="38">
        <v>45108</v>
      </c>
      <c r="G132" s="37" t="s">
        <v>215</v>
      </c>
      <c r="H132" s="40">
        <v>412.5</v>
      </c>
      <c r="I132" s="39">
        <f>IF(My_Payment[[#This Row],[Payment_Code]]="S",My_Payment[[#This Row],[Total AMT]]/2,IF(My_Payment[[#This Row],[Payment_Code]]="P",My_Payment[[#This Row],[Total AMT]],0))</f>
        <v>412.5</v>
      </c>
      <c r="J132" s="39">
        <f>IF(My_Payment[[#This Row],[Payment_Code]]="S",My_Payment[[#This Row],[Total AMT]]/2,IF(My_Payment[[#This Row],[Payment_Code]]="N",My_Payment[[#This Row],[Total AMT]],0))</f>
        <v>0</v>
      </c>
    </row>
    <row r="133" spans="1:10">
      <c r="A133" s="38">
        <v>45114</v>
      </c>
      <c r="B133" s="37" t="s">
        <v>247</v>
      </c>
      <c r="C133" s="37" t="s">
        <v>248</v>
      </c>
      <c r="D133" s="37" t="s">
        <v>300</v>
      </c>
      <c r="E133" s="37" t="s">
        <v>288</v>
      </c>
      <c r="F133" s="38">
        <v>45139</v>
      </c>
      <c r="G133" s="37" t="s">
        <v>215</v>
      </c>
      <c r="H133" s="40">
        <v>412.5</v>
      </c>
      <c r="I133" s="39">
        <f>IF(My_Payment[[#This Row],[Payment_Code]]="S",My_Payment[[#This Row],[Total AMT]]/2,IF(My_Payment[[#This Row],[Payment_Code]]="P",My_Payment[[#This Row],[Total AMT]],0))</f>
        <v>412.5</v>
      </c>
      <c r="J133" s="39">
        <f>IF(My_Payment[[#This Row],[Payment_Code]]="S",My_Payment[[#This Row],[Total AMT]]/2,IF(My_Payment[[#This Row],[Payment_Code]]="N",My_Payment[[#This Row],[Total AMT]],0))</f>
        <v>0</v>
      </c>
    </row>
    <row r="134" spans="1:10">
      <c r="A134" s="38">
        <v>45145</v>
      </c>
      <c r="B134" s="37" t="s">
        <v>247</v>
      </c>
      <c r="C134" s="37" t="s">
        <v>248</v>
      </c>
      <c r="D134" s="37" t="s">
        <v>300</v>
      </c>
      <c r="E134" s="37" t="s">
        <v>289</v>
      </c>
      <c r="F134" s="38">
        <v>45170</v>
      </c>
      <c r="G134" s="37" t="s">
        <v>215</v>
      </c>
      <c r="H134" s="40">
        <v>412.5</v>
      </c>
      <c r="I134" s="39">
        <f>IF(My_Payment[[#This Row],[Payment_Code]]="S",My_Payment[[#This Row],[Total AMT]]/2,IF(My_Payment[[#This Row],[Payment_Code]]="P",My_Payment[[#This Row],[Total AMT]],0))</f>
        <v>412.5</v>
      </c>
      <c r="J134" s="39">
        <f>IF(My_Payment[[#This Row],[Payment_Code]]="S",My_Payment[[#This Row],[Total AMT]]/2,IF(My_Payment[[#This Row],[Payment_Code]]="N",My_Payment[[#This Row],[Total AMT]],0))</f>
        <v>0</v>
      </c>
    </row>
    <row r="135" spans="1:10">
      <c r="A135" s="38">
        <v>45176</v>
      </c>
      <c r="B135" s="37" t="s">
        <v>247</v>
      </c>
      <c r="C135" s="37" t="s">
        <v>248</v>
      </c>
      <c r="D135" s="37" t="s">
        <v>300</v>
      </c>
      <c r="E135" s="37" t="s">
        <v>290</v>
      </c>
      <c r="F135" s="38">
        <v>45200</v>
      </c>
      <c r="G135" s="37" t="s">
        <v>215</v>
      </c>
      <c r="H135" s="40">
        <v>412.5</v>
      </c>
      <c r="I135" s="39">
        <f>IF(My_Payment[[#This Row],[Payment_Code]]="S",My_Payment[[#This Row],[Total AMT]]/2,IF(My_Payment[[#This Row],[Payment_Code]]="P",My_Payment[[#This Row],[Total AMT]],0))</f>
        <v>412.5</v>
      </c>
      <c r="J135" s="39">
        <f>IF(My_Payment[[#This Row],[Payment_Code]]="S",My_Payment[[#This Row],[Total AMT]]/2,IF(My_Payment[[#This Row],[Payment_Code]]="N",My_Payment[[#This Row],[Total AMT]],0))</f>
        <v>0</v>
      </c>
    </row>
    <row r="136" spans="1:10">
      <c r="A136" s="38">
        <v>45206</v>
      </c>
      <c r="B136" s="37" t="s">
        <v>247</v>
      </c>
      <c r="C136" s="37" t="s">
        <v>248</v>
      </c>
      <c r="D136" s="37" t="s">
        <v>300</v>
      </c>
      <c r="E136" s="37" t="s">
        <v>291</v>
      </c>
      <c r="F136" s="38">
        <v>45231</v>
      </c>
      <c r="G136" s="37" t="s">
        <v>215</v>
      </c>
      <c r="H136" s="40">
        <v>412.5</v>
      </c>
      <c r="I136" s="39">
        <f>IF(My_Payment[[#This Row],[Payment_Code]]="S",My_Payment[[#This Row],[Total AMT]]/2,IF(My_Payment[[#This Row],[Payment_Code]]="P",My_Payment[[#This Row],[Total AMT]],0))</f>
        <v>412.5</v>
      </c>
      <c r="J136" s="39">
        <f>IF(My_Payment[[#This Row],[Payment_Code]]="S",My_Payment[[#This Row],[Total AMT]]/2,IF(My_Payment[[#This Row],[Payment_Code]]="N",My_Payment[[#This Row],[Total AMT]],0))</f>
        <v>0</v>
      </c>
    </row>
    <row r="137" spans="1:10">
      <c r="A137" s="38">
        <v>45237</v>
      </c>
      <c r="B137" s="37" t="s">
        <v>247</v>
      </c>
      <c r="C137" s="37" t="s">
        <v>248</v>
      </c>
      <c r="D137" s="37" t="s">
        <v>300</v>
      </c>
      <c r="E137" s="37" t="s">
        <v>292</v>
      </c>
      <c r="F137" s="38">
        <v>45261</v>
      </c>
      <c r="G137" s="37" t="s">
        <v>215</v>
      </c>
      <c r="H137" s="40">
        <v>412.5</v>
      </c>
      <c r="I137" s="39">
        <f>IF(My_Payment[[#This Row],[Payment_Code]]="S",My_Payment[[#This Row],[Total AMT]]/2,IF(My_Payment[[#This Row],[Payment_Code]]="P",My_Payment[[#This Row],[Total AMT]],0))</f>
        <v>412.5</v>
      </c>
      <c r="J137" s="39">
        <f>IF(My_Payment[[#This Row],[Payment_Code]]="S",My_Payment[[#This Row],[Total AMT]]/2,IF(My_Payment[[#This Row],[Payment_Code]]="N",My_Payment[[#This Row],[Total AMT]],0))</f>
        <v>0</v>
      </c>
    </row>
    <row r="138" spans="1:10">
      <c r="A138" s="38">
        <v>45267</v>
      </c>
      <c r="B138" s="37" t="s">
        <v>247</v>
      </c>
      <c r="C138" s="37" t="s">
        <v>248</v>
      </c>
      <c r="D138" s="37" t="s">
        <v>300</v>
      </c>
      <c r="E138" s="37" t="s">
        <v>293</v>
      </c>
      <c r="F138" s="38">
        <v>45292</v>
      </c>
      <c r="G138" s="37" t="s">
        <v>215</v>
      </c>
      <c r="H138" s="40">
        <v>412.5</v>
      </c>
      <c r="I138" s="39">
        <f>IF(My_Payment[[#This Row],[Payment_Code]]="S",My_Payment[[#This Row],[Total AMT]]/2,IF(My_Payment[[#This Row],[Payment_Code]]="P",My_Payment[[#This Row],[Total AMT]],0))</f>
        <v>412.5</v>
      </c>
      <c r="J138" s="39">
        <f>IF(My_Payment[[#This Row],[Payment_Code]]="S",My_Payment[[#This Row],[Total AMT]]/2,IF(My_Payment[[#This Row],[Payment_Code]]="N",My_Payment[[#This Row],[Total AMT]],0))</f>
        <v>0</v>
      </c>
    </row>
    <row r="139" spans="1:10">
      <c r="A139" s="38">
        <v>45298</v>
      </c>
      <c r="B139" s="37" t="s">
        <v>247</v>
      </c>
      <c r="C139" s="37" t="s">
        <v>248</v>
      </c>
      <c r="D139" s="37" t="s">
        <v>300</v>
      </c>
      <c r="E139" s="37" t="s">
        <v>294</v>
      </c>
      <c r="F139" s="38">
        <v>45323</v>
      </c>
      <c r="G139" s="37" t="s">
        <v>215</v>
      </c>
      <c r="H139" s="40">
        <v>412.5</v>
      </c>
      <c r="I139" s="39">
        <f>IF(My_Payment[[#This Row],[Payment_Code]]="S",My_Payment[[#This Row],[Total AMT]]/2,IF(My_Payment[[#This Row],[Payment_Code]]="P",My_Payment[[#This Row],[Total AMT]],0))</f>
        <v>412.5</v>
      </c>
      <c r="J139" s="39">
        <f>IF(My_Payment[[#This Row],[Payment_Code]]="S",My_Payment[[#This Row],[Total AMT]]/2,IF(My_Payment[[#This Row],[Payment_Code]]="N",My_Payment[[#This Row],[Total AMT]],0))</f>
        <v>0</v>
      </c>
    </row>
    <row r="140" spans="1:10">
      <c r="A140" s="38">
        <v>45329</v>
      </c>
      <c r="B140" s="37" t="s">
        <v>247</v>
      </c>
      <c r="C140" s="37" t="s">
        <v>248</v>
      </c>
      <c r="D140" s="37" t="s">
        <v>300</v>
      </c>
      <c r="E140" s="37" t="s">
        <v>295</v>
      </c>
      <c r="F140" s="38">
        <v>45352</v>
      </c>
      <c r="G140" s="37" t="s">
        <v>215</v>
      </c>
      <c r="H140" s="40">
        <v>412.5</v>
      </c>
      <c r="I140" s="39">
        <f>IF(My_Payment[[#This Row],[Payment_Code]]="S",My_Payment[[#This Row],[Total AMT]]/2,IF(My_Payment[[#This Row],[Payment_Code]]="P",My_Payment[[#This Row],[Total AMT]],0))</f>
        <v>412.5</v>
      </c>
      <c r="J140" s="39">
        <f>IF(My_Payment[[#This Row],[Payment_Code]]="S",My_Payment[[#This Row],[Total AMT]]/2,IF(My_Payment[[#This Row],[Payment_Code]]="N",My_Payment[[#This Row],[Total AMT]],0))</f>
        <v>0</v>
      </c>
    </row>
    <row r="141" spans="1:10">
      <c r="A141" s="38">
        <v>45358</v>
      </c>
      <c r="B141" s="37" t="s">
        <v>247</v>
      </c>
      <c r="C141" s="37" t="s">
        <v>248</v>
      </c>
      <c r="D141" s="37" t="s">
        <v>300</v>
      </c>
      <c r="E141" s="37" t="s">
        <v>296</v>
      </c>
      <c r="F141" s="38">
        <v>45383</v>
      </c>
      <c r="G141" s="37" t="s">
        <v>215</v>
      </c>
      <c r="H141" s="40">
        <v>412.5</v>
      </c>
      <c r="I141" s="39">
        <f>IF(My_Payment[[#This Row],[Payment_Code]]="S",My_Payment[[#This Row],[Total AMT]]/2,IF(My_Payment[[#This Row],[Payment_Code]]="P",My_Payment[[#This Row],[Total AMT]],0))</f>
        <v>412.5</v>
      </c>
      <c r="J141" s="39">
        <f>IF(My_Payment[[#This Row],[Payment_Code]]="S",My_Payment[[#This Row],[Total AMT]]/2,IF(My_Payment[[#This Row],[Payment_Code]]="N",My_Payment[[#This Row],[Total AMT]],0))</f>
        <v>0</v>
      </c>
    </row>
    <row r="142" spans="1:10">
      <c r="A142" s="38">
        <v>45389</v>
      </c>
      <c r="B142" s="37" t="s">
        <v>298</v>
      </c>
      <c r="C142" s="37" t="s">
        <v>299</v>
      </c>
      <c r="D142" s="37" t="s">
        <v>300</v>
      </c>
      <c r="E142" s="37" t="s">
        <v>297</v>
      </c>
      <c r="F142" s="38">
        <v>45413</v>
      </c>
      <c r="G142" s="37" t="s">
        <v>215</v>
      </c>
      <c r="H142" s="40">
        <v>412.5</v>
      </c>
      <c r="I142" s="39">
        <f>IF(My_Payment[[#This Row],[Payment_Code]]="S",My_Payment[[#This Row],[Total AMT]]/2,IF(My_Payment[[#This Row],[Payment_Code]]="P",My_Payment[[#This Row],[Total AMT]],0))</f>
        <v>412.5</v>
      </c>
      <c r="J142" s="39">
        <f>IF(My_Payment[[#This Row],[Payment_Code]]="S",My_Payment[[#This Row],[Total AMT]]/2,IF(My_Payment[[#This Row],[Payment_Code]]="N",My_Payment[[#This Row],[Total AMT]],0))</f>
        <v>0</v>
      </c>
    </row>
    <row r="143" spans="1:10">
      <c r="A143" s="38">
        <v>45419</v>
      </c>
      <c r="B143" s="37" t="s">
        <v>298</v>
      </c>
      <c r="C143" s="37" t="s">
        <v>299</v>
      </c>
      <c r="D143" s="37" t="s">
        <v>300</v>
      </c>
      <c r="E143" s="37" t="s">
        <v>252</v>
      </c>
      <c r="F143" s="38">
        <v>45444</v>
      </c>
      <c r="G143" s="37" t="s">
        <v>215</v>
      </c>
      <c r="H143" s="40">
        <v>412.5</v>
      </c>
      <c r="I143" s="39">
        <f>IF(My_Payment[[#This Row],[Payment_Code]]="S",My_Payment[[#This Row],[Total AMT]]/2,IF(My_Payment[[#This Row],[Payment_Code]]="P",My_Payment[[#This Row],[Total AMT]],0))</f>
        <v>412.5</v>
      </c>
      <c r="J143" s="39">
        <f>IF(My_Payment[[#This Row],[Payment_Code]]="S",My_Payment[[#This Row],[Total AMT]]/2,IF(My_Payment[[#This Row],[Payment_Code]]="N",My_Payment[[#This Row],[Total AMT]],0))</f>
        <v>0</v>
      </c>
    </row>
    <row r="144" spans="1:10">
      <c r="A144" s="38">
        <v>44719</v>
      </c>
      <c r="B144" s="37" t="s">
        <v>247</v>
      </c>
      <c r="C144" s="37" t="s">
        <v>248</v>
      </c>
      <c r="D144" s="37" t="s">
        <v>301</v>
      </c>
      <c r="E144" s="37" t="s">
        <v>275</v>
      </c>
      <c r="F144" s="38">
        <v>44743</v>
      </c>
      <c r="G144" s="37" t="s">
        <v>215</v>
      </c>
      <c r="H144" s="40">
        <v>187.16</v>
      </c>
      <c r="I144" s="39">
        <f>IF(My_Payment[[#This Row],[Payment_Code]]="S",My_Payment[[#This Row],[Total AMT]]/2,IF(My_Payment[[#This Row],[Payment_Code]]="P",My_Payment[[#This Row],[Total AMT]],0))</f>
        <v>187.16</v>
      </c>
      <c r="J144" s="39">
        <f>IF(My_Payment[[#This Row],[Payment_Code]]="S",My_Payment[[#This Row],[Total AMT]]/2,IF(My_Payment[[#This Row],[Payment_Code]]="N",My_Payment[[#This Row],[Total AMT]],0))</f>
        <v>0</v>
      </c>
    </row>
    <row r="145" spans="1:10">
      <c r="A145" s="38">
        <v>44749</v>
      </c>
      <c r="B145" s="37" t="s">
        <v>247</v>
      </c>
      <c r="C145" s="37" t="s">
        <v>248</v>
      </c>
      <c r="D145" s="37" t="s">
        <v>301</v>
      </c>
      <c r="E145" s="37" t="s">
        <v>276</v>
      </c>
      <c r="F145" s="38">
        <v>44774</v>
      </c>
      <c r="G145" s="37" t="s">
        <v>215</v>
      </c>
      <c r="H145" s="40">
        <v>187.08</v>
      </c>
      <c r="I145" s="39">
        <f>IF(My_Payment[[#This Row],[Payment_Code]]="S",My_Payment[[#This Row],[Total AMT]]/2,IF(My_Payment[[#This Row],[Payment_Code]]="P",My_Payment[[#This Row],[Total AMT]],0))</f>
        <v>187.08</v>
      </c>
      <c r="J145" s="39">
        <f>IF(My_Payment[[#This Row],[Payment_Code]]="S",My_Payment[[#This Row],[Total AMT]]/2,IF(My_Payment[[#This Row],[Payment_Code]]="N",My_Payment[[#This Row],[Total AMT]],0))</f>
        <v>0</v>
      </c>
    </row>
    <row r="146" spans="1:10">
      <c r="A146" s="38">
        <v>44780</v>
      </c>
      <c r="B146" s="37" t="s">
        <v>247</v>
      </c>
      <c r="C146" s="37" t="s">
        <v>248</v>
      </c>
      <c r="D146" s="37" t="s">
        <v>301</v>
      </c>
      <c r="E146" s="37" t="s">
        <v>277</v>
      </c>
      <c r="F146" s="38">
        <v>44805</v>
      </c>
      <c r="G146" s="37" t="s">
        <v>215</v>
      </c>
      <c r="H146" s="40">
        <v>187.08</v>
      </c>
      <c r="I146" s="39">
        <f>IF(My_Payment[[#This Row],[Payment_Code]]="S",My_Payment[[#This Row],[Total AMT]]/2,IF(My_Payment[[#This Row],[Payment_Code]]="P",My_Payment[[#This Row],[Total AMT]],0))</f>
        <v>187.08</v>
      </c>
      <c r="J146" s="39">
        <f>IF(My_Payment[[#This Row],[Payment_Code]]="S",My_Payment[[#This Row],[Total AMT]]/2,IF(My_Payment[[#This Row],[Payment_Code]]="N",My_Payment[[#This Row],[Total AMT]],0))</f>
        <v>0</v>
      </c>
    </row>
    <row r="147" spans="1:10">
      <c r="A147" s="38">
        <v>44811</v>
      </c>
      <c r="B147" s="37" t="s">
        <v>247</v>
      </c>
      <c r="C147" s="37" t="s">
        <v>248</v>
      </c>
      <c r="D147" s="37" t="s">
        <v>301</v>
      </c>
      <c r="E147" s="37" t="s">
        <v>278</v>
      </c>
      <c r="F147" s="38">
        <v>44835</v>
      </c>
      <c r="G147" s="37" t="s">
        <v>215</v>
      </c>
      <c r="H147" s="40">
        <v>187.08</v>
      </c>
      <c r="I147" s="39">
        <f>IF(My_Payment[[#This Row],[Payment_Code]]="S",My_Payment[[#This Row],[Total AMT]]/2,IF(My_Payment[[#This Row],[Payment_Code]]="P",My_Payment[[#This Row],[Total AMT]],0))</f>
        <v>187.08</v>
      </c>
      <c r="J147" s="39">
        <f>IF(My_Payment[[#This Row],[Payment_Code]]="S",My_Payment[[#This Row],[Total AMT]]/2,IF(My_Payment[[#This Row],[Payment_Code]]="N",My_Payment[[#This Row],[Total AMT]],0))</f>
        <v>0</v>
      </c>
    </row>
    <row r="148" spans="1:10">
      <c r="A148" s="38">
        <v>44841</v>
      </c>
      <c r="B148" s="37" t="s">
        <v>247</v>
      </c>
      <c r="C148" s="37" t="s">
        <v>248</v>
      </c>
      <c r="D148" s="37" t="s">
        <v>301</v>
      </c>
      <c r="E148" s="37" t="s">
        <v>279</v>
      </c>
      <c r="F148" s="38">
        <v>44866</v>
      </c>
      <c r="G148" s="37" t="s">
        <v>215</v>
      </c>
      <c r="H148" s="40">
        <v>187.08</v>
      </c>
      <c r="I148" s="39">
        <f>IF(My_Payment[[#This Row],[Payment_Code]]="S",My_Payment[[#This Row],[Total AMT]]/2,IF(My_Payment[[#This Row],[Payment_Code]]="P",My_Payment[[#This Row],[Total AMT]],0))</f>
        <v>187.08</v>
      </c>
      <c r="J148" s="39">
        <f>IF(My_Payment[[#This Row],[Payment_Code]]="S",My_Payment[[#This Row],[Total AMT]]/2,IF(My_Payment[[#This Row],[Payment_Code]]="N",My_Payment[[#This Row],[Total AMT]],0))</f>
        <v>0</v>
      </c>
    </row>
    <row r="149" spans="1:10">
      <c r="A149" s="38">
        <v>44872</v>
      </c>
      <c r="B149" s="37" t="s">
        <v>247</v>
      </c>
      <c r="C149" s="37" t="s">
        <v>248</v>
      </c>
      <c r="D149" s="37" t="s">
        <v>301</v>
      </c>
      <c r="E149" s="37" t="s">
        <v>280</v>
      </c>
      <c r="F149" s="38">
        <v>44896</v>
      </c>
      <c r="G149" s="37" t="s">
        <v>215</v>
      </c>
      <c r="H149" s="40">
        <v>187.08</v>
      </c>
      <c r="I149" s="39">
        <f>IF(My_Payment[[#This Row],[Payment_Code]]="S",My_Payment[[#This Row],[Total AMT]]/2,IF(My_Payment[[#This Row],[Payment_Code]]="P",My_Payment[[#This Row],[Total AMT]],0))</f>
        <v>187.08</v>
      </c>
      <c r="J149" s="39">
        <f>IF(My_Payment[[#This Row],[Payment_Code]]="S",My_Payment[[#This Row],[Total AMT]]/2,IF(My_Payment[[#This Row],[Payment_Code]]="N",My_Payment[[#This Row],[Total AMT]],0))</f>
        <v>0</v>
      </c>
    </row>
    <row r="150" spans="1:10">
      <c r="A150" s="38">
        <v>44902</v>
      </c>
      <c r="B150" s="37" t="s">
        <v>247</v>
      </c>
      <c r="C150" s="37" t="s">
        <v>248</v>
      </c>
      <c r="D150" s="37" t="s">
        <v>301</v>
      </c>
      <c r="E150" s="37" t="s">
        <v>281</v>
      </c>
      <c r="F150" s="38">
        <v>44927</v>
      </c>
      <c r="G150" s="37" t="s">
        <v>215</v>
      </c>
      <c r="H150" s="40">
        <v>187.08</v>
      </c>
      <c r="I150" s="39">
        <f>IF(My_Payment[[#This Row],[Payment_Code]]="S",My_Payment[[#This Row],[Total AMT]]/2,IF(My_Payment[[#This Row],[Payment_Code]]="P",My_Payment[[#This Row],[Total AMT]],0))</f>
        <v>187.08</v>
      </c>
      <c r="J150" s="39">
        <f>IF(My_Payment[[#This Row],[Payment_Code]]="S",My_Payment[[#This Row],[Total AMT]]/2,IF(My_Payment[[#This Row],[Payment_Code]]="N",My_Payment[[#This Row],[Total AMT]],0))</f>
        <v>0</v>
      </c>
    </row>
    <row r="151" spans="1:10">
      <c r="A151" s="38">
        <v>44933</v>
      </c>
      <c r="B151" s="37" t="s">
        <v>247</v>
      </c>
      <c r="C151" s="37" t="s">
        <v>248</v>
      </c>
      <c r="D151" s="37" t="s">
        <v>301</v>
      </c>
      <c r="E151" s="37" t="s">
        <v>282</v>
      </c>
      <c r="F151" s="38">
        <v>44958</v>
      </c>
      <c r="G151" s="37" t="s">
        <v>215</v>
      </c>
      <c r="H151" s="40">
        <v>187.08</v>
      </c>
      <c r="I151" s="39">
        <f>IF(My_Payment[[#This Row],[Payment_Code]]="S",My_Payment[[#This Row],[Total AMT]]/2,IF(My_Payment[[#This Row],[Payment_Code]]="P",My_Payment[[#This Row],[Total AMT]],0))</f>
        <v>187.08</v>
      </c>
      <c r="J151" s="39">
        <f>IF(My_Payment[[#This Row],[Payment_Code]]="S",My_Payment[[#This Row],[Total AMT]]/2,IF(My_Payment[[#This Row],[Payment_Code]]="N",My_Payment[[#This Row],[Total AMT]],0))</f>
        <v>0</v>
      </c>
    </row>
    <row r="152" spans="1:10">
      <c r="A152" s="38">
        <v>44964</v>
      </c>
      <c r="B152" s="37" t="s">
        <v>247</v>
      </c>
      <c r="C152" s="37" t="s">
        <v>248</v>
      </c>
      <c r="D152" s="37" t="s">
        <v>301</v>
      </c>
      <c r="E152" s="37" t="s">
        <v>283</v>
      </c>
      <c r="F152" s="38">
        <v>44986</v>
      </c>
      <c r="G152" s="37" t="s">
        <v>215</v>
      </c>
      <c r="H152" s="40">
        <v>187.08</v>
      </c>
      <c r="I152" s="39">
        <f>IF(My_Payment[[#This Row],[Payment_Code]]="S",My_Payment[[#This Row],[Total AMT]]/2,IF(My_Payment[[#This Row],[Payment_Code]]="P",My_Payment[[#This Row],[Total AMT]],0))</f>
        <v>187.08</v>
      </c>
      <c r="J152" s="39">
        <f>IF(My_Payment[[#This Row],[Payment_Code]]="S",My_Payment[[#This Row],[Total AMT]]/2,IF(My_Payment[[#This Row],[Payment_Code]]="N",My_Payment[[#This Row],[Total AMT]],0))</f>
        <v>0</v>
      </c>
    </row>
    <row r="153" spans="1:10">
      <c r="A153" s="38">
        <v>44992</v>
      </c>
      <c r="B153" s="37" t="s">
        <v>247</v>
      </c>
      <c r="C153" s="37" t="s">
        <v>248</v>
      </c>
      <c r="D153" s="37" t="s">
        <v>301</v>
      </c>
      <c r="E153" s="37" t="s">
        <v>284</v>
      </c>
      <c r="F153" s="38">
        <v>45017</v>
      </c>
      <c r="G153" s="37" t="s">
        <v>215</v>
      </c>
      <c r="H153" s="40">
        <v>187.08</v>
      </c>
      <c r="I153" s="39">
        <f>IF(My_Payment[[#This Row],[Payment_Code]]="S",My_Payment[[#This Row],[Total AMT]]/2,IF(My_Payment[[#This Row],[Payment_Code]]="P",My_Payment[[#This Row],[Total AMT]],0))</f>
        <v>187.08</v>
      </c>
      <c r="J153" s="39">
        <f>IF(My_Payment[[#This Row],[Payment_Code]]="S",My_Payment[[#This Row],[Total AMT]]/2,IF(My_Payment[[#This Row],[Payment_Code]]="N",My_Payment[[#This Row],[Total AMT]],0))</f>
        <v>0</v>
      </c>
    </row>
    <row r="154" spans="1:10">
      <c r="A154" s="38">
        <v>45023</v>
      </c>
      <c r="B154" s="37" t="s">
        <v>247</v>
      </c>
      <c r="C154" s="37" t="s">
        <v>248</v>
      </c>
      <c r="D154" s="37" t="s">
        <v>301</v>
      </c>
      <c r="E154" s="37" t="s">
        <v>285</v>
      </c>
      <c r="F154" s="38">
        <v>45047</v>
      </c>
      <c r="G154" s="37" t="s">
        <v>215</v>
      </c>
      <c r="H154" s="40">
        <v>187.08</v>
      </c>
      <c r="I154" s="39">
        <f>IF(My_Payment[[#This Row],[Payment_Code]]="S",My_Payment[[#This Row],[Total AMT]]/2,IF(My_Payment[[#This Row],[Payment_Code]]="P",My_Payment[[#This Row],[Total AMT]],0))</f>
        <v>187.08</v>
      </c>
      <c r="J154" s="39">
        <f>IF(My_Payment[[#This Row],[Payment_Code]]="S",My_Payment[[#This Row],[Total AMT]]/2,IF(My_Payment[[#This Row],[Payment_Code]]="N",My_Payment[[#This Row],[Total AMT]],0))</f>
        <v>0</v>
      </c>
    </row>
    <row r="155" spans="1:10">
      <c r="A155" s="38">
        <v>45053</v>
      </c>
      <c r="B155" s="37" t="s">
        <v>247</v>
      </c>
      <c r="C155" s="37" t="s">
        <v>248</v>
      </c>
      <c r="D155" s="37" t="s">
        <v>301</v>
      </c>
      <c r="E155" s="37" t="s">
        <v>286</v>
      </c>
      <c r="F155" s="38">
        <v>45078</v>
      </c>
      <c r="G155" s="37" t="s">
        <v>215</v>
      </c>
      <c r="H155" s="40">
        <v>187.08</v>
      </c>
      <c r="I155" s="39">
        <f>IF(My_Payment[[#This Row],[Payment_Code]]="S",My_Payment[[#This Row],[Total AMT]]/2,IF(My_Payment[[#This Row],[Payment_Code]]="P",My_Payment[[#This Row],[Total AMT]],0))</f>
        <v>187.08</v>
      </c>
      <c r="J155" s="39">
        <f>IF(My_Payment[[#This Row],[Payment_Code]]="S",My_Payment[[#This Row],[Total AMT]]/2,IF(My_Payment[[#This Row],[Payment_Code]]="N",My_Payment[[#This Row],[Total AMT]],0))</f>
        <v>0</v>
      </c>
    </row>
    <row r="156" spans="1:10">
      <c r="A156" s="38">
        <v>45084</v>
      </c>
      <c r="B156" s="37" t="s">
        <v>247</v>
      </c>
      <c r="C156" s="37" t="s">
        <v>248</v>
      </c>
      <c r="D156" s="37" t="s">
        <v>301</v>
      </c>
      <c r="E156" s="37" t="s">
        <v>287</v>
      </c>
      <c r="F156" s="38">
        <v>45108</v>
      </c>
      <c r="G156" s="37" t="s">
        <v>215</v>
      </c>
      <c r="H156" s="40">
        <v>187.08</v>
      </c>
      <c r="I156" s="39">
        <f>IF(My_Payment[[#This Row],[Payment_Code]]="S",My_Payment[[#This Row],[Total AMT]]/2,IF(My_Payment[[#This Row],[Payment_Code]]="P",My_Payment[[#This Row],[Total AMT]],0))</f>
        <v>187.08</v>
      </c>
      <c r="J156" s="39">
        <f>IF(My_Payment[[#This Row],[Payment_Code]]="S",My_Payment[[#This Row],[Total AMT]]/2,IF(My_Payment[[#This Row],[Payment_Code]]="N",My_Payment[[#This Row],[Total AMT]],0))</f>
        <v>0</v>
      </c>
    </row>
    <row r="157" spans="1:10">
      <c r="A157" s="38">
        <v>45114</v>
      </c>
      <c r="B157" s="37" t="s">
        <v>247</v>
      </c>
      <c r="C157" s="37" t="s">
        <v>248</v>
      </c>
      <c r="D157" s="37" t="s">
        <v>301</v>
      </c>
      <c r="E157" s="37" t="s">
        <v>288</v>
      </c>
      <c r="F157" s="38">
        <v>45139</v>
      </c>
      <c r="G157" s="37" t="s">
        <v>215</v>
      </c>
      <c r="H157" s="40">
        <v>187.08</v>
      </c>
      <c r="I157" s="39">
        <f>IF(My_Payment[[#This Row],[Payment_Code]]="S",My_Payment[[#This Row],[Total AMT]]/2,IF(My_Payment[[#This Row],[Payment_Code]]="P",My_Payment[[#This Row],[Total AMT]],0))</f>
        <v>187.08</v>
      </c>
      <c r="J157" s="39">
        <f>IF(My_Payment[[#This Row],[Payment_Code]]="S",My_Payment[[#This Row],[Total AMT]]/2,IF(My_Payment[[#This Row],[Payment_Code]]="N",My_Payment[[#This Row],[Total AMT]],0))</f>
        <v>0</v>
      </c>
    </row>
    <row r="158" spans="1:10">
      <c r="A158" s="38">
        <v>45145</v>
      </c>
      <c r="B158" s="37" t="s">
        <v>247</v>
      </c>
      <c r="C158" s="37" t="s">
        <v>248</v>
      </c>
      <c r="D158" s="37" t="s">
        <v>301</v>
      </c>
      <c r="E158" s="37" t="s">
        <v>289</v>
      </c>
      <c r="F158" s="38">
        <v>45170</v>
      </c>
      <c r="G158" s="37" t="s">
        <v>215</v>
      </c>
      <c r="H158" s="40">
        <v>187.08</v>
      </c>
      <c r="I158" s="39">
        <f>IF(My_Payment[[#This Row],[Payment_Code]]="S",My_Payment[[#This Row],[Total AMT]]/2,IF(My_Payment[[#This Row],[Payment_Code]]="P",My_Payment[[#This Row],[Total AMT]],0))</f>
        <v>187.08</v>
      </c>
      <c r="J158" s="39">
        <f>IF(My_Payment[[#This Row],[Payment_Code]]="S",My_Payment[[#This Row],[Total AMT]]/2,IF(My_Payment[[#This Row],[Payment_Code]]="N",My_Payment[[#This Row],[Total AMT]],0))</f>
        <v>0</v>
      </c>
    </row>
    <row r="159" spans="1:10">
      <c r="A159" s="38">
        <v>45176</v>
      </c>
      <c r="B159" s="37" t="s">
        <v>247</v>
      </c>
      <c r="C159" s="37" t="s">
        <v>248</v>
      </c>
      <c r="D159" s="37" t="s">
        <v>301</v>
      </c>
      <c r="E159" s="37" t="s">
        <v>290</v>
      </c>
      <c r="F159" s="38">
        <v>45200</v>
      </c>
      <c r="G159" s="37" t="s">
        <v>215</v>
      </c>
      <c r="H159" s="40">
        <v>187.08</v>
      </c>
      <c r="I159" s="39">
        <f>IF(My_Payment[[#This Row],[Payment_Code]]="S",My_Payment[[#This Row],[Total AMT]]/2,IF(My_Payment[[#This Row],[Payment_Code]]="P",My_Payment[[#This Row],[Total AMT]],0))</f>
        <v>187.08</v>
      </c>
      <c r="J159" s="39">
        <f>IF(My_Payment[[#This Row],[Payment_Code]]="S",My_Payment[[#This Row],[Total AMT]]/2,IF(My_Payment[[#This Row],[Payment_Code]]="N",My_Payment[[#This Row],[Total AMT]],0))</f>
        <v>0</v>
      </c>
    </row>
    <row r="160" spans="1:10">
      <c r="A160" s="38">
        <v>45206</v>
      </c>
      <c r="B160" s="37" t="s">
        <v>247</v>
      </c>
      <c r="C160" s="37" t="s">
        <v>248</v>
      </c>
      <c r="D160" s="37" t="s">
        <v>301</v>
      </c>
      <c r="E160" s="37" t="s">
        <v>291</v>
      </c>
      <c r="F160" s="38">
        <v>45231</v>
      </c>
      <c r="G160" s="37" t="s">
        <v>215</v>
      </c>
      <c r="H160" s="40">
        <v>187.08</v>
      </c>
      <c r="I160" s="39">
        <f>IF(My_Payment[[#This Row],[Payment_Code]]="S",My_Payment[[#This Row],[Total AMT]]/2,IF(My_Payment[[#This Row],[Payment_Code]]="P",My_Payment[[#This Row],[Total AMT]],0))</f>
        <v>187.08</v>
      </c>
      <c r="J160" s="39">
        <f>IF(My_Payment[[#This Row],[Payment_Code]]="S",My_Payment[[#This Row],[Total AMT]]/2,IF(My_Payment[[#This Row],[Payment_Code]]="N",My_Payment[[#This Row],[Total AMT]],0))</f>
        <v>0</v>
      </c>
    </row>
    <row r="161" spans="1:10">
      <c r="A161" s="38">
        <v>45237</v>
      </c>
      <c r="B161" s="37" t="s">
        <v>247</v>
      </c>
      <c r="C161" s="37" t="s">
        <v>248</v>
      </c>
      <c r="D161" s="37" t="s">
        <v>301</v>
      </c>
      <c r="E161" s="37" t="s">
        <v>292</v>
      </c>
      <c r="F161" s="38">
        <v>45261</v>
      </c>
      <c r="G161" s="37" t="s">
        <v>215</v>
      </c>
      <c r="H161" s="40">
        <v>187.08</v>
      </c>
      <c r="I161" s="39">
        <f>IF(My_Payment[[#This Row],[Payment_Code]]="S",My_Payment[[#This Row],[Total AMT]]/2,IF(My_Payment[[#This Row],[Payment_Code]]="P",My_Payment[[#This Row],[Total AMT]],0))</f>
        <v>187.08</v>
      </c>
      <c r="J161" s="39">
        <f>IF(My_Payment[[#This Row],[Payment_Code]]="S",My_Payment[[#This Row],[Total AMT]]/2,IF(My_Payment[[#This Row],[Payment_Code]]="N",My_Payment[[#This Row],[Total AMT]],0))</f>
        <v>0</v>
      </c>
    </row>
    <row r="162" spans="1:10">
      <c r="A162" s="38">
        <v>45267</v>
      </c>
      <c r="B162" s="37" t="s">
        <v>247</v>
      </c>
      <c r="C162" s="37" t="s">
        <v>248</v>
      </c>
      <c r="D162" s="37" t="s">
        <v>301</v>
      </c>
      <c r="E162" s="37" t="s">
        <v>293</v>
      </c>
      <c r="F162" s="38">
        <v>45292</v>
      </c>
      <c r="G162" s="37" t="s">
        <v>215</v>
      </c>
      <c r="H162" s="40">
        <v>187.08</v>
      </c>
      <c r="I162" s="39">
        <f>IF(My_Payment[[#This Row],[Payment_Code]]="S",My_Payment[[#This Row],[Total AMT]]/2,IF(My_Payment[[#This Row],[Payment_Code]]="P",My_Payment[[#This Row],[Total AMT]],0))</f>
        <v>187.08</v>
      </c>
      <c r="J162" s="39">
        <f>IF(My_Payment[[#This Row],[Payment_Code]]="S",My_Payment[[#This Row],[Total AMT]]/2,IF(My_Payment[[#This Row],[Payment_Code]]="N",My_Payment[[#This Row],[Total AMT]],0))</f>
        <v>0</v>
      </c>
    </row>
    <row r="163" spans="1:10">
      <c r="A163" s="38">
        <v>45298</v>
      </c>
      <c r="B163" s="37" t="s">
        <v>247</v>
      </c>
      <c r="C163" s="37" t="s">
        <v>248</v>
      </c>
      <c r="D163" s="37" t="s">
        <v>301</v>
      </c>
      <c r="E163" s="37" t="s">
        <v>294</v>
      </c>
      <c r="F163" s="38">
        <v>45323</v>
      </c>
      <c r="G163" s="37" t="s">
        <v>215</v>
      </c>
      <c r="H163" s="40">
        <v>187.08</v>
      </c>
      <c r="I163" s="39">
        <f>IF(My_Payment[[#This Row],[Payment_Code]]="S",My_Payment[[#This Row],[Total AMT]]/2,IF(My_Payment[[#This Row],[Payment_Code]]="P",My_Payment[[#This Row],[Total AMT]],0))</f>
        <v>187.08</v>
      </c>
      <c r="J163" s="39">
        <f>IF(My_Payment[[#This Row],[Payment_Code]]="S",My_Payment[[#This Row],[Total AMT]]/2,IF(My_Payment[[#This Row],[Payment_Code]]="N",My_Payment[[#This Row],[Total AMT]],0))</f>
        <v>0</v>
      </c>
    </row>
    <row r="164" spans="1:10">
      <c r="A164" s="38">
        <v>45329</v>
      </c>
      <c r="B164" s="37" t="s">
        <v>247</v>
      </c>
      <c r="C164" s="37" t="s">
        <v>248</v>
      </c>
      <c r="D164" s="37" t="s">
        <v>301</v>
      </c>
      <c r="E164" s="37" t="s">
        <v>295</v>
      </c>
      <c r="F164" s="38">
        <v>45352</v>
      </c>
      <c r="G164" s="37" t="s">
        <v>215</v>
      </c>
      <c r="H164" s="40">
        <v>187.08</v>
      </c>
      <c r="I164" s="39">
        <f>IF(My_Payment[[#This Row],[Payment_Code]]="S",My_Payment[[#This Row],[Total AMT]]/2,IF(My_Payment[[#This Row],[Payment_Code]]="P",My_Payment[[#This Row],[Total AMT]],0))</f>
        <v>187.08</v>
      </c>
      <c r="J164" s="39">
        <f>IF(My_Payment[[#This Row],[Payment_Code]]="S",My_Payment[[#This Row],[Total AMT]]/2,IF(My_Payment[[#This Row],[Payment_Code]]="N",My_Payment[[#This Row],[Total AMT]],0))</f>
        <v>0</v>
      </c>
    </row>
    <row r="165" spans="1:10">
      <c r="A165" s="38">
        <v>45358</v>
      </c>
      <c r="B165" s="37" t="s">
        <v>247</v>
      </c>
      <c r="C165" s="37" t="s">
        <v>248</v>
      </c>
      <c r="D165" s="37" t="s">
        <v>301</v>
      </c>
      <c r="E165" s="37" t="s">
        <v>296</v>
      </c>
      <c r="F165" s="38">
        <v>45383</v>
      </c>
      <c r="G165" s="37" t="s">
        <v>215</v>
      </c>
      <c r="H165" s="40">
        <v>187.08</v>
      </c>
      <c r="I165" s="39">
        <f>IF(My_Payment[[#This Row],[Payment_Code]]="S",My_Payment[[#This Row],[Total AMT]]/2,IF(My_Payment[[#This Row],[Payment_Code]]="P",My_Payment[[#This Row],[Total AMT]],0))</f>
        <v>187.08</v>
      </c>
      <c r="J165" s="39">
        <f>IF(My_Payment[[#This Row],[Payment_Code]]="S",My_Payment[[#This Row],[Total AMT]]/2,IF(My_Payment[[#This Row],[Payment_Code]]="N",My_Payment[[#This Row],[Total AMT]],0))</f>
        <v>0</v>
      </c>
    </row>
    <row r="166" spans="1:10">
      <c r="A166" s="38">
        <v>45389</v>
      </c>
      <c r="B166" s="37" t="s">
        <v>298</v>
      </c>
      <c r="C166" s="37" t="s">
        <v>299</v>
      </c>
      <c r="D166" s="37" t="s">
        <v>301</v>
      </c>
      <c r="E166" s="37" t="s">
        <v>297</v>
      </c>
      <c r="F166" s="38">
        <v>45413</v>
      </c>
      <c r="G166" s="37" t="s">
        <v>215</v>
      </c>
      <c r="H166" s="40">
        <v>187.08</v>
      </c>
      <c r="I166" s="39">
        <f>IF(My_Payment[[#This Row],[Payment_Code]]="S",My_Payment[[#This Row],[Total AMT]]/2,IF(My_Payment[[#This Row],[Payment_Code]]="P",My_Payment[[#This Row],[Total AMT]],0))</f>
        <v>187.08</v>
      </c>
      <c r="J166" s="39">
        <f>IF(My_Payment[[#This Row],[Payment_Code]]="S",My_Payment[[#This Row],[Total AMT]]/2,IF(My_Payment[[#This Row],[Payment_Code]]="N",My_Payment[[#This Row],[Total AMT]],0))</f>
        <v>0</v>
      </c>
    </row>
    <row r="167" spans="1:10">
      <c r="A167" s="38">
        <v>45419</v>
      </c>
      <c r="B167" s="37" t="s">
        <v>298</v>
      </c>
      <c r="C167" s="37" t="s">
        <v>299</v>
      </c>
      <c r="D167" s="37" t="s">
        <v>301</v>
      </c>
      <c r="E167" s="37" t="s">
        <v>252</v>
      </c>
      <c r="F167" s="38">
        <v>45444</v>
      </c>
      <c r="G167" s="37" t="s">
        <v>215</v>
      </c>
      <c r="H167" s="40">
        <v>187.08</v>
      </c>
      <c r="I167" s="39">
        <f>IF(My_Payment[[#This Row],[Payment_Code]]="S",My_Payment[[#This Row],[Total AMT]]/2,IF(My_Payment[[#This Row],[Payment_Code]]="P",My_Payment[[#This Row],[Total AMT]],0))</f>
        <v>187.08</v>
      </c>
      <c r="J167" s="39">
        <f>IF(My_Payment[[#This Row],[Payment_Code]]="S",My_Payment[[#This Row],[Total AMT]]/2,IF(My_Payment[[#This Row],[Payment_Code]]="N",My_Payment[[#This Row],[Total AMT]],0))</f>
        <v>0</v>
      </c>
    </row>
    <row r="168" spans="1:10">
      <c r="A168" s="38">
        <v>44719</v>
      </c>
      <c r="B168" s="37" t="s">
        <v>247</v>
      </c>
      <c r="C168" s="37" t="s">
        <v>248</v>
      </c>
      <c r="D168" s="37" t="s">
        <v>302</v>
      </c>
      <c r="E168" s="37" t="s">
        <v>275</v>
      </c>
      <c r="F168" s="38">
        <v>44743</v>
      </c>
      <c r="H168" s="40">
        <v>1378.75</v>
      </c>
      <c r="I168" s="39">
        <f>IF(My_Payment[[#This Row],[Payment_Code]]="S",My_Payment[[#This Row],[Total AMT]]/2,IF(My_Payment[[#This Row],[Payment_Code]]="P",My_Payment[[#This Row],[Total AMT]],0))</f>
        <v>0</v>
      </c>
      <c r="J168" s="39">
        <f>IF(My_Payment[[#This Row],[Payment_Code]]="S",My_Payment[[#This Row],[Total AMT]]/2,IF(My_Payment[[#This Row],[Payment_Code]]="N",My_Payment[[#This Row],[Total AMT]],0))</f>
        <v>0</v>
      </c>
    </row>
    <row r="169" spans="1:10">
      <c r="A169" s="38">
        <v>44749</v>
      </c>
      <c r="B169" s="37" t="s">
        <v>247</v>
      </c>
      <c r="C169" s="37" t="s">
        <v>248</v>
      </c>
      <c r="D169" s="37" t="s">
        <v>302</v>
      </c>
      <c r="E169" s="37" t="s">
        <v>276</v>
      </c>
      <c r="F169" s="38">
        <v>44774</v>
      </c>
      <c r="H169" s="40">
        <v>1378.75</v>
      </c>
      <c r="I169" s="39">
        <f>IF(My_Payment[[#This Row],[Payment_Code]]="S",My_Payment[[#This Row],[Total AMT]]/2,IF(My_Payment[[#This Row],[Payment_Code]]="P",My_Payment[[#This Row],[Total AMT]],0))</f>
        <v>0</v>
      </c>
      <c r="J169" s="39">
        <f>IF(My_Payment[[#This Row],[Payment_Code]]="S",My_Payment[[#This Row],[Total AMT]]/2,IF(My_Payment[[#This Row],[Payment_Code]]="N",My_Payment[[#This Row],[Total AMT]],0))</f>
        <v>0</v>
      </c>
    </row>
    <row r="170" spans="1:10">
      <c r="A170" s="38">
        <v>44780</v>
      </c>
      <c r="B170" s="37" t="s">
        <v>247</v>
      </c>
      <c r="C170" s="37" t="s">
        <v>248</v>
      </c>
      <c r="D170" s="37" t="s">
        <v>302</v>
      </c>
      <c r="E170" s="37" t="s">
        <v>277</v>
      </c>
      <c r="F170" s="38">
        <v>44805</v>
      </c>
      <c r="H170" s="40">
        <v>1378.75</v>
      </c>
      <c r="I170" s="39">
        <f>IF(My_Payment[[#This Row],[Payment_Code]]="S",My_Payment[[#This Row],[Total AMT]]/2,IF(My_Payment[[#This Row],[Payment_Code]]="P",My_Payment[[#This Row],[Total AMT]],0))</f>
        <v>0</v>
      </c>
      <c r="J170" s="39">
        <f>IF(My_Payment[[#This Row],[Payment_Code]]="S",My_Payment[[#This Row],[Total AMT]]/2,IF(My_Payment[[#This Row],[Payment_Code]]="N",My_Payment[[#This Row],[Total AMT]],0))</f>
        <v>0</v>
      </c>
    </row>
    <row r="171" spans="1:10">
      <c r="A171" s="38">
        <v>44811</v>
      </c>
      <c r="B171" s="37" t="s">
        <v>247</v>
      </c>
      <c r="C171" s="37" t="s">
        <v>248</v>
      </c>
      <c r="D171" s="37" t="s">
        <v>302</v>
      </c>
      <c r="E171" s="37" t="s">
        <v>278</v>
      </c>
      <c r="F171" s="38">
        <v>44835</v>
      </c>
      <c r="H171" s="40">
        <v>1378.75</v>
      </c>
      <c r="I171" s="39">
        <f>IF(My_Payment[[#This Row],[Payment_Code]]="S",My_Payment[[#This Row],[Total AMT]]/2,IF(My_Payment[[#This Row],[Payment_Code]]="P",My_Payment[[#This Row],[Total AMT]],0))</f>
        <v>0</v>
      </c>
      <c r="J171" s="39">
        <f>IF(My_Payment[[#This Row],[Payment_Code]]="S",My_Payment[[#This Row],[Total AMT]]/2,IF(My_Payment[[#This Row],[Payment_Code]]="N",My_Payment[[#This Row],[Total AMT]],0))</f>
        <v>0</v>
      </c>
    </row>
    <row r="172" spans="1:10">
      <c r="A172" s="38">
        <v>44841</v>
      </c>
      <c r="B172" s="37" t="s">
        <v>247</v>
      </c>
      <c r="C172" s="37" t="s">
        <v>248</v>
      </c>
      <c r="D172" s="37" t="s">
        <v>302</v>
      </c>
      <c r="E172" s="37" t="s">
        <v>279</v>
      </c>
      <c r="F172" s="38">
        <v>44866</v>
      </c>
      <c r="H172" s="40">
        <v>1378.75</v>
      </c>
      <c r="I172" s="39">
        <f>IF(My_Payment[[#This Row],[Payment_Code]]="S",My_Payment[[#This Row],[Total AMT]]/2,IF(My_Payment[[#This Row],[Payment_Code]]="P",My_Payment[[#This Row],[Total AMT]],0))</f>
        <v>0</v>
      </c>
      <c r="J172" s="39">
        <f>IF(My_Payment[[#This Row],[Payment_Code]]="S",My_Payment[[#This Row],[Total AMT]]/2,IF(My_Payment[[#This Row],[Payment_Code]]="N",My_Payment[[#This Row],[Total AMT]],0))</f>
        <v>0</v>
      </c>
    </row>
    <row r="173" spans="1:10">
      <c r="A173" s="38">
        <v>44872</v>
      </c>
      <c r="B173" s="37" t="s">
        <v>247</v>
      </c>
      <c r="C173" s="37" t="s">
        <v>248</v>
      </c>
      <c r="D173" s="37" t="s">
        <v>302</v>
      </c>
      <c r="E173" s="37" t="s">
        <v>280</v>
      </c>
      <c r="F173" s="38">
        <v>44896</v>
      </c>
      <c r="H173" s="40">
        <v>1378.75</v>
      </c>
      <c r="I173" s="39">
        <f>IF(My_Payment[[#This Row],[Payment_Code]]="S",My_Payment[[#This Row],[Total AMT]]/2,IF(My_Payment[[#This Row],[Payment_Code]]="P",My_Payment[[#This Row],[Total AMT]],0))</f>
        <v>0</v>
      </c>
      <c r="J173" s="39">
        <f>IF(My_Payment[[#This Row],[Payment_Code]]="S",My_Payment[[#This Row],[Total AMT]]/2,IF(My_Payment[[#This Row],[Payment_Code]]="N",My_Payment[[#This Row],[Total AMT]],0))</f>
        <v>0</v>
      </c>
    </row>
    <row r="174" spans="1:10">
      <c r="A174" s="38">
        <v>44902</v>
      </c>
      <c r="B174" s="37" t="s">
        <v>247</v>
      </c>
      <c r="C174" s="37" t="s">
        <v>248</v>
      </c>
      <c r="D174" s="37" t="s">
        <v>302</v>
      </c>
      <c r="E174" s="37" t="s">
        <v>281</v>
      </c>
      <c r="F174" s="38">
        <v>44927</v>
      </c>
      <c r="H174" s="40">
        <v>1378.75</v>
      </c>
      <c r="I174" s="39">
        <f>IF(My_Payment[[#This Row],[Payment_Code]]="S",My_Payment[[#This Row],[Total AMT]]/2,IF(My_Payment[[#This Row],[Payment_Code]]="P",My_Payment[[#This Row],[Total AMT]],0))</f>
        <v>0</v>
      </c>
      <c r="J174" s="39">
        <f>IF(My_Payment[[#This Row],[Payment_Code]]="S",My_Payment[[#This Row],[Total AMT]]/2,IF(My_Payment[[#This Row],[Payment_Code]]="N",My_Payment[[#This Row],[Total AMT]],0))</f>
        <v>0</v>
      </c>
    </row>
    <row r="175" spans="1:10">
      <c r="A175" s="38">
        <v>44933</v>
      </c>
      <c r="B175" s="37" t="s">
        <v>247</v>
      </c>
      <c r="C175" s="37" t="s">
        <v>248</v>
      </c>
      <c r="D175" s="37" t="s">
        <v>302</v>
      </c>
      <c r="E175" s="37" t="s">
        <v>282</v>
      </c>
      <c r="F175" s="38">
        <v>44958</v>
      </c>
      <c r="H175" s="40">
        <v>1378.75</v>
      </c>
      <c r="I175" s="39">
        <f>IF(My_Payment[[#This Row],[Payment_Code]]="S",My_Payment[[#This Row],[Total AMT]]/2,IF(My_Payment[[#This Row],[Payment_Code]]="P",My_Payment[[#This Row],[Total AMT]],0))</f>
        <v>0</v>
      </c>
      <c r="J175" s="39">
        <f>IF(My_Payment[[#This Row],[Payment_Code]]="S",My_Payment[[#This Row],[Total AMT]]/2,IF(My_Payment[[#This Row],[Payment_Code]]="N",My_Payment[[#This Row],[Total AMT]],0))</f>
        <v>0</v>
      </c>
    </row>
    <row r="176" spans="1:10">
      <c r="A176" s="38">
        <v>44964</v>
      </c>
      <c r="B176" s="37" t="s">
        <v>247</v>
      </c>
      <c r="C176" s="37" t="s">
        <v>248</v>
      </c>
      <c r="D176" s="37" t="s">
        <v>302</v>
      </c>
      <c r="E176" s="37" t="s">
        <v>283</v>
      </c>
      <c r="F176" s="38">
        <v>44986</v>
      </c>
      <c r="H176" s="40">
        <v>1378.75</v>
      </c>
      <c r="I176" s="39">
        <f>IF(My_Payment[[#This Row],[Payment_Code]]="S",My_Payment[[#This Row],[Total AMT]]/2,IF(My_Payment[[#This Row],[Payment_Code]]="P",My_Payment[[#This Row],[Total AMT]],0))</f>
        <v>0</v>
      </c>
      <c r="J176" s="39">
        <f>IF(My_Payment[[#This Row],[Payment_Code]]="S",My_Payment[[#This Row],[Total AMT]]/2,IF(My_Payment[[#This Row],[Payment_Code]]="N",My_Payment[[#This Row],[Total AMT]],0))</f>
        <v>0</v>
      </c>
    </row>
    <row r="177" spans="1:10">
      <c r="A177" s="38">
        <v>44992</v>
      </c>
      <c r="B177" s="37" t="s">
        <v>247</v>
      </c>
      <c r="C177" s="37" t="s">
        <v>248</v>
      </c>
      <c r="D177" s="37" t="s">
        <v>302</v>
      </c>
      <c r="E177" s="37" t="s">
        <v>284</v>
      </c>
      <c r="F177" s="38">
        <v>45017</v>
      </c>
      <c r="H177" s="40">
        <v>1378.75</v>
      </c>
      <c r="I177" s="39">
        <f>IF(My_Payment[[#This Row],[Payment_Code]]="S",My_Payment[[#This Row],[Total AMT]]/2,IF(My_Payment[[#This Row],[Payment_Code]]="P",My_Payment[[#This Row],[Total AMT]],0))</f>
        <v>0</v>
      </c>
      <c r="J177" s="39">
        <f>IF(My_Payment[[#This Row],[Payment_Code]]="S",My_Payment[[#This Row],[Total AMT]]/2,IF(My_Payment[[#This Row],[Payment_Code]]="N",My_Payment[[#This Row],[Total AMT]],0))</f>
        <v>0</v>
      </c>
    </row>
    <row r="178" spans="1:10">
      <c r="A178" s="38">
        <v>45023</v>
      </c>
      <c r="B178" s="37" t="s">
        <v>247</v>
      </c>
      <c r="C178" s="37" t="s">
        <v>248</v>
      </c>
      <c r="D178" s="37" t="s">
        <v>302</v>
      </c>
      <c r="E178" s="37" t="s">
        <v>285</v>
      </c>
      <c r="F178" s="38">
        <v>45047</v>
      </c>
      <c r="H178" s="40">
        <v>1378.75</v>
      </c>
      <c r="I178" s="39">
        <f>IF(My_Payment[[#This Row],[Payment_Code]]="S",My_Payment[[#This Row],[Total AMT]]/2,IF(My_Payment[[#This Row],[Payment_Code]]="P",My_Payment[[#This Row],[Total AMT]],0))</f>
        <v>0</v>
      </c>
      <c r="J178" s="39">
        <f>IF(My_Payment[[#This Row],[Payment_Code]]="S",My_Payment[[#This Row],[Total AMT]]/2,IF(My_Payment[[#This Row],[Payment_Code]]="N",My_Payment[[#This Row],[Total AMT]],0))</f>
        <v>0</v>
      </c>
    </row>
    <row r="179" spans="1:10">
      <c r="A179" s="38">
        <v>45053</v>
      </c>
      <c r="B179" s="37" t="s">
        <v>247</v>
      </c>
      <c r="C179" s="37" t="s">
        <v>248</v>
      </c>
      <c r="D179" s="37" t="s">
        <v>302</v>
      </c>
      <c r="E179" s="37" t="s">
        <v>286</v>
      </c>
      <c r="F179" s="38">
        <v>45078</v>
      </c>
      <c r="H179" s="40">
        <v>1378.75</v>
      </c>
      <c r="I179" s="39">
        <f>IF(My_Payment[[#This Row],[Payment_Code]]="S",My_Payment[[#This Row],[Total AMT]]/2,IF(My_Payment[[#This Row],[Payment_Code]]="P",My_Payment[[#This Row],[Total AMT]],0))</f>
        <v>0</v>
      </c>
      <c r="J179" s="39">
        <f>IF(My_Payment[[#This Row],[Payment_Code]]="S",My_Payment[[#This Row],[Total AMT]]/2,IF(My_Payment[[#This Row],[Payment_Code]]="N",My_Payment[[#This Row],[Total AMT]],0))</f>
        <v>0</v>
      </c>
    </row>
    <row r="180" spans="1:10">
      <c r="A180" s="38">
        <v>45084</v>
      </c>
      <c r="B180" s="37" t="s">
        <v>247</v>
      </c>
      <c r="C180" s="37" t="s">
        <v>248</v>
      </c>
      <c r="D180" s="37" t="s">
        <v>302</v>
      </c>
      <c r="E180" s="37" t="s">
        <v>287</v>
      </c>
      <c r="F180" s="38">
        <v>45108</v>
      </c>
      <c r="H180" s="40">
        <v>1378.75</v>
      </c>
      <c r="I180" s="39">
        <f>IF(My_Payment[[#This Row],[Payment_Code]]="S",My_Payment[[#This Row],[Total AMT]]/2,IF(My_Payment[[#This Row],[Payment_Code]]="P",My_Payment[[#This Row],[Total AMT]],0))</f>
        <v>0</v>
      </c>
      <c r="J180" s="39">
        <f>IF(My_Payment[[#This Row],[Payment_Code]]="S",My_Payment[[#This Row],[Total AMT]]/2,IF(My_Payment[[#This Row],[Payment_Code]]="N",My_Payment[[#This Row],[Total AMT]],0))</f>
        <v>0</v>
      </c>
    </row>
    <row r="181" spans="1:10">
      <c r="A181" s="38">
        <v>45114</v>
      </c>
      <c r="B181" s="37" t="s">
        <v>247</v>
      </c>
      <c r="C181" s="37" t="s">
        <v>248</v>
      </c>
      <c r="D181" s="37" t="s">
        <v>302</v>
      </c>
      <c r="E181" s="37" t="s">
        <v>288</v>
      </c>
      <c r="F181" s="38">
        <v>45139</v>
      </c>
      <c r="H181" s="40">
        <v>1378.75</v>
      </c>
      <c r="I181" s="39">
        <f>IF(My_Payment[[#This Row],[Payment_Code]]="S",My_Payment[[#This Row],[Total AMT]]/2,IF(My_Payment[[#This Row],[Payment_Code]]="P",My_Payment[[#This Row],[Total AMT]],0))</f>
        <v>0</v>
      </c>
      <c r="J181" s="39">
        <f>IF(My_Payment[[#This Row],[Payment_Code]]="S",My_Payment[[#This Row],[Total AMT]]/2,IF(My_Payment[[#This Row],[Payment_Code]]="N",My_Payment[[#This Row],[Total AMT]],0))</f>
        <v>0</v>
      </c>
    </row>
    <row r="182" spans="1:10">
      <c r="A182" s="38">
        <v>45145</v>
      </c>
      <c r="B182" s="37" t="s">
        <v>247</v>
      </c>
      <c r="C182" s="37" t="s">
        <v>248</v>
      </c>
      <c r="D182" s="37" t="s">
        <v>302</v>
      </c>
      <c r="E182" s="37" t="s">
        <v>289</v>
      </c>
      <c r="F182" s="38">
        <v>45170</v>
      </c>
      <c r="H182" s="40">
        <v>1378.75</v>
      </c>
      <c r="I182" s="39">
        <f>IF(My_Payment[[#This Row],[Payment_Code]]="S",My_Payment[[#This Row],[Total AMT]]/2,IF(My_Payment[[#This Row],[Payment_Code]]="P",My_Payment[[#This Row],[Total AMT]],0))</f>
        <v>0</v>
      </c>
      <c r="J182" s="39">
        <f>IF(My_Payment[[#This Row],[Payment_Code]]="S",My_Payment[[#This Row],[Total AMT]]/2,IF(My_Payment[[#This Row],[Payment_Code]]="N",My_Payment[[#This Row],[Total AMT]],0))</f>
        <v>0</v>
      </c>
    </row>
    <row r="183" spans="1:10">
      <c r="A183" s="38">
        <v>45176</v>
      </c>
      <c r="B183" s="37" t="s">
        <v>247</v>
      </c>
      <c r="C183" s="37" t="s">
        <v>248</v>
      </c>
      <c r="D183" s="37" t="s">
        <v>302</v>
      </c>
      <c r="E183" s="37" t="s">
        <v>290</v>
      </c>
      <c r="F183" s="38">
        <v>45200</v>
      </c>
      <c r="H183" s="40">
        <v>1378.75</v>
      </c>
      <c r="I183" s="39">
        <f>IF(My_Payment[[#This Row],[Payment_Code]]="S",My_Payment[[#This Row],[Total AMT]]/2,IF(My_Payment[[#This Row],[Payment_Code]]="P",My_Payment[[#This Row],[Total AMT]],0))</f>
        <v>0</v>
      </c>
      <c r="J183" s="39">
        <f>IF(My_Payment[[#This Row],[Payment_Code]]="S",My_Payment[[#This Row],[Total AMT]]/2,IF(My_Payment[[#This Row],[Payment_Code]]="N",My_Payment[[#This Row],[Total AMT]],0))</f>
        <v>0</v>
      </c>
    </row>
    <row r="184" spans="1:10">
      <c r="A184" s="38">
        <v>45206</v>
      </c>
      <c r="B184" s="37" t="s">
        <v>247</v>
      </c>
      <c r="C184" s="37" t="s">
        <v>248</v>
      </c>
      <c r="D184" s="37" t="s">
        <v>302</v>
      </c>
      <c r="E184" s="37" t="s">
        <v>291</v>
      </c>
      <c r="F184" s="38">
        <v>45231</v>
      </c>
      <c r="H184" s="40">
        <v>1378.75</v>
      </c>
      <c r="I184" s="39">
        <f>IF(My_Payment[[#This Row],[Payment_Code]]="S",My_Payment[[#This Row],[Total AMT]]/2,IF(My_Payment[[#This Row],[Payment_Code]]="P",My_Payment[[#This Row],[Total AMT]],0))</f>
        <v>0</v>
      </c>
      <c r="J184" s="39">
        <f>IF(My_Payment[[#This Row],[Payment_Code]]="S",My_Payment[[#This Row],[Total AMT]]/2,IF(My_Payment[[#This Row],[Payment_Code]]="N",My_Payment[[#This Row],[Total AMT]],0))</f>
        <v>0</v>
      </c>
    </row>
    <row r="185" spans="1:10">
      <c r="A185" s="38">
        <v>45237</v>
      </c>
      <c r="B185" s="37" t="s">
        <v>247</v>
      </c>
      <c r="C185" s="37" t="s">
        <v>248</v>
      </c>
      <c r="D185" s="37" t="s">
        <v>302</v>
      </c>
      <c r="E185" s="37" t="s">
        <v>292</v>
      </c>
      <c r="F185" s="38">
        <v>45261</v>
      </c>
      <c r="H185" s="40">
        <v>1378.75</v>
      </c>
      <c r="I185" s="39">
        <f>IF(My_Payment[[#This Row],[Payment_Code]]="S",My_Payment[[#This Row],[Total AMT]]/2,IF(My_Payment[[#This Row],[Payment_Code]]="P",My_Payment[[#This Row],[Total AMT]],0))</f>
        <v>0</v>
      </c>
      <c r="J185" s="39">
        <f>IF(My_Payment[[#This Row],[Payment_Code]]="S",My_Payment[[#This Row],[Total AMT]]/2,IF(My_Payment[[#This Row],[Payment_Code]]="N",My_Payment[[#This Row],[Total AMT]],0))</f>
        <v>0</v>
      </c>
    </row>
    <row r="186" spans="1:10">
      <c r="A186" s="38">
        <v>45267</v>
      </c>
      <c r="B186" s="37" t="s">
        <v>247</v>
      </c>
      <c r="C186" s="37" t="s">
        <v>248</v>
      </c>
      <c r="D186" s="37" t="s">
        <v>302</v>
      </c>
      <c r="E186" s="37" t="s">
        <v>293</v>
      </c>
      <c r="F186" s="38">
        <v>45292</v>
      </c>
      <c r="H186" s="40">
        <v>1378.75</v>
      </c>
      <c r="I186" s="39">
        <f>IF(My_Payment[[#This Row],[Payment_Code]]="S",My_Payment[[#This Row],[Total AMT]]/2,IF(My_Payment[[#This Row],[Payment_Code]]="P",My_Payment[[#This Row],[Total AMT]],0))</f>
        <v>0</v>
      </c>
      <c r="J186" s="39">
        <f>IF(My_Payment[[#This Row],[Payment_Code]]="S",My_Payment[[#This Row],[Total AMT]]/2,IF(My_Payment[[#This Row],[Payment_Code]]="N",My_Payment[[#This Row],[Total AMT]],0))</f>
        <v>0</v>
      </c>
    </row>
    <row r="187" spans="1:10">
      <c r="A187" s="38">
        <v>45298</v>
      </c>
      <c r="B187" s="37" t="s">
        <v>247</v>
      </c>
      <c r="C187" s="37" t="s">
        <v>248</v>
      </c>
      <c r="D187" s="37" t="s">
        <v>302</v>
      </c>
      <c r="E187" s="37" t="s">
        <v>294</v>
      </c>
      <c r="F187" s="38">
        <v>45323</v>
      </c>
      <c r="H187" s="40">
        <v>1378.75</v>
      </c>
      <c r="I187" s="39">
        <f>IF(My_Payment[[#This Row],[Payment_Code]]="S",My_Payment[[#This Row],[Total AMT]]/2,IF(My_Payment[[#This Row],[Payment_Code]]="P",My_Payment[[#This Row],[Total AMT]],0))</f>
        <v>0</v>
      </c>
      <c r="J187" s="39">
        <f>IF(My_Payment[[#This Row],[Payment_Code]]="S",My_Payment[[#This Row],[Total AMT]]/2,IF(My_Payment[[#This Row],[Payment_Code]]="N",My_Payment[[#This Row],[Total AMT]],0))</f>
        <v>0</v>
      </c>
    </row>
    <row r="188" spans="1:10">
      <c r="A188" s="38">
        <v>45329</v>
      </c>
      <c r="B188" s="37" t="s">
        <v>247</v>
      </c>
      <c r="C188" s="37" t="s">
        <v>248</v>
      </c>
      <c r="D188" s="37" t="s">
        <v>302</v>
      </c>
      <c r="E188" s="37" t="s">
        <v>295</v>
      </c>
      <c r="F188" s="38">
        <v>45352</v>
      </c>
      <c r="H188" s="40">
        <v>1378.75</v>
      </c>
      <c r="I188" s="39">
        <f>IF(My_Payment[[#This Row],[Payment_Code]]="S",My_Payment[[#This Row],[Total AMT]]/2,IF(My_Payment[[#This Row],[Payment_Code]]="P",My_Payment[[#This Row],[Total AMT]],0))</f>
        <v>0</v>
      </c>
      <c r="J188" s="39">
        <f>IF(My_Payment[[#This Row],[Payment_Code]]="S",My_Payment[[#This Row],[Total AMT]]/2,IF(My_Payment[[#This Row],[Payment_Code]]="N",My_Payment[[#This Row],[Total AMT]],0))</f>
        <v>0</v>
      </c>
    </row>
    <row r="189" spans="1:10">
      <c r="A189" s="38">
        <v>45358</v>
      </c>
      <c r="B189" s="37" t="s">
        <v>247</v>
      </c>
      <c r="C189" s="37" t="s">
        <v>248</v>
      </c>
      <c r="D189" s="37" t="s">
        <v>302</v>
      </c>
      <c r="E189" s="37" t="s">
        <v>296</v>
      </c>
      <c r="F189" s="38">
        <v>45383</v>
      </c>
      <c r="H189" s="40">
        <v>1378.75</v>
      </c>
      <c r="I189" s="39">
        <f>IF(My_Payment[[#This Row],[Payment_Code]]="S",My_Payment[[#This Row],[Total AMT]]/2,IF(My_Payment[[#This Row],[Payment_Code]]="P",My_Payment[[#This Row],[Total AMT]],0))</f>
        <v>0</v>
      </c>
      <c r="J189" s="39">
        <f>IF(My_Payment[[#This Row],[Payment_Code]]="S",My_Payment[[#This Row],[Total AMT]]/2,IF(My_Payment[[#This Row],[Payment_Code]]="N",My_Payment[[#This Row],[Total AMT]],0))</f>
        <v>0</v>
      </c>
    </row>
    <row r="190" spans="1:10">
      <c r="A190" s="38">
        <v>45389</v>
      </c>
      <c r="B190" s="37" t="s">
        <v>298</v>
      </c>
      <c r="C190" s="37" t="s">
        <v>299</v>
      </c>
      <c r="D190" s="37" t="s">
        <v>302</v>
      </c>
      <c r="E190" s="37" t="s">
        <v>297</v>
      </c>
      <c r="F190" s="38">
        <v>45413</v>
      </c>
      <c r="H190" s="40">
        <v>1378.75</v>
      </c>
      <c r="I190" s="39">
        <f>IF(My_Payment[[#This Row],[Payment_Code]]="S",My_Payment[[#This Row],[Total AMT]]/2,IF(My_Payment[[#This Row],[Payment_Code]]="P",My_Payment[[#This Row],[Total AMT]],0))</f>
        <v>0</v>
      </c>
      <c r="J190" s="39">
        <f>IF(My_Payment[[#This Row],[Payment_Code]]="S",My_Payment[[#This Row],[Total AMT]]/2,IF(My_Payment[[#This Row],[Payment_Code]]="N",My_Payment[[#This Row],[Total AMT]],0))</f>
        <v>0</v>
      </c>
    </row>
    <row r="191" spans="1:10">
      <c r="A191" s="38">
        <v>45419</v>
      </c>
      <c r="B191" s="37" t="s">
        <v>298</v>
      </c>
      <c r="C191" s="37" t="s">
        <v>299</v>
      </c>
      <c r="D191" s="37" t="s">
        <v>302</v>
      </c>
      <c r="E191" s="37" t="s">
        <v>252</v>
      </c>
      <c r="F191" s="38">
        <v>45444</v>
      </c>
      <c r="H191" s="40">
        <v>1378.75</v>
      </c>
      <c r="I191" s="39">
        <f>IF(My_Payment[[#This Row],[Payment_Code]]="S",My_Payment[[#This Row],[Total AMT]]/2,IF(My_Payment[[#This Row],[Payment_Code]]="P",My_Payment[[#This Row],[Total AMT]],0))</f>
        <v>0</v>
      </c>
      <c r="J191" s="39">
        <f>IF(My_Payment[[#This Row],[Payment_Code]]="S",My_Payment[[#This Row],[Total AMT]]/2,IF(My_Payment[[#This Row],[Payment_Code]]="N",My_Payment[[#This Row],[Total AMT]],0))</f>
        <v>0</v>
      </c>
    </row>
    <row r="192" spans="1:10">
      <c r="A192" s="38">
        <v>44719</v>
      </c>
      <c r="B192" s="37" t="s">
        <v>247</v>
      </c>
      <c r="C192" s="37" t="s">
        <v>248</v>
      </c>
      <c r="D192" s="37" t="s">
        <v>303</v>
      </c>
      <c r="E192" s="37" t="s">
        <v>211</v>
      </c>
      <c r="F192" s="38">
        <v>44743</v>
      </c>
      <c r="G192" s="37" t="s">
        <v>215</v>
      </c>
      <c r="H192" s="40">
        <v>-333.63</v>
      </c>
      <c r="I192" s="39">
        <f>IF(My_Payment[[#This Row],[Payment_Code]]="S",My_Payment[[#This Row],[Total AMT]]/2,IF(My_Payment[[#This Row],[Payment_Code]]="P",My_Payment[[#This Row],[Total AMT]],0))</f>
        <v>-333.63</v>
      </c>
      <c r="J192" s="39">
        <f>IF(My_Payment[[#This Row],[Payment_Code]]="S",My_Payment[[#This Row],[Total AMT]]/2,IF(My_Payment[[#This Row],[Payment_Code]]="N",My_Payment[[#This Row],[Total AMT]],0))</f>
        <v>0</v>
      </c>
    </row>
    <row r="193" spans="1:10">
      <c r="A193" s="38">
        <v>44811</v>
      </c>
      <c r="B193" s="37" t="s">
        <v>247</v>
      </c>
      <c r="C193" s="37" t="s">
        <v>248</v>
      </c>
      <c r="D193" s="37" t="s">
        <v>304</v>
      </c>
      <c r="E193" s="37" t="s">
        <v>211</v>
      </c>
      <c r="F193" s="38">
        <v>44835</v>
      </c>
      <c r="G193" s="37" t="s">
        <v>215</v>
      </c>
      <c r="H193" s="40">
        <v>-474.8</v>
      </c>
      <c r="I193" s="39">
        <f>IF(My_Payment[[#This Row],[Payment_Code]]="S",My_Payment[[#This Row],[Total AMT]]/2,IF(My_Payment[[#This Row],[Payment_Code]]="P",My_Payment[[#This Row],[Total AMT]],0))</f>
        <v>-474.8</v>
      </c>
      <c r="J193" s="39">
        <f>IF(My_Payment[[#This Row],[Payment_Code]]="S",My_Payment[[#This Row],[Total AMT]]/2,IF(My_Payment[[#This Row],[Payment_Code]]="N",My_Payment[[#This Row],[Total AMT]],0))</f>
        <v>0</v>
      </c>
    </row>
    <row r="194" spans="1:10">
      <c r="A194" s="38">
        <v>44699</v>
      </c>
      <c r="B194" s="37" t="s">
        <v>305</v>
      </c>
      <c r="C194" s="37" t="s">
        <v>226</v>
      </c>
      <c r="D194" s="37" t="s">
        <v>78</v>
      </c>
      <c r="E194" s="37" t="s">
        <v>306</v>
      </c>
      <c r="F194" s="38">
        <v>44719</v>
      </c>
      <c r="G194" s="37" t="s">
        <v>215</v>
      </c>
      <c r="H194" s="40">
        <v>1408.2</v>
      </c>
      <c r="I194" s="39">
        <f>IF(My_Payment[[#This Row],[Payment_Code]]="S",My_Payment[[#This Row],[Total AMT]]/2,IF(My_Payment[[#This Row],[Payment_Code]]="P",My_Payment[[#This Row],[Total AMT]],0))</f>
        <v>1408.2</v>
      </c>
      <c r="J194" s="39">
        <f>IF(My_Payment[[#This Row],[Payment_Code]]="S",My_Payment[[#This Row],[Total AMT]]/2,IF(My_Payment[[#This Row],[Payment_Code]]="N",My_Payment[[#This Row],[Total AMT]],0))</f>
        <v>0</v>
      </c>
    </row>
    <row r="195" spans="1:10">
      <c r="A195" s="38">
        <v>44730</v>
      </c>
      <c r="B195" s="37" t="s">
        <v>305</v>
      </c>
      <c r="C195" s="37" t="s">
        <v>226</v>
      </c>
      <c r="D195" s="37" t="s">
        <v>78</v>
      </c>
      <c r="E195" s="37" t="s">
        <v>307</v>
      </c>
      <c r="F195" s="38">
        <v>44749</v>
      </c>
      <c r="G195" s="37" t="s">
        <v>215</v>
      </c>
      <c r="H195" s="40">
        <v>1408.2</v>
      </c>
      <c r="I195" s="39">
        <f>IF(My_Payment[[#This Row],[Payment_Code]]="S",My_Payment[[#This Row],[Total AMT]]/2,IF(My_Payment[[#This Row],[Payment_Code]]="P",My_Payment[[#This Row],[Total AMT]],0))</f>
        <v>1408.2</v>
      </c>
      <c r="J195" s="39">
        <f>IF(My_Payment[[#This Row],[Payment_Code]]="S",My_Payment[[#This Row],[Total AMT]]/2,IF(My_Payment[[#This Row],[Payment_Code]]="N",My_Payment[[#This Row],[Total AMT]],0))</f>
        <v>0</v>
      </c>
    </row>
    <row r="196" spans="1:10">
      <c r="A196" s="38">
        <v>44760</v>
      </c>
      <c r="B196" s="37" t="s">
        <v>305</v>
      </c>
      <c r="C196" s="37" t="s">
        <v>226</v>
      </c>
      <c r="D196" s="37" t="s">
        <v>78</v>
      </c>
      <c r="E196" s="37" t="s">
        <v>308</v>
      </c>
      <c r="F196" s="38">
        <v>44780</v>
      </c>
      <c r="G196" s="37" t="s">
        <v>215</v>
      </c>
      <c r="H196" s="40">
        <v>1408.2</v>
      </c>
      <c r="I196" s="39">
        <f>IF(My_Payment[[#This Row],[Payment_Code]]="S",My_Payment[[#This Row],[Total AMT]]/2,IF(My_Payment[[#This Row],[Payment_Code]]="P",My_Payment[[#This Row],[Total AMT]],0))</f>
        <v>1408.2</v>
      </c>
      <c r="J196" s="39">
        <f>IF(My_Payment[[#This Row],[Payment_Code]]="S",My_Payment[[#This Row],[Total AMT]]/2,IF(My_Payment[[#This Row],[Payment_Code]]="N",My_Payment[[#This Row],[Total AMT]],0))</f>
        <v>0</v>
      </c>
    </row>
    <row r="197" spans="1:10">
      <c r="A197" s="38">
        <v>44791</v>
      </c>
      <c r="B197" s="37" t="s">
        <v>305</v>
      </c>
      <c r="C197" s="37" t="s">
        <v>226</v>
      </c>
      <c r="D197" s="37" t="s">
        <v>78</v>
      </c>
      <c r="E197" s="37" t="s">
        <v>309</v>
      </c>
      <c r="F197" s="38">
        <v>44811</v>
      </c>
      <c r="G197" s="37" t="s">
        <v>215</v>
      </c>
      <c r="H197" s="40">
        <v>1408.2</v>
      </c>
      <c r="I197" s="39">
        <f>IF(My_Payment[[#This Row],[Payment_Code]]="S",My_Payment[[#This Row],[Total AMT]]/2,IF(My_Payment[[#This Row],[Payment_Code]]="P",My_Payment[[#This Row],[Total AMT]],0))</f>
        <v>1408.2</v>
      </c>
      <c r="J197" s="39">
        <f>IF(My_Payment[[#This Row],[Payment_Code]]="S",My_Payment[[#This Row],[Total AMT]]/2,IF(My_Payment[[#This Row],[Payment_Code]]="N",My_Payment[[#This Row],[Total AMT]],0))</f>
        <v>0</v>
      </c>
    </row>
    <row r="198" spans="1:10">
      <c r="A198" s="38">
        <v>44822</v>
      </c>
      <c r="B198" s="37" t="s">
        <v>305</v>
      </c>
      <c r="C198" s="37" t="s">
        <v>226</v>
      </c>
      <c r="D198" s="37" t="s">
        <v>78</v>
      </c>
      <c r="E198" s="37" t="s">
        <v>310</v>
      </c>
      <c r="F198" s="38">
        <v>44841</v>
      </c>
      <c r="G198" s="37" t="s">
        <v>215</v>
      </c>
      <c r="H198" s="40">
        <v>1408.2</v>
      </c>
      <c r="I198" s="39">
        <f>IF(My_Payment[[#This Row],[Payment_Code]]="S",My_Payment[[#This Row],[Total AMT]]/2,IF(My_Payment[[#This Row],[Payment_Code]]="P",My_Payment[[#This Row],[Total AMT]],0))</f>
        <v>1408.2</v>
      </c>
      <c r="J198" s="39">
        <f>IF(My_Payment[[#This Row],[Payment_Code]]="S",My_Payment[[#This Row],[Total AMT]]/2,IF(My_Payment[[#This Row],[Payment_Code]]="N",My_Payment[[#This Row],[Total AMT]],0))</f>
        <v>0</v>
      </c>
    </row>
    <row r="199" spans="1:10">
      <c r="A199" s="38">
        <v>44852</v>
      </c>
      <c r="B199" s="37" t="s">
        <v>305</v>
      </c>
      <c r="C199" s="37" t="s">
        <v>226</v>
      </c>
      <c r="D199" s="37" t="s">
        <v>78</v>
      </c>
      <c r="E199" s="37" t="s">
        <v>311</v>
      </c>
      <c r="F199" s="38">
        <v>44872</v>
      </c>
      <c r="G199" s="37" t="s">
        <v>215</v>
      </c>
      <c r="H199" s="40">
        <v>1408.2</v>
      </c>
      <c r="I199" s="39">
        <f>IF(My_Payment[[#This Row],[Payment_Code]]="S",My_Payment[[#This Row],[Total AMT]]/2,IF(My_Payment[[#This Row],[Payment_Code]]="P",My_Payment[[#This Row],[Total AMT]],0))</f>
        <v>1408.2</v>
      </c>
      <c r="J199" s="39">
        <f>IF(My_Payment[[#This Row],[Payment_Code]]="S",My_Payment[[#This Row],[Total AMT]]/2,IF(My_Payment[[#This Row],[Payment_Code]]="N",My_Payment[[#This Row],[Total AMT]],0))</f>
        <v>0</v>
      </c>
    </row>
    <row r="200" spans="1:10">
      <c r="A200" s="38">
        <v>44883</v>
      </c>
      <c r="B200" s="37" t="s">
        <v>305</v>
      </c>
      <c r="C200" s="37" t="s">
        <v>226</v>
      </c>
      <c r="D200" s="37" t="s">
        <v>78</v>
      </c>
      <c r="E200" s="37" t="s">
        <v>312</v>
      </c>
      <c r="F200" s="38">
        <v>44902</v>
      </c>
      <c r="G200" s="37" t="s">
        <v>215</v>
      </c>
      <c r="H200" s="40">
        <v>1408.2</v>
      </c>
      <c r="I200" s="39">
        <f>IF(My_Payment[[#This Row],[Payment_Code]]="S",My_Payment[[#This Row],[Total AMT]]/2,IF(My_Payment[[#This Row],[Payment_Code]]="P",My_Payment[[#This Row],[Total AMT]],0))</f>
        <v>1408.2</v>
      </c>
      <c r="J200" s="39">
        <f>IF(My_Payment[[#This Row],[Payment_Code]]="S",My_Payment[[#This Row],[Total AMT]]/2,IF(My_Payment[[#This Row],[Payment_Code]]="N",My_Payment[[#This Row],[Total AMT]],0))</f>
        <v>0</v>
      </c>
    </row>
    <row r="201" spans="1:10">
      <c r="A201" s="38">
        <v>44913</v>
      </c>
      <c r="B201" s="37" t="s">
        <v>305</v>
      </c>
      <c r="C201" s="37" t="s">
        <v>226</v>
      </c>
      <c r="D201" s="37" t="s">
        <v>78</v>
      </c>
      <c r="E201" s="37" t="s">
        <v>313</v>
      </c>
      <c r="F201" s="38">
        <v>44933</v>
      </c>
      <c r="G201" s="37" t="s">
        <v>215</v>
      </c>
      <c r="H201" s="40">
        <v>1408.2</v>
      </c>
      <c r="I201" s="39">
        <f>IF(My_Payment[[#This Row],[Payment_Code]]="S",My_Payment[[#This Row],[Total AMT]]/2,IF(My_Payment[[#This Row],[Payment_Code]]="P",My_Payment[[#This Row],[Total AMT]],0))</f>
        <v>1408.2</v>
      </c>
      <c r="J201" s="39">
        <f>IF(My_Payment[[#This Row],[Payment_Code]]="S",My_Payment[[#This Row],[Total AMT]]/2,IF(My_Payment[[#This Row],[Payment_Code]]="N",My_Payment[[#This Row],[Total AMT]],0))</f>
        <v>0</v>
      </c>
    </row>
    <row r="202" spans="1:10">
      <c r="A202" s="38">
        <v>44944</v>
      </c>
      <c r="B202" s="37" t="s">
        <v>305</v>
      </c>
      <c r="C202" s="37" t="s">
        <v>226</v>
      </c>
      <c r="D202" s="37" t="s">
        <v>78</v>
      </c>
      <c r="E202" s="37" t="s">
        <v>314</v>
      </c>
      <c r="F202" s="38">
        <v>44964</v>
      </c>
      <c r="G202" s="37" t="s">
        <v>215</v>
      </c>
      <c r="H202" s="40">
        <v>1408.2</v>
      </c>
      <c r="I202" s="39">
        <f>IF(My_Payment[[#This Row],[Payment_Code]]="S",My_Payment[[#This Row],[Total AMT]]/2,IF(My_Payment[[#This Row],[Payment_Code]]="P",My_Payment[[#This Row],[Total AMT]],0))</f>
        <v>1408.2</v>
      </c>
      <c r="J202" s="39">
        <f>IF(My_Payment[[#This Row],[Payment_Code]]="S",My_Payment[[#This Row],[Total AMT]]/2,IF(My_Payment[[#This Row],[Payment_Code]]="N",My_Payment[[#This Row],[Total AMT]],0))</f>
        <v>0</v>
      </c>
    </row>
    <row r="203" spans="1:10">
      <c r="A203" s="38">
        <v>44975</v>
      </c>
      <c r="B203" s="37" t="s">
        <v>305</v>
      </c>
      <c r="C203" s="37" t="s">
        <v>226</v>
      </c>
      <c r="D203" s="37" t="s">
        <v>78</v>
      </c>
      <c r="E203" s="37" t="s">
        <v>112</v>
      </c>
      <c r="F203" s="38">
        <v>44992</v>
      </c>
      <c r="G203" s="37" t="s">
        <v>215</v>
      </c>
      <c r="H203" s="40">
        <v>1408.2</v>
      </c>
      <c r="I203" s="39">
        <f>IF(My_Payment[[#This Row],[Payment_Code]]="S",My_Payment[[#This Row],[Total AMT]]/2,IF(My_Payment[[#This Row],[Payment_Code]]="P",My_Payment[[#This Row],[Total AMT]],0))</f>
        <v>1408.2</v>
      </c>
      <c r="J203" s="39">
        <f>IF(My_Payment[[#This Row],[Payment_Code]]="S",My_Payment[[#This Row],[Total AMT]]/2,IF(My_Payment[[#This Row],[Payment_Code]]="N",My_Payment[[#This Row],[Total AMT]],0))</f>
        <v>0</v>
      </c>
    </row>
    <row r="204" spans="1:10">
      <c r="A204" s="38">
        <v>44618</v>
      </c>
      <c r="B204" s="37" t="s">
        <v>305</v>
      </c>
      <c r="C204" s="37" t="s">
        <v>226</v>
      </c>
      <c r="D204" s="37" t="s">
        <v>315</v>
      </c>
      <c r="E204" s="37" t="s">
        <v>211</v>
      </c>
      <c r="F204" s="38">
        <v>44658</v>
      </c>
      <c r="G204" s="37" t="s">
        <v>212</v>
      </c>
      <c r="H204" s="40">
        <v>193.03</v>
      </c>
      <c r="I204" s="39">
        <f>IF(My_Payment[[#This Row],[Payment_Code]]="S",My_Payment[[#This Row],[Total AMT]]/2,IF(My_Payment[[#This Row],[Payment_Code]]="P",My_Payment[[#This Row],[Total AMT]],0))</f>
        <v>96.515000000000001</v>
      </c>
      <c r="J204" s="39">
        <f>IF(My_Payment[[#This Row],[Payment_Code]]="S",My_Payment[[#This Row],[Total AMT]]/2,IF(My_Payment[[#This Row],[Payment_Code]]="N",My_Payment[[#This Row],[Total AMT]],0))</f>
        <v>96.515000000000001</v>
      </c>
    </row>
    <row r="205" spans="1:10">
      <c r="A205" s="38">
        <v>44619</v>
      </c>
      <c r="B205" s="37" t="s">
        <v>305</v>
      </c>
      <c r="C205" s="37" t="s">
        <v>226</v>
      </c>
      <c r="D205" s="37" t="s">
        <v>316</v>
      </c>
      <c r="E205" s="37" t="s">
        <v>211</v>
      </c>
      <c r="F205" s="38">
        <v>44658</v>
      </c>
      <c r="G205" s="37" t="s">
        <v>212</v>
      </c>
      <c r="H205" s="40">
        <v>775</v>
      </c>
      <c r="I205" s="39">
        <f>IF(My_Payment[[#This Row],[Payment_Code]]="S",My_Payment[[#This Row],[Total AMT]]/2,IF(My_Payment[[#This Row],[Payment_Code]]="P",My_Payment[[#This Row],[Total AMT]],0))</f>
        <v>387.5</v>
      </c>
      <c r="J205" s="39">
        <f>IF(My_Payment[[#This Row],[Payment_Code]]="S",My_Payment[[#This Row],[Total AMT]]/2,IF(My_Payment[[#This Row],[Payment_Code]]="N",My_Payment[[#This Row],[Total AMT]],0))</f>
        <v>387.5</v>
      </c>
    </row>
    <row r="206" spans="1:10">
      <c r="A206" s="38">
        <v>44558</v>
      </c>
      <c r="B206" s="37" t="s">
        <v>305</v>
      </c>
      <c r="C206" s="37" t="s">
        <v>226</v>
      </c>
      <c r="D206" s="37" t="s">
        <v>9</v>
      </c>
      <c r="E206" s="37" t="s">
        <v>317</v>
      </c>
      <c r="F206" s="38">
        <v>44599</v>
      </c>
      <c r="G206" s="37" t="s">
        <v>212</v>
      </c>
      <c r="H206" s="40">
        <v>3564.88</v>
      </c>
      <c r="I206" s="39">
        <f>IF(My_Payment[[#This Row],[Payment_Code]]="S",My_Payment[[#This Row],[Total AMT]]/2,IF(My_Payment[[#This Row],[Payment_Code]]="P",My_Payment[[#This Row],[Total AMT]],0))</f>
        <v>1782.44</v>
      </c>
      <c r="J206" s="39">
        <f>IF(My_Payment[[#This Row],[Payment_Code]]="S",My_Payment[[#This Row],[Total AMT]]/2,IF(My_Payment[[#This Row],[Payment_Code]]="N",My_Payment[[#This Row],[Total AMT]],0))</f>
        <v>1782.44</v>
      </c>
    </row>
    <row r="207" spans="1:10">
      <c r="A207" s="38">
        <v>44589</v>
      </c>
      <c r="B207" s="37" t="s">
        <v>305</v>
      </c>
      <c r="C207" s="37" t="s">
        <v>226</v>
      </c>
      <c r="D207" s="37" t="s">
        <v>9</v>
      </c>
      <c r="E207" s="37" t="s">
        <v>318</v>
      </c>
      <c r="F207" s="38">
        <v>44627</v>
      </c>
      <c r="G207" s="37" t="s">
        <v>212</v>
      </c>
      <c r="H207" s="40">
        <v>3564.88</v>
      </c>
      <c r="I207" s="39">
        <f>IF(My_Payment[[#This Row],[Payment_Code]]="S",My_Payment[[#This Row],[Total AMT]]/2,IF(My_Payment[[#This Row],[Payment_Code]]="P",My_Payment[[#This Row],[Total AMT]],0))</f>
        <v>1782.44</v>
      </c>
      <c r="J207" s="39">
        <f>IF(My_Payment[[#This Row],[Payment_Code]]="S",My_Payment[[#This Row],[Total AMT]]/2,IF(My_Payment[[#This Row],[Payment_Code]]="N",My_Payment[[#This Row],[Total AMT]],0))</f>
        <v>1782.44</v>
      </c>
    </row>
    <row r="208" spans="1:10">
      <c r="A208" s="38">
        <v>44620</v>
      </c>
      <c r="B208" s="37" t="s">
        <v>305</v>
      </c>
      <c r="C208" s="37" t="s">
        <v>226</v>
      </c>
      <c r="D208" s="37" t="s">
        <v>9</v>
      </c>
      <c r="E208" s="37" t="s">
        <v>319</v>
      </c>
      <c r="F208" s="38">
        <v>44658</v>
      </c>
      <c r="G208" s="37" t="s">
        <v>212</v>
      </c>
      <c r="H208" s="40">
        <v>3564.88</v>
      </c>
      <c r="I208" s="39">
        <f>IF(My_Payment[[#This Row],[Payment_Code]]="S",My_Payment[[#This Row],[Total AMT]]/2,IF(My_Payment[[#This Row],[Payment_Code]]="P",My_Payment[[#This Row],[Total AMT]],0))</f>
        <v>1782.44</v>
      </c>
      <c r="J208" s="39">
        <f>IF(My_Payment[[#This Row],[Payment_Code]]="S",My_Payment[[#This Row],[Total AMT]]/2,IF(My_Payment[[#This Row],[Payment_Code]]="N",My_Payment[[#This Row],[Total AMT]],0))</f>
        <v>1782.44</v>
      </c>
    </row>
    <row r="209" spans="1:10">
      <c r="A209" s="38">
        <v>44648</v>
      </c>
      <c r="B209" s="37" t="s">
        <v>305</v>
      </c>
      <c r="C209" s="37" t="s">
        <v>226</v>
      </c>
      <c r="D209" s="37" t="s">
        <v>9</v>
      </c>
      <c r="E209" s="37" t="s">
        <v>320</v>
      </c>
      <c r="F209" s="38">
        <v>44688</v>
      </c>
      <c r="G209" s="37" t="s">
        <v>212</v>
      </c>
      <c r="H209" s="40">
        <v>3564.88</v>
      </c>
      <c r="I209" s="39">
        <f>IF(My_Payment[[#This Row],[Payment_Code]]="S",My_Payment[[#This Row],[Total AMT]]/2,IF(My_Payment[[#This Row],[Payment_Code]]="P",My_Payment[[#This Row],[Total AMT]],0))</f>
        <v>1782.44</v>
      </c>
      <c r="J209" s="39">
        <f>IF(My_Payment[[#This Row],[Payment_Code]]="S",My_Payment[[#This Row],[Total AMT]]/2,IF(My_Payment[[#This Row],[Payment_Code]]="N",My_Payment[[#This Row],[Total AMT]],0))</f>
        <v>1782.44</v>
      </c>
    </row>
    <row r="210" spans="1:10">
      <c r="A210" s="38">
        <v>44679</v>
      </c>
      <c r="B210" s="37" t="s">
        <v>305</v>
      </c>
      <c r="C210" s="37" t="s">
        <v>226</v>
      </c>
      <c r="D210" s="37" t="s">
        <v>9</v>
      </c>
      <c r="E210" s="37" t="s">
        <v>321</v>
      </c>
      <c r="F210" s="38">
        <v>44719</v>
      </c>
      <c r="G210" s="37" t="s">
        <v>212</v>
      </c>
      <c r="H210" s="40">
        <v>3564.88</v>
      </c>
      <c r="I210" s="39">
        <f>IF(My_Payment[[#This Row],[Payment_Code]]="S",My_Payment[[#This Row],[Total AMT]]/2,IF(My_Payment[[#This Row],[Payment_Code]]="P",My_Payment[[#This Row],[Total AMT]],0))</f>
        <v>1782.44</v>
      </c>
      <c r="J210" s="39">
        <f>IF(My_Payment[[#This Row],[Payment_Code]]="S",My_Payment[[#This Row],[Total AMT]]/2,IF(My_Payment[[#This Row],[Payment_Code]]="N",My_Payment[[#This Row],[Total AMT]],0))</f>
        <v>1782.44</v>
      </c>
    </row>
    <row r="211" spans="1:10">
      <c r="A211" s="38">
        <v>44709</v>
      </c>
      <c r="B211" s="37" t="s">
        <v>305</v>
      </c>
      <c r="C211" s="37" t="s">
        <v>226</v>
      </c>
      <c r="D211" s="37" t="s">
        <v>9</v>
      </c>
      <c r="E211" s="37" t="s">
        <v>25</v>
      </c>
      <c r="F211" s="38">
        <v>44749</v>
      </c>
      <c r="G211" s="37" t="s">
        <v>212</v>
      </c>
      <c r="H211" s="40">
        <v>3564.9</v>
      </c>
      <c r="I211" s="39">
        <f>IF(My_Payment[[#This Row],[Payment_Code]]="S",My_Payment[[#This Row],[Total AMT]]/2,IF(My_Payment[[#This Row],[Payment_Code]]="P",My_Payment[[#This Row],[Total AMT]],0))</f>
        <v>1782.45</v>
      </c>
      <c r="J211" s="39">
        <f>IF(My_Payment[[#This Row],[Payment_Code]]="S",My_Payment[[#This Row],[Total AMT]]/2,IF(My_Payment[[#This Row],[Payment_Code]]="N",My_Payment[[#This Row],[Total AMT]],0))</f>
        <v>1782.45</v>
      </c>
    </row>
    <row r="212" spans="1:10">
      <c r="A212" s="38">
        <v>44583</v>
      </c>
      <c r="B212" s="37" t="s">
        <v>305</v>
      </c>
      <c r="C212" s="37" t="s">
        <v>226</v>
      </c>
      <c r="D212" s="37" t="s">
        <v>322</v>
      </c>
      <c r="E212" s="37" t="s">
        <v>306</v>
      </c>
      <c r="F212" s="38">
        <v>44627</v>
      </c>
      <c r="G212" s="37" t="s">
        <v>215</v>
      </c>
      <c r="H212" s="40">
        <v>1590</v>
      </c>
      <c r="I212" s="39">
        <f>IF(My_Payment[[#This Row],[Payment_Code]]="S",My_Payment[[#This Row],[Total AMT]]/2,IF(My_Payment[[#This Row],[Payment_Code]]="P",My_Payment[[#This Row],[Total AMT]],0))</f>
        <v>1590</v>
      </c>
      <c r="J212" s="39">
        <f>IF(My_Payment[[#This Row],[Payment_Code]]="S",My_Payment[[#This Row],[Total AMT]]/2,IF(My_Payment[[#This Row],[Payment_Code]]="N",My_Payment[[#This Row],[Total AMT]],0))</f>
        <v>0</v>
      </c>
    </row>
    <row r="213" spans="1:10">
      <c r="A213" s="38">
        <v>44614</v>
      </c>
      <c r="B213" s="37" t="s">
        <v>305</v>
      </c>
      <c r="C213" s="37" t="s">
        <v>226</v>
      </c>
      <c r="D213" s="37" t="s">
        <v>322</v>
      </c>
      <c r="E213" s="37" t="s">
        <v>307</v>
      </c>
      <c r="F213" s="38">
        <v>44658</v>
      </c>
      <c r="G213" s="37" t="s">
        <v>215</v>
      </c>
      <c r="H213" s="40">
        <v>1590</v>
      </c>
      <c r="I213" s="39">
        <f>IF(My_Payment[[#This Row],[Payment_Code]]="S",My_Payment[[#This Row],[Total AMT]]/2,IF(My_Payment[[#This Row],[Payment_Code]]="P",My_Payment[[#This Row],[Total AMT]],0))</f>
        <v>1590</v>
      </c>
      <c r="J213" s="39">
        <f>IF(My_Payment[[#This Row],[Payment_Code]]="S",My_Payment[[#This Row],[Total AMT]]/2,IF(My_Payment[[#This Row],[Payment_Code]]="N",My_Payment[[#This Row],[Total AMT]],0))</f>
        <v>0</v>
      </c>
    </row>
    <row r="214" spans="1:10">
      <c r="A214" s="38">
        <v>44642</v>
      </c>
      <c r="B214" s="37" t="s">
        <v>305</v>
      </c>
      <c r="C214" s="37" t="s">
        <v>226</v>
      </c>
      <c r="D214" s="37" t="s">
        <v>322</v>
      </c>
      <c r="E214" s="37" t="s">
        <v>308</v>
      </c>
      <c r="F214" s="38">
        <v>44688</v>
      </c>
      <c r="G214" s="37" t="s">
        <v>215</v>
      </c>
      <c r="H214" s="40">
        <v>1590</v>
      </c>
      <c r="I214" s="39">
        <f>IF(My_Payment[[#This Row],[Payment_Code]]="S",My_Payment[[#This Row],[Total AMT]]/2,IF(My_Payment[[#This Row],[Payment_Code]]="P",My_Payment[[#This Row],[Total AMT]],0))</f>
        <v>1590</v>
      </c>
      <c r="J214" s="39">
        <f>IF(My_Payment[[#This Row],[Payment_Code]]="S",My_Payment[[#This Row],[Total AMT]]/2,IF(My_Payment[[#This Row],[Payment_Code]]="N",My_Payment[[#This Row],[Total AMT]],0))</f>
        <v>0</v>
      </c>
    </row>
    <row r="215" spans="1:10">
      <c r="A215" s="38">
        <v>44673</v>
      </c>
      <c r="B215" s="37" t="s">
        <v>305</v>
      </c>
      <c r="C215" s="37" t="s">
        <v>226</v>
      </c>
      <c r="D215" s="37" t="s">
        <v>322</v>
      </c>
      <c r="E215" s="37" t="s">
        <v>309</v>
      </c>
      <c r="F215" s="38">
        <v>44719</v>
      </c>
      <c r="G215" s="37" t="s">
        <v>215</v>
      </c>
      <c r="H215" s="40">
        <v>1590</v>
      </c>
      <c r="I215" s="39">
        <f>IF(My_Payment[[#This Row],[Payment_Code]]="S",My_Payment[[#This Row],[Total AMT]]/2,IF(My_Payment[[#This Row],[Payment_Code]]="P",My_Payment[[#This Row],[Total AMT]],0))</f>
        <v>1590</v>
      </c>
      <c r="J215" s="39">
        <f>IF(My_Payment[[#This Row],[Payment_Code]]="S",My_Payment[[#This Row],[Total AMT]]/2,IF(My_Payment[[#This Row],[Payment_Code]]="N",My_Payment[[#This Row],[Total AMT]],0))</f>
        <v>0</v>
      </c>
    </row>
    <row r="216" spans="1:10">
      <c r="A216" s="38">
        <v>44703</v>
      </c>
      <c r="B216" s="37" t="s">
        <v>305</v>
      </c>
      <c r="C216" s="37" t="s">
        <v>226</v>
      </c>
      <c r="D216" s="37" t="s">
        <v>322</v>
      </c>
      <c r="E216" s="37" t="s">
        <v>310</v>
      </c>
      <c r="F216" s="38">
        <v>44749</v>
      </c>
      <c r="G216" s="37" t="s">
        <v>215</v>
      </c>
      <c r="H216" s="40">
        <v>1590</v>
      </c>
      <c r="I216" s="39">
        <f>IF(My_Payment[[#This Row],[Payment_Code]]="S",My_Payment[[#This Row],[Total AMT]]/2,IF(My_Payment[[#This Row],[Payment_Code]]="P",My_Payment[[#This Row],[Total AMT]],0))</f>
        <v>1590</v>
      </c>
      <c r="J216" s="39">
        <f>IF(My_Payment[[#This Row],[Payment_Code]]="S",My_Payment[[#This Row],[Total AMT]]/2,IF(My_Payment[[#This Row],[Payment_Code]]="N",My_Payment[[#This Row],[Total AMT]],0))</f>
        <v>0</v>
      </c>
    </row>
    <row r="217" spans="1:10">
      <c r="A217" s="38">
        <v>44734</v>
      </c>
      <c r="B217" s="37" t="s">
        <v>305</v>
      </c>
      <c r="C217" s="37" t="s">
        <v>226</v>
      </c>
      <c r="D217" s="37" t="s">
        <v>322</v>
      </c>
      <c r="E217" s="37" t="s">
        <v>311</v>
      </c>
      <c r="F217" s="38">
        <v>44780</v>
      </c>
      <c r="G217" s="37" t="s">
        <v>215</v>
      </c>
      <c r="H217" s="40">
        <v>1590</v>
      </c>
      <c r="I217" s="39">
        <f>IF(My_Payment[[#This Row],[Payment_Code]]="S",My_Payment[[#This Row],[Total AMT]]/2,IF(My_Payment[[#This Row],[Payment_Code]]="P",My_Payment[[#This Row],[Total AMT]],0))</f>
        <v>1590</v>
      </c>
      <c r="J217" s="39">
        <f>IF(My_Payment[[#This Row],[Payment_Code]]="S",My_Payment[[#This Row],[Total AMT]]/2,IF(My_Payment[[#This Row],[Payment_Code]]="N",My_Payment[[#This Row],[Total AMT]],0))</f>
        <v>0</v>
      </c>
    </row>
    <row r="218" spans="1:10">
      <c r="A218" s="38">
        <v>44764</v>
      </c>
      <c r="B218" s="37" t="s">
        <v>305</v>
      </c>
      <c r="C218" s="37" t="s">
        <v>226</v>
      </c>
      <c r="D218" s="37" t="s">
        <v>322</v>
      </c>
      <c r="E218" s="37" t="s">
        <v>312</v>
      </c>
      <c r="F218" s="38">
        <v>44811</v>
      </c>
      <c r="G218" s="37" t="s">
        <v>215</v>
      </c>
      <c r="H218" s="40">
        <v>1590</v>
      </c>
      <c r="I218" s="39">
        <f>IF(My_Payment[[#This Row],[Payment_Code]]="S",My_Payment[[#This Row],[Total AMT]]/2,IF(My_Payment[[#This Row],[Payment_Code]]="P",My_Payment[[#This Row],[Total AMT]],0))</f>
        <v>1590</v>
      </c>
      <c r="J218" s="39">
        <f>IF(My_Payment[[#This Row],[Payment_Code]]="S",My_Payment[[#This Row],[Total AMT]]/2,IF(My_Payment[[#This Row],[Payment_Code]]="N",My_Payment[[#This Row],[Total AMT]],0))</f>
        <v>0</v>
      </c>
    </row>
    <row r="219" spans="1:10">
      <c r="A219" s="38">
        <v>44795</v>
      </c>
      <c r="B219" s="37" t="s">
        <v>305</v>
      </c>
      <c r="C219" s="37" t="s">
        <v>226</v>
      </c>
      <c r="D219" s="37" t="s">
        <v>322</v>
      </c>
      <c r="E219" s="37" t="s">
        <v>313</v>
      </c>
      <c r="F219" s="38">
        <v>44841</v>
      </c>
      <c r="G219" s="37" t="s">
        <v>215</v>
      </c>
      <c r="H219" s="40">
        <v>1590</v>
      </c>
      <c r="I219" s="39">
        <f>IF(My_Payment[[#This Row],[Payment_Code]]="S",My_Payment[[#This Row],[Total AMT]]/2,IF(My_Payment[[#This Row],[Payment_Code]]="P",My_Payment[[#This Row],[Total AMT]],0))</f>
        <v>1590</v>
      </c>
      <c r="J219" s="39">
        <f>IF(My_Payment[[#This Row],[Payment_Code]]="S",My_Payment[[#This Row],[Total AMT]]/2,IF(My_Payment[[#This Row],[Payment_Code]]="N",My_Payment[[#This Row],[Total AMT]],0))</f>
        <v>0</v>
      </c>
    </row>
    <row r="220" spans="1:10">
      <c r="A220" s="38">
        <v>44826</v>
      </c>
      <c r="B220" s="37" t="s">
        <v>305</v>
      </c>
      <c r="C220" s="37" t="s">
        <v>226</v>
      </c>
      <c r="D220" s="37" t="s">
        <v>322</v>
      </c>
      <c r="E220" s="37" t="s">
        <v>314</v>
      </c>
      <c r="F220" s="38">
        <v>44872</v>
      </c>
      <c r="G220" s="37" t="s">
        <v>215</v>
      </c>
      <c r="H220" s="40">
        <v>1590</v>
      </c>
      <c r="I220" s="39">
        <f>IF(My_Payment[[#This Row],[Payment_Code]]="S",My_Payment[[#This Row],[Total AMT]]/2,IF(My_Payment[[#This Row],[Payment_Code]]="P",My_Payment[[#This Row],[Total AMT]],0))</f>
        <v>1590</v>
      </c>
      <c r="J220" s="39">
        <f>IF(My_Payment[[#This Row],[Payment_Code]]="S",My_Payment[[#This Row],[Total AMT]]/2,IF(My_Payment[[#This Row],[Payment_Code]]="N",My_Payment[[#This Row],[Total AMT]],0))</f>
        <v>0</v>
      </c>
    </row>
    <row r="221" spans="1:10">
      <c r="A221" s="38">
        <v>44856</v>
      </c>
      <c r="B221" s="37" t="s">
        <v>305</v>
      </c>
      <c r="C221" s="37" t="s">
        <v>226</v>
      </c>
      <c r="D221" s="37" t="s">
        <v>322</v>
      </c>
      <c r="E221" s="37" t="s">
        <v>112</v>
      </c>
      <c r="F221" s="38">
        <v>44902</v>
      </c>
      <c r="G221" s="37" t="s">
        <v>215</v>
      </c>
      <c r="H221" s="40">
        <v>1590</v>
      </c>
      <c r="I221" s="39">
        <f>IF(My_Payment[[#This Row],[Payment_Code]]="S",My_Payment[[#This Row],[Total AMT]]/2,IF(My_Payment[[#This Row],[Payment_Code]]="P",My_Payment[[#This Row],[Total AMT]],0))</f>
        <v>1590</v>
      </c>
      <c r="J221" s="39">
        <f>IF(My_Payment[[#This Row],[Payment_Code]]="S",My_Payment[[#This Row],[Total AMT]]/2,IF(My_Payment[[#This Row],[Payment_Code]]="N",My_Payment[[#This Row],[Total AMT]],0))</f>
        <v>0</v>
      </c>
    </row>
    <row r="222" spans="1:10">
      <c r="A222" s="38">
        <v>44611</v>
      </c>
      <c r="B222" s="37" t="s">
        <v>305</v>
      </c>
      <c r="C222" s="37" t="s">
        <v>226</v>
      </c>
      <c r="D222" s="37" t="s">
        <v>323</v>
      </c>
      <c r="E222" s="37" t="s">
        <v>324</v>
      </c>
      <c r="F222" s="38">
        <v>44658</v>
      </c>
      <c r="G222" s="37" t="s">
        <v>215</v>
      </c>
      <c r="H222" s="40">
        <v>512.24</v>
      </c>
      <c r="I222" s="39">
        <f>IF(My_Payment[[#This Row],[Payment_Code]]="S",My_Payment[[#This Row],[Total AMT]]/2,IF(My_Payment[[#This Row],[Payment_Code]]="P",My_Payment[[#This Row],[Total AMT]],0))</f>
        <v>512.24</v>
      </c>
      <c r="J222" s="39">
        <f>IF(My_Payment[[#This Row],[Payment_Code]]="S",My_Payment[[#This Row],[Total AMT]]/2,IF(My_Payment[[#This Row],[Payment_Code]]="N",My_Payment[[#This Row],[Total AMT]],0))</f>
        <v>0</v>
      </c>
    </row>
    <row r="223" spans="1:10">
      <c r="A223" s="38">
        <v>44611</v>
      </c>
      <c r="B223" s="37" t="s">
        <v>305</v>
      </c>
      <c r="C223" s="37" t="s">
        <v>226</v>
      </c>
      <c r="D223" s="37" t="s">
        <v>325</v>
      </c>
      <c r="E223" s="37" t="s">
        <v>324</v>
      </c>
      <c r="F223" s="38">
        <v>44658</v>
      </c>
      <c r="G223" s="37" t="s">
        <v>212</v>
      </c>
      <c r="H223" s="40">
        <v>736.14</v>
      </c>
      <c r="I223" s="39">
        <v>6.4</v>
      </c>
      <c r="J223" s="39">
        <v>729.74</v>
      </c>
    </row>
    <row r="224" spans="1:10">
      <c r="A224" s="38">
        <v>44611</v>
      </c>
      <c r="B224" s="37" t="s">
        <v>305</v>
      </c>
      <c r="C224" s="37" t="s">
        <v>226</v>
      </c>
      <c r="D224" s="37" t="s">
        <v>326</v>
      </c>
      <c r="E224" s="37" t="s">
        <v>324</v>
      </c>
      <c r="F224" s="38">
        <v>44658</v>
      </c>
      <c r="G224" s="37" t="s">
        <v>212</v>
      </c>
      <c r="H224" s="40">
        <v>2035.06</v>
      </c>
      <c r="I224" s="39">
        <v>17.7</v>
      </c>
      <c r="J224" s="39">
        <v>2017.36</v>
      </c>
    </row>
    <row r="225" spans="1:10">
      <c r="A225" s="38">
        <v>44611</v>
      </c>
      <c r="B225" s="37" t="s">
        <v>305</v>
      </c>
      <c r="C225" s="37" t="s">
        <v>226</v>
      </c>
      <c r="D225" s="37" t="s">
        <v>323</v>
      </c>
      <c r="E225" s="37" t="s">
        <v>327</v>
      </c>
      <c r="F225" s="38">
        <v>44688</v>
      </c>
      <c r="G225" s="37" t="s">
        <v>215</v>
      </c>
      <c r="H225" s="40">
        <v>512.24</v>
      </c>
      <c r="I225" s="39">
        <f>IF(My_Payment[[#This Row],[Payment_Code]]="S",My_Payment[[#This Row],[Total AMT]]/2,IF(My_Payment[[#This Row],[Payment_Code]]="P",My_Payment[[#This Row],[Total AMT]],0))</f>
        <v>512.24</v>
      </c>
      <c r="J225" s="39">
        <f>IF(My_Payment[[#This Row],[Payment_Code]]="S",My_Payment[[#This Row],[Total AMT]]/2,IF(My_Payment[[#This Row],[Payment_Code]]="N",My_Payment[[#This Row],[Total AMT]],0))</f>
        <v>0</v>
      </c>
    </row>
    <row r="226" spans="1:10">
      <c r="A226" s="38">
        <v>44611</v>
      </c>
      <c r="B226" s="37" t="s">
        <v>305</v>
      </c>
      <c r="C226" s="37" t="s">
        <v>226</v>
      </c>
      <c r="D226" s="37" t="s">
        <v>325</v>
      </c>
      <c r="E226" s="37" t="s">
        <v>327</v>
      </c>
      <c r="F226" s="38">
        <v>44688</v>
      </c>
      <c r="G226" s="37" t="s">
        <v>212</v>
      </c>
      <c r="H226" s="40">
        <v>736.14</v>
      </c>
      <c r="I226" s="39">
        <v>6.4</v>
      </c>
      <c r="J226" s="39">
        <v>729.74</v>
      </c>
    </row>
    <row r="227" spans="1:10">
      <c r="A227" s="38">
        <v>44611</v>
      </c>
      <c r="B227" s="37" t="s">
        <v>305</v>
      </c>
      <c r="C227" s="37" t="s">
        <v>226</v>
      </c>
      <c r="D227" s="37" t="s">
        <v>326</v>
      </c>
      <c r="E227" s="37" t="s">
        <v>327</v>
      </c>
      <c r="F227" s="38">
        <v>44688</v>
      </c>
      <c r="G227" s="37" t="s">
        <v>212</v>
      </c>
      <c r="H227" s="40">
        <v>2035.06</v>
      </c>
      <c r="I227" s="39">
        <v>17.7</v>
      </c>
      <c r="J227" s="39">
        <v>2017.36</v>
      </c>
    </row>
    <row r="228" spans="1:10">
      <c r="A228" s="38">
        <v>44611</v>
      </c>
      <c r="B228" s="37" t="s">
        <v>305</v>
      </c>
      <c r="C228" s="37" t="s">
        <v>226</v>
      </c>
      <c r="D228" s="37" t="s">
        <v>323</v>
      </c>
      <c r="E228" s="37" t="s">
        <v>80</v>
      </c>
      <c r="F228" s="38">
        <v>44719</v>
      </c>
      <c r="G228" s="37" t="s">
        <v>215</v>
      </c>
      <c r="H228" s="40">
        <v>518.58000000000004</v>
      </c>
      <c r="I228" s="39">
        <f>IF(My_Payment[[#This Row],[Payment_Code]]="S",My_Payment[[#This Row],[Total AMT]]/2,IF(My_Payment[[#This Row],[Payment_Code]]="P",My_Payment[[#This Row],[Total AMT]],0))</f>
        <v>518.58000000000004</v>
      </c>
      <c r="J228" s="39">
        <f>IF(My_Payment[[#This Row],[Payment_Code]]="S",My_Payment[[#This Row],[Total AMT]]/2,IF(My_Payment[[#This Row],[Payment_Code]]="N",My_Payment[[#This Row],[Total AMT]],0))</f>
        <v>0</v>
      </c>
    </row>
    <row r="229" spans="1:10">
      <c r="A229" s="38">
        <v>44611</v>
      </c>
      <c r="B229" s="37" t="s">
        <v>305</v>
      </c>
      <c r="C229" s="37" t="s">
        <v>226</v>
      </c>
      <c r="D229" s="37" t="s">
        <v>325</v>
      </c>
      <c r="E229" s="37" t="s">
        <v>80</v>
      </c>
      <c r="F229" s="38">
        <v>44719</v>
      </c>
      <c r="G229" s="37" t="s">
        <v>212</v>
      </c>
      <c r="H229" s="40">
        <v>745.25</v>
      </c>
      <c r="I229" s="39">
        <v>10.96</v>
      </c>
      <c r="J229" s="39">
        <v>734.29</v>
      </c>
    </row>
    <row r="230" spans="1:10">
      <c r="A230" s="38">
        <v>44611</v>
      </c>
      <c r="B230" s="37" t="s">
        <v>305</v>
      </c>
      <c r="C230" s="37" t="s">
        <v>226</v>
      </c>
      <c r="D230" s="37" t="s">
        <v>326</v>
      </c>
      <c r="E230" s="37" t="s">
        <v>80</v>
      </c>
      <c r="F230" s="38">
        <v>44719</v>
      </c>
      <c r="G230" s="37" t="s">
        <v>212</v>
      </c>
      <c r="H230" s="40">
        <v>2060.3200000000002</v>
      </c>
      <c r="I230" s="39">
        <v>30.33</v>
      </c>
      <c r="J230" s="39">
        <v>2029.99</v>
      </c>
    </row>
    <row r="231" spans="1:10">
      <c r="A231" s="38">
        <v>44639</v>
      </c>
      <c r="B231" s="37" t="s">
        <v>305</v>
      </c>
      <c r="C231" s="37" t="s">
        <v>226</v>
      </c>
      <c r="D231" s="37" t="s">
        <v>328</v>
      </c>
      <c r="E231" s="37" t="s">
        <v>211</v>
      </c>
      <c r="F231" s="38">
        <v>44688</v>
      </c>
      <c r="G231" s="37" t="s">
        <v>215</v>
      </c>
      <c r="H231" s="40">
        <v>740</v>
      </c>
      <c r="I231" s="39">
        <f>IF(My_Payment[[#This Row],[Payment_Code]]="S",My_Payment[[#This Row],[Total AMT]]/2,IF(My_Payment[[#This Row],[Payment_Code]]="P",My_Payment[[#This Row],[Total AMT]],0))</f>
        <v>740</v>
      </c>
      <c r="J231" s="39">
        <f>IF(My_Payment[[#This Row],[Payment_Code]]="S",My_Payment[[#This Row],[Total AMT]]/2,IF(My_Payment[[#This Row],[Payment_Code]]="N",My_Payment[[#This Row],[Total AMT]],0))</f>
        <v>0</v>
      </c>
    </row>
    <row r="232" spans="1:10">
      <c r="A232" s="38">
        <v>44647</v>
      </c>
      <c r="B232" s="37" t="s">
        <v>305</v>
      </c>
      <c r="C232" s="37" t="s">
        <v>226</v>
      </c>
      <c r="D232" s="37" t="s">
        <v>329</v>
      </c>
      <c r="E232" s="37" t="s">
        <v>211</v>
      </c>
      <c r="F232" s="38">
        <v>44688</v>
      </c>
      <c r="G232" s="37" t="s">
        <v>215</v>
      </c>
      <c r="H232" s="40">
        <v>1090</v>
      </c>
      <c r="I232" s="39">
        <f>IF(My_Payment[[#This Row],[Payment_Code]]="S",My_Payment[[#This Row],[Total AMT]]/2,IF(My_Payment[[#This Row],[Payment_Code]]="P",My_Payment[[#This Row],[Total AMT]],0))</f>
        <v>1090</v>
      </c>
      <c r="J232" s="39">
        <f>IF(My_Payment[[#This Row],[Payment_Code]]="S",My_Payment[[#This Row],[Total AMT]]/2,IF(My_Payment[[#This Row],[Payment_Code]]="N",My_Payment[[#This Row],[Total AMT]],0))</f>
        <v>0</v>
      </c>
    </row>
    <row r="233" spans="1:10">
      <c r="A233" s="38">
        <v>44647</v>
      </c>
      <c r="B233" s="37" t="s">
        <v>305</v>
      </c>
      <c r="C233" s="37" t="s">
        <v>226</v>
      </c>
      <c r="D233" s="37" t="s">
        <v>330</v>
      </c>
      <c r="E233" s="37" t="s">
        <v>211</v>
      </c>
      <c r="F233" s="38">
        <v>44688</v>
      </c>
      <c r="G233" s="37" t="s">
        <v>212</v>
      </c>
      <c r="H233" s="40">
        <v>1049</v>
      </c>
      <c r="I233" s="39">
        <f>IF(My_Payment[[#This Row],[Payment_Code]]="S",My_Payment[[#This Row],[Total AMT]]/2,IF(My_Payment[[#This Row],[Payment_Code]]="P",My_Payment[[#This Row],[Total AMT]],0))</f>
        <v>524.5</v>
      </c>
      <c r="J233" s="39">
        <f>IF(My_Payment[[#This Row],[Payment_Code]]="S",My_Payment[[#This Row],[Total AMT]]/2,IF(My_Payment[[#This Row],[Payment_Code]]="N",My_Payment[[#This Row],[Total AMT]],0))</f>
        <v>524.5</v>
      </c>
    </row>
    <row r="234" spans="1:10">
      <c r="A234" s="38">
        <v>44669</v>
      </c>
      <c r="B234" s="37" t="s">
        <v>305</v>
      </c>
      <c r="C234" s="37" t="s">
        <v>226</v>
      </c>
      <c r="D234" s="37" t="s">
        <v>331</v>
      </c>
      <c r="E234" s="37" t="s">
        <v>211</v>
      </c>
      <c r="F234" s="38">
        <v>44688</v>
      </c>
      <c r="G234" s="37" t="s">
        <v>212</v>
      </c>
      <c r="H234" s="40">
        <v>565</v>
      </c>
      <c r="I234" s="39">
        <f>IF(My_Payment[[#This Row],[Payment_Code]]="S",My_Payment[[#This Row],[Total AMT]]/2,IF(My_Payment[[#This Row],[Payment_Code]]="P",My_Payment[[#This Row],[Total AMT]],0))</f>
        <v>282.5</v>
      </c>
      <c r="J234" s="39">
        <f>IF(My_Payment[[#This Row],[Payment_Code]]="S",My_Payment[[#This Row],[Total AMT]]/2,IF(My_Payment[[#This Row],[Payment_Code]]="N",My_Payment[[#This Row],[Total AMT]],0))</f>
        <v>282.5</v>
      </c>
    </row>
    <row r="235" spans="1:10">
      <c r="A235" s="38">
        <v>44669</v>
      </c>
      <c r="B235" s="37" t="s">
        <v>305</v>
      </c>
      <c r="C235" s="37" t="s">
        <v>226</v>
      </c>
      <c r="D235" s="37" t="s">
        <v>33</v>
      </c>
      <c r="E235" s="37" t="s">
        <v>211</v>
      </c>
      <c r="F235" s="38">
        <v>44719</v>
      </c>
      <c r="G235" s="37" t="s">
        <v>215</v>
      </c>
      <c r="H235" s="40">
        <v>836.83</v>
      </c>
      <c r="I235" s="39">
        <f>IF(My_Payment[[#This Row],[Payment_Code]]="S",My_Payment[[#This Row],[Total AMT]]/2,IF(My_Payment[[#This Row],[Payment_Code]]="P",My_Payment[[#This Row],[Total AMT]],0))</f>
        <v>836.83</v>
      </c>
      <c r="J235" s="39">
        <f>IF(My_Payment[[#This Row],[Payment_Code]]="S",My_Payment[[#This Row],[Total AMT]]/2,IF(My_Payment[[#This Row],[Payment_Code]]="N",My_Payment[[#This Row],[Total AMT]],0))</f>
        <v>0</v>
      </c>
    </row>
    <row r="236" spans="1:10">
      <c r="A236" s="38">
        <v>44670</v>
      </c>
      <c r="B236" s="37" t="s">
        <v>305</v>
      </c>
      <c r="C236" s="37" t="s">
        <v>226</v>
      </c>
      <c r="D236" s="37" t="s">
        <v>214</v>
      </c>
      <c r="E236" s="37" t="s">
        <v>211</v>
      </c>
      <c r="F236" s="38">
        <v>44719</v>
      </c>
      <c r="G236" s="37" t="s">
        <v>3</v>
      </c>
      <c r="H236" s="40">
        <v>1350</v>
      </c>
      <c r="I236" s="39">
        <f>IF(My_Payment[[#This Row],[Payment_Code]]="S",My_Payment[[#This Row],[Total AMT]]/2,IF(My_Payment[[#This Row],[Payment_Code]]="P",My_Payment[[#This Row],[Total AMT]],0))</f>
        <v>0</v>
      </c>
      <c r="J236" s="39">
        <f>IF(My_Payment[[#This Row],[Payment_Code]]="S",My_Payment[[#This Row],[Total AMT]]/2,IF(My_Payment[[#This Row],[Payment_Code]]="N",My_Payment[[#This Row],[Total AMT]],0))</f>
        <v>1350</v>
      </c>
    </row>
    <row r="237" spans="1:10">
      <c r="A237" s="38">
        <v>44675</v>
      </c>
      <c r="B237" s="37" t="s">
        <v>305</v>
      </c>
      <c r="C237" s="37" t="s">
        <v>226</v>
      </c>
      <c r="D237" s="37" t="s">
        <v>234</v>
      </c>
      <c r="E237" s="37" t="s">
        <v>211</v>
      </c>
      <c r="F237" s="38">
        <v>44719</v>
      </c>
      <c r="G237" s="37" t="s">
        <v>212</v>
      </c>
      <c r="H237" s="40">
        <v>658</v>
      </c>
      <c r="I237" s="39">
        <f>IF(My_Payment[[#This Row],[Payment_Code]]="S",My_Payment[[#This Row],[Total AMT]]/2,IF(My_Payment[[#This Row],[Payment_Code]]="P",My_Payment[[#This Row],[Total AMT]],0))</f>
        <v>329</v>
      </c>
      <c r="J237" s="39">
        <f>IF(My_Payment[[#This Row],[Payment_Code]]="S",My_Payment[[#This Row],[Total AMT]]/2,IF(My_Payment[[#This Row],[Payment_Code]]="N",My_Payment[[#This Row],[Total AMT]],0))</f>
        <v>329</v>
      </c>
    </row>
    <row r="238" spans="1:10">
      <c r="A238" s="38">
        <v>44677</v>
      </c>
      <c r="B238" s="37" t="s">
        <v>305</v>
      </c>
      <c r="C238" s="37" t="s">
        <v>226</v>
      </c>
      <c r="D238" s="37" t="s">
        <v>218</v>
      </c>
      <c r="E238" s="37" t="s">
        <v>211</v>
      </c>
      <c r="F238" s="38">
        <v>44719</v>
      </c>
      <c r="G238" s="37" t="s">
        <v>215</v>
      </c>
      <c r="H238" s="40">
        <v>3549</v>
      </c>
      <c r="I238" s="39">
        <f>IF(My_Payment[[#This Row],[Payment_Code]]="S",My_Payment[[#This Row],[Total AMT]]/2,IF(My_Payment[[#This Row],[Payment_Code]]="P",My_Payment[[#This Row],[Total AMT]],0))</f>
        <v>3549</v>
      </c>
      <c r="J238" s="39">
        <f>IF(My_Payment[[#This Row],[Payment_Code]]="S",My_Payment[[#This Row],[Total AMT]]/2,IF(My_Payment[[#This Row],[Payment_Code]]="N",My_Payment[[#This Row],[Total AMT]],0))</f>
        <v>0</v>
      </c>
    </row>
    <row r="239" spans="1:10">
      <c r="A239" s="38">
        <v>44678</v>
      </c>
      <c r="B239" s="37" t="s">
        <v>305</v>
      </c>
      <c r="C239" s="37" t="s">
        <v>226</v>
      </c>
      <c r="D239" s="37" t="s">
        <v>332</v>
      </c>
      <c r="E239" s="37" t="s">
        <v>211</v>
      </c>
      <c r="F239" s="38">
        <v>44719</v>
      </c>
      <c r="G239" s="37" t="s">
        <v>215</v>
      </c>
      <c r="H239" s="40">
        <v>230</v>
      </c>
      <c r="I239" s="39">
        <f>IF(My_Payment[[#This Row],[Payment_Code]]="S",My_Payment[[#This Row],[Total AMT]]/2,IF(My_Payment[[#This Row],[Payment_Code]]="P",My_Payment[[#This Row],[Total AMT]],0))</f>
        <v>230</v>
      </c>
      <c r="J239" s="39">
        <f>IF(My_Payment[[#This Row],[Payment_Code]]="S",My_Payment[[#This Row],[Total AMT]]/2,IF(My_Payment[[#This Row],[Payment_Code]]="N",My_Payment[[#This Row],[Total AMT]],0))</f>
        <v>0</v>
      </c>
    </row>
    <row r="240" spans="1:10">
      <c r="A240" s="38">
        <v>44700</v>
      </c>
      <c r="B240" s="37" t="s">
        <v>305</v>
      </c>
      <c r="C240" s="37" t="s">
        <v>226</v>
      </c>
      <c r="D240" s="37" t="s">
        <v>103</v>
      </c>
      <c r="E240" s="37" t="s">
        <v>211</v>
      </c>
      <c r="F240" s="38">
        <v>44749</v>
      </c>
      <c r="G240" s="37" t="s">
        <v>215</v>
      </c>
      <c r="H240" s="40">
        <v>750</v>
      </c>
      <c r="I240" s="39">
        <f>IF(My_Payment[[#This Row],[Payment_Code]]="S",My_Payment[[#This Row],[Total AMT]]/2,IF(My_Payment[[#This Row],[Payment_Code]]="P",My_Payment[[#This Row],[Total AMT]],0))</f>
        <v>750</v>
      </c>
      <c r="J240" s="39">
        <f>IF(My_Payment[[#This Row],[Payment_Code]]="S",My_Payment[[#This Row],[Total AMT]]/2,IF(My_Payment[[#This Row],[Payment_Code]]="N",My_Payment[[#This Row],[Total AMT]],0))</f>
        <v>0</v>
      </c>
    </row>
    <row r="241" spans="1:10">
      <c r="A241" s="38">
        <v>44700</v>
      </c>
      <c r="B241" s="37" t="s">
        <v>305</v>
      </c>
      <c r="C241" s="37" t="s">
        <v>226</v>
      </c>
      <c r="D241" s="37" t="s">
        <v>104</v>
      </c>
      <c r="E241" s="37" t="s">
        <v>211</v>
      </c>
      <c r="F241" s="38">
        <v>44749</v>
      </c>
      <c r="G241" s="37" t="s">
        <v>215</v>
      </c>
      <c r="H241" s="40">
        <v>216</v>
      </c>
      <c r="I241" s="39">
        <f>IF(My_Payment[[#This Row],[Payment_Code]]="S",My_Payment[[#This Row],[Total AMT]]/2,IF(My_Payment[[#This Row],[Payment_Code]]="P",My_Payment[[#This Row],[Total AMT]],0))</f>
        <v>216</v>
      </c>
      <c r="J241" s="39">
        <f>IF(My_Payment[[#This Row],[Payment_Code]]="S",My_Payment[[#This Row],[Total AMT]]/2,IF(My_Payment[[#This Row],[Payment_Code]]="N",My_Payment[[#This Row],[Total AMT]],0))</f>
        <v>0</v>
      </c>
    </row>
    <row r="242" spans="1:10">
      <c r="A242" s="38">
        <v>44703</v>
      </c>
      <c r="B242" s="37" t="s">
        <v>305</v>
      </c>
      <c r="C242" s="37" t="s">
        <v>226</v>
      </c>
      <c r="D242" s="37" t="s">
        <v>234</v>
      </c>
      <c r="E242" s="37" t="s">
        <v>211</v>
      </c>
      <c r="F242" s="38">
        <v>44749</v>
      </c>
      <c r="G242" s="37" t="s">
        <v>212</v>
      </c>
      <c r="H242" s="40">
        <v>324.25</v>
      </c>
      <c r="I242" s="39">
        <f>IF(My_Payment[[#This Row],[Payment_Code]]="S",My_Payment[[#This Row],[Total AMT]]/2,IF(My_Payment[[#This Row],[Payment_Code]]="P",My_Payment[[#This Row],[Total AMT]],0))</f>
        <v>162.125</v>
      </c>
      <c r="J242" s="39">
        <f>IF(My_Payment[[#This Row],[Payment_Code]]="S",My_Payment[[#This Row],[Total AMT]]/2,IF(My_Payment[[#This Row],[Payment_Code]]="N",My_Payment[[#This Row],[Total AMT]],0))</f>
        <v>162.125</v>
      </c>
    </row>
    <row r="243" spans="1:10">
      <c r="A243" s="38">
        <v>44706</v>
      </c>
      <c r="B243" s="37" t="s">
        <v>305</v>
      </c>
      <c r="C243" s="37" t="s">
        <v>226</v>
      </c>
      <c r="D243" s="37" t="s">
        <v>333</v>
      </c>
      <c r="E243" s="37" t="s">
        <v>211</v>
      </c>
      <c r="F243" s="38">
        <v>44749</v>
      </c>
      <c r="G243" s="37" t="s">
        <v>215</v>
      </c>
      <c r="H243" s="40">
        <v>130</v>
      </c>
      <c r="I243" s="39">
        <f>IF(My_Payment[[#This Row],[Payment_Code]]="S",My_Payment[[#This Row],[Total AMT]]/2,IF(My_Payment[[#This Row],[Payment_Code]]="P",My_Payment[[#This Row],[Total AMT]],0))</f>
        <v>130</v>
      </c>
      <c r="J243" s="39">
        <f>IF(My_Payment[[#This Row],[Payment_Code]]="S",My_Payment[[#This Row],[Total AMT]]/2,IF(My_Payment[[#This Row],[Payment_Code]]="N",My_Payment[[#This Row],[Total AMT]],0))</f>
        <v>0</v>
      </c>
    </row>
    <row r="244" spans="1:10">
      <c r="A244" s="38">
        <v>44706</v>
      </c>
      <c r="B244" s="37" t="s">
        <v>305</v>
      </c>
      <c r="C244" s="37" t="s">
        <v>226</v>
      </c>
      <c r="D244" s="37" t="s">
        <v>33</v>
      </c>
      <c r="E244" s="37" t="s">
        <v>211</v>
      </c>
      <c r="F244" s="38">
        <v>44749</v>
      </c>
      <c r="G244" s="37" t="s">
        <v>215</v>
      </c>
      <c r="H244" s="40">
        <v>198.6</v>
      </c>
      <c r="I244" s="39">
        <f>IF(My_Payment[[#This Row],[Payment_Code]]="S",My_Payment[[#This Row],[Total AMT]]/2,IF(My_Payment[[#This Row],[Payment_Code]]="P",My_Payment[[#This Row],[Total AMT]],0))</f>
        <v>198.6</v>
      </c>
      <c r="J244" s="39">
        <f>IF(My_Payment[[#This Row],[Payment_Code]]="S",My_Payment[[#This Row],[Total AMT]]/2,IF(My_Payment[[#This Row],[Payment_Code]]="N",My_Payment[[#This Row],[Total AMT]],0))</f>
        <v>0</v>
      </c>
    </row>
    <row r="245" spans="1:10">
      <c r="A245" s="38">
        <v>44709</v>
      </c>
      <c r="B245" s="37" t="s">
        <v>305</v>
      </c>
      <c r="C245" s="37" t="s">
        <v>226</v>
      </c>
      <c r="D245" s="37" t="s">
        <v>334</v>
      </c>
      <c r="E245" s="37" t="s">
        <v>211</v>
      </c>
      <c r="F245" s="38">
        <v>44749</v>
      </c>
      <c r="G245" s="37" t="s">
        <v>215</v>
      </c>
      <c r="H245" s="40">
        <v>575.6</v>
      </c>
      <c r="I245" s="39">
        <f>IF(My_Payment[[#This Row],[Payment_Code]]="S",My_Payment[[#This Row],[Total AMT]]/2,IF(My_Payment[[#This Row],[Payment_Code]]="P",My_Payment[[#This Row],[Total AMT]],0))</f>
        <v>575.6</v>
      </c>
      <c r="J245" s="39">
        <f>IF(My_Payment[[#This Row],[Payment_Code]]="S",My_Payment[[#This Row],[Total AMT]]/2,IF(My_Payment[[#This Row],[Payment_Code]]="N",My_Payment[[#This Row],[Total AMT]],0))</f>
        <v>0</v>
      </c>
    </row>
    <row r="246" spans="1:10">
      <c r="A246" s="38">
        <v>44710</v>
      </c>
      <c r="B246" s="37" t="s">
        <v>305</v>
      </c>
      <c r="C246" s="37" t="s">
        <v>226</v>
      </c>
      <c r="D246" s="37" t="s">
        <v>335</v>
      </c>
      <c r="E246" s="37" t="s">
        <v>211</v>
      </c>
      <c r="F246" s="38">
        <v>44749</v>
      </c>
      <c r="G246" s="37" t="s">
        <v>215</v>
      </c>
      <c r="H246" s="40">
        <v>990</v>
      </c>
      <c r="I246" s="39">
        <f>IF(My_Payment[[#This Row],[Payment_Code]]="S",My_Payment[[#This Row],[Total AMT]]/2,IF(My_Payment[[#This Row],[Payment_Code]]="P",My_Payment[[#This Row],[Total AMT]],0))</f>
        <v>990</v>
      </c>
      <c r="J246" s="39">
        <f>IF(My_Payment[[#This Row],[Payment_Code]]="S",My_Payment[[#This Row],[Total AMT]]/2,IF(My_Payment[[#This Row],[Payment_Code]]="N",My_Payment[[#This Row],[Total AMT]],0))</f>
        <v>0</v>
      </c>
    </row>
    <row r="247" spans="1:10">
      <c r="A247" s="38">
        <v>44717</v>
      </c>
      <c r="B247" s="37" t="s">
        <v>305</v>
      </c>
      <c r="C247" s="37" t="s">
        <v>226</v>
      </c>
      <c r="D247" s="37" t="s">
        <v>33</v>
      </c>
      <c r="E247" s="37" t="s">
        <v>211</v>
      </c>
      <c r="F247" s="38">
        <v>44749</v>
      </c>
      <c r="G247" s="37" t="s">
        <v>215</v>
      </c>
      <c r="H247" s="40">
        <v>198.6</v>
      </c>
      <c r="I247" s="39">
        <f>IF(My_Payment[[#This Row],[Payment_Code]]="S",My_Payment[[#This Row],[Total AMT]]/2,IF(My_Payment[[#This Row],[Payment_Code]]="P",My_Payment[[#This Row],[Total AMT]],0))</f>
        <v>198.6</v>
      </c>
      <c r="J247" s="39">
        <f>IF(My_Payment[[#This Row],[Payment_Code]]="S",My_Payment[[#This Row],[Total AMT]]/2,IF(My_Payment[[#This Row],[Payment_Code]]="N",My_Payment[[#This Row],[Total AMT]],0))</f>
        <v>0</v>
      </c>
    </row>
    <row r="248" spans="1:10">
      <c r="A248" s="38">
        <v>44723</v>
      </c>
      <c r="B248" s="37" t="s">
        <v>305</v>
      </c>
      <c r="C248" s="37" t="s">
        <v>226</v>
      </c>
      <c r="D248" s="37" t="s">
        <v>33</v>
      </c>
      <c r="E248" s="37" t="s">
        <v>211</v>
      </c>
      <c r="F248" s="38">
        <v>44749</v>
      </c>
      <c r="G248" s="37" t="s">
        <v>215</v>
      </c>
      <c r="H248" s="40">
        <v>139</v>
      </c>
      <c r="I248" s="39">
        <f>IF(My_Payment[[#This Row],[Payment_Code]]="S",My_Payment[[#This Row],[Total AMT]]/2,IF(My_Payment[[#This Row],[Payment_Code]]="P",My_Payment[[#This Row],[Total AMT]],0))</f>
        <v>139</v>
      </c>
      <c r="J248" s="39">
        <f>IF(My_Payment[[#This Row],[Payment_Code]]="S",My_Payment[[#This Row],[Total AMT]]/2,IF(My_Payment[[#This Row],[Payment_Code]]="N",My_Payment[[#This Row],[Total AMT]],0))</f>
        <v>0</v>
      </c>
    </row>
    <row r="249" spans="1:10">
      <c r="A249" s="38">
        <v>44730</v>
      </c>
      <c r="B249" s="37" t="s">
        <v>305</v>
      </c>
      <c r="C249" s="37" t="s">
        <v>226</v>
      </c>
      <c r="D249" s="37" t="s">
        <v>33</v>
      </c>
      <c r="E249" s="37" t="s">
        <v>211</v>
      </c>
      <c r="F249" s="38">
        <v>44780</v>
      </c>
      <c r="G249" s="37" t="s">
        <v>215</v>
      </c>
      <c r="H249" s="40">
        <v>69.3</v>
      </c>
      <c r="I249" s="39">
        <f>IF(My_Payment[[#This Row],[Payment_Code]]="S",My_Payment[[#This Row],[Total AMT]]/2,IF(My_Payment[[#This Row],[Payment_Code]]="P",My_Payment[[#This Row],[Total AMT]],0))</f>
        <v>69.3</v>
      </c>
      <c r="J249" s="39">
        <f>IF(My_Payment[[#This Row],[Payment_Code]]="S",My_Payment[[#This Row],[Total AMT]]/2,IF(My_Payment[[#This Row],[Payment_Code]]="N",My_Payment[[#This Row],[Total AMT]],0))</f>
        <v>0</v>
      </c>
    </row>
    <row r="250" spans="1:10">
      <c r="A250" s="38">
        <v>44738</v>
      </c>
      <c r="B250" s="37" t="s">
        <v>305</v>
      </c>
      <c r="C250" s="37" t="s">
        <v>226</v>
      </c>
      <c r="D250" s="37" t="s">
        <v>336</v>
      </c>
      <c r="E250" s="37" t="s">
        <v>211</v>
      </c>
      <c r="F250" s="38">
        <v>44780</v>
      </c>
      <c r="G250" s="37" t="s">
        <v>212</v>
      </c>
      <c r="H250" s="40">
        <v>446</v>
      </c>
      <c r="I250" s="39">
        <f>IF(My_Payment[[#This Row],[Payment_Code]]="S",My_Payment[[#This Row],[Total AMT]]/2,IF(My_Payment[[#This Row],[Payment_Code]]="P",My_Payment[[#This Row],[Total AMT]],0))</f>
        <v>223</v>
      </c>
      <c r="J250" s="39">
        <f>IF(My_Payment[[#This Row],[Payment_Code]]="S",My_Payment[[#This Row],[Total AMT]]/2,IF(My_Payment[[#This Row],[Payment_Code]]="N",My_Payment[[#This Row],[Total AMT]],0))</f>
        <v>223</v>
      </c>
    </row>
    <row r="251" spans="1:10">
      <c r="A251" s="38">
        <v>44748</v>
      </c>
      <c r="B251" s="37" t="s">
        <v>305</v>
      </c>
      <c r="C251" s="37" t="s">
        <v>226</v>
      </c>
      <c r="D251" s="37" t="s">
        <v>33</v>
      </c>
      <c r="E251" s="37" t="s">
        <v>211</v>
      </c>
      <c r="F251" s="38">
        <v>44780</v>
      </c>
      <c r="G251" s="37" t="s">
        <v>215</v>
      </c>
      <c r="H251" s="40">
        <v>357</v>
      </c>
      <c r="I251" s="39">
        <f>IF(My_Payment[[#This Row],[Payment_Code]]="S",My_Payment[[#This Row],[Total AMT]]/2,IF(My_Payment[[#This Row],[Payment_Code]]="P",My_Payment[[#This Row],[Total AMT]],0))</f>
        <v>357</v>
      </c>
      <c r="J251" s="39">
        <f>IF(My_Payment[[#This Row],[Payment_Code]]="S",My_Payment[[#This Row],[Total AMT]]/2,IF(My_Payment[[#This Row],[Payment_Code]]="N",My_Payment[[#This Row],[Total AMT]],0))</f>
        <v>0</v>
      </c>
    </row>
    <row r="252" spans="1:10">
      <c r="A252" s="38">
        <v>44755</v>
      </c>
      <c r="B252" s="37" t="s">
        <v>305</v>
      </c>
      <c r="C252" s="37" t="s">
        <v>226</v>
      </c>
      <c r="D252" s="37" t="s">
        <v>337</v>
      </c>
      <c r="E252" s="37" t="s">
        <v>211</v>
      </c>
      <c r="F252" s="38">
        <v>44780</v>
      </c>
      <c r="G252" s="37" t="s">
        <v>212</v>
      </c>
      <c r="H252" s="40">
        <v>317</v>
      </c>
      <c r="I252" s="39">
        <v>179</v>
      </c>
      <c r="J252" s="39">
        <v>138</v>
      </c>
    </row>
    <row r="253" spans="1:10">
      <c r="A253" s="38">
        <v>44760</v>
      </c>
      <c r="B253" s="37" t="s">
        <v>305</v>
      </c>
      <c r="C253" s="37" t="s">
        <v>226</v>
      </c>
      <c r="D253" s="37" t="s">
        <v>338</v>
      </c>
      <c r="E253" s="37" t="s">
        <v>324</v>
      </c>
      <c r="F253" s="38">
        <v>44780</v>
      </c>
      <c r="G253" s="37" t="s">
        <v>212</v>
      </c>
      <c r="H253" s="40">
        <v>1964.36</v>
      </c>
      <c r="I253" s="39">
        <f>IF(My_Payment[[#This Row],[Payment_Code]]="S",My_Payment[[#This Row],[Total AMT]]/2,IF(My_Payment[[#This Row],[Payment_Code]]="P",My_Payment[[#This Row],[Total AMT]],0))</f>
        <v>982.18</v>
      </c>
      <c r="J253" s="39">
        <f>IF(My_Payment[[#This Row],[Payment_Code]]="S",My_Payment[[#This Row],[Total AMT]]/2,IF(My_Payment[[#This Row],[Payment_Code]]="N",My_Payment[[#This Row],[Total AMT]],0))</f>
        <v>982.18</v>
      </c>
    </row>
    <row r="254" spans="1:10">
      <c r="A254" s="38">
        <v>44791</v>
      </c>
      <c r="B254" s="37" t="s">
        <v>305</v>
      </c>
      <c r="C254" s="37" t="s">
        <v>226</v>
      </c>
      <c r="D254" s="37" t="s">
        <v>338</v>
      </c>
      <c r="E254" s="37" t="s">
        <v>327</v>
      </c>
      <c r="F254" s="38">
        <v>44811</v>
      </c>
      <c r="G254" s="37" t="s">
        <v>212</v>
      </c>
      <c r="H254" s="40">
        <v>1964.36</v>
      </c>
      <c r="I254" s="39">
        <f>IF(My_Payment[[#This Row],[Payment_Code]]="S",My_Payment[[#This Row],[Total AMT]]/2,IF(My_Payment[[#This Row],[Payment_Code]]="P",My_Payment[[#This Row],[Total AMT]],0))</f>
        <v>982.18</v>
      </c>
      <c r="J254" s="39">
        <f>IF(My_Payment[[#This Row],[Payment_Code]]="S",My_Payment[[#This Row],[Total AMT]]/2,IF(My_Payment[[#This Row],[Payment_Code]]="N",My_Payment[[#This Row],[Total AMT]],0))</f>
        <v>982.18</v>
      </c>
    </row>
    <row r="255" spans="1:10">
      <c r="A255" s="38">
        <v>44822</v>
      </c>
      <c r="B255" s="37" t="s">
        <v>305</v>
      </c>
      <c r="C255" s="37" t="s">
        <v>226</v>
      </c>
      <c r="D255" s="37" t="s">
        <v>338</v>
      </c>
      <c r="E255" s="37" t="s">
        <v>80</v>
      </c>
      <c r="F255" s="38">
        <v>44841</v>
      </c>
      <c r="G255" s="37" t="s">
        <v>212</v>
      </c>
      <c r="H255" s="40">
        <v>1954.25</v>
      </c>
      <c r="I255" s="39">
        <f>IF(My_Payment[[#This Row],[Payment_Code]]="S",My_Payment[[#This Row],[Total AMT]]/2,IF(My_Payment[[#This Row],[Payment_Code]]="P",My_Payment[[#This Row],[Total AMT]],0))</f>
        <v>977.125</v>
      </c>
      <c r="J255" s="39">
        <f>IF(My_Payment[[#This Row],[Payment_Code]]="S",My_Payment[[#This Row],[Total AMT]]/2,IF(My_Payment[[#This Row],[Payment_Code]]="N",My_Payment[[#This Row],[Total AMT]],0))</f>
        <v>977.125</v>
      </c>
    </row>
    <row r="256" spans="1:10">
      <c r="A256" s="38">
        <v>44761</v>
      </c>
      <c r="B256" s="37" t="s">
        <v>305</v>
      </c>
      <c r="C256" s="37" t="s">
        <v>226</v>
      </c>
      <c r="D256" s="37" t="s">
        <v>33</v>
      </c>
      <c r="E256" s="37" t="s">
        <v>211</v>
      </c>
      <c r="F256" s="38">
        <v>44811</v>
      </c>
      <c r="G256" s="37" t="s">
        <v>215</v>
      </c>
      <c r="H256" s="40">
        <v>198.6</v>
      </c>
      <c r="I256" s="39">
        <f>IF(My_Payment[[#This Row],[Payment_Code]]="S",My_Payment[[#This Row],[Total AMT]]/2,IF(My_Payment[[#This Row],[Payment_Code]]="P",My_Payment[[#This Row],[Total AMT]],0))</f>
        <v>198.6</v>
      </c>
      <c r="J256" s="39">
        <f>IF(My_Payment[[#This Row],[Payment_Code]]="S",My_Payment[[#This Row],[Total AMT]]/2,IF(My_Payment[[#This Row],[Payment_Code]]="N",My_Payment[[#This Row],[Total AMT]],0))</f>
        <v>0</v>
      </c>
    </row>
    <row r="257" spans="1:10">
      <c r="A257" s="38">
        <v>44763</v>
      </c>
      <c r="B257" s="37" t="s">
        <v>305</v>
      </c>
      <c r="C257" s="37" t="s">
        <v>226</v>
      </c>
      <c r="D257" s="37" t="s">
        <v>33</v>
      </c>
      <c r="E257" s="37" t="s">
        <v>211</v>
      </c>
      <c r="F257" s="38">
        <v>44811</v>
      </c>
      <c r="G257" s="37" t="s">
        <v>215</v>
      </c>
      <c r="H257" s="40">
        <v>317.05</v>
      </c>
      <c r="I257" s="39">
        <f>IF(My_Payment[[#This Row],[Payment_Code]]="S",My_Payment[[#This Row],[Total AMT]]/2,IF(My_Payment[[#This Row],[Payment_Code]]="P",My_Payment[[#This Row],[Total AMT]],0))</f>
        <v>317.05</v>
      </c>
      <c r="J257" s="39">
        <f>IF(My_Payment[[#This Row],[Payment_Code]]="S",My_Payment[[#This Row],[Total AMT]]/2,IF(My_Payment[[#This Row],[Payment_Code]]="N",My_Payment[[#This Row],[Total AMT]],0))</f>
        <v>0</v>
      </c>
    </row>
    <row r="258" spans="1:10">
      <c r="A258" s="38">
        <v>44765</v>
      </c>
      <c r="B258" s="37" t="s">
        <v>305</v>
      </c>
      <c r="C258" s="37" t="s">
        <v>226</v>
      </c>
      <c r="D258" s="37" t="s">
        <v>214</v>
      </c>
      <c r="E258" s="37" t="s">
        <v>211</v>
      </c>
      <c r="F258" s="38">
        <v>44811</v>
      </c>
      <c r="G258" s="37" t="s">
        <v>215</v>
      </c>
      <c r="H258" s="40">
        <v>1390</v>
      </c>
      <c r="I258" s="39">
        <f>IF(My_Payment[[#This Row],[Payment_Code]]="S",My_Payment[[#This Row],[Total AMT]]/2,IF(My_Payment[[#This Row],[Payment_Code]]="P",My_Payment[[#This Row],[Total AMT]],0))</f>
        <v>1390</v>
      </c>
      <c r="J258" s="39">
        <f>IF(My_Payment[[#This Row],[Payment_Code]]="S",My_Payment[[#This Row],[Total AMT]]/2,IF(My_Payment[[#This Row],[Payment_Code]]="N",My_Payment[[#This Row],[Total AMT]],0))</f>
        <v>0</v>
      </c>
    </row>
    <row r="259" spans="1:10">
      <c r="A259" s="38">
        <v>44766</v>
      </c>
      <c r="B259" s="37" t="s">
        <v>305</v>
      </c>
      <c r="C259" s="37" t="s">
        <v>226</v>
      </c>
      <c r="D259" s="37" t="s">
        <v>339</v>
      </c>
      <c r="E259" s="37" t="s">
        <v>211</v>
      </c>
      <c r="F259" s="38">
        <v>44811</v>
      </c>
      <c r="G259" s="37" t="s">
        <v>212</v>
      </c>
      <c r="H259" s="40">
        <v>804</v>
      </c>
      <c r="I259" s="39">
        <f>IF(My_Payment[[#This Row],[Payment_Code]]="S",My_Payment[[#This Row],[Total AMT]]/2,IF(My_Payment[[#This Row],[Payment_Code]]="P",My_Payment[[#This Row],[Total AMT]],0))</f>
        <v>402</v>
      </c>
      <c r="J259" s="39">
        <f>IF(My_Payment[[#This Row],[Payment_Code]]="S",My_Payment[[#This Row],[Total AMT]]/2,IF(My_Payment[[#This Row],[Payment_Code]]="N",My_Payment[[#This Row],[Total AMT]],0))</f>
        <v>402</v>
      </c>
    </row>
    <row r="260" spans="1:10">
      <c r="A260" s="38">
        <v>44773</v>
      </c>
      <c r="B260" s="37" t="s">
        <v>305</v>
      </c>
      <c r="C260" s="37" t="s">
        <v>226</v>
      </c>
      <c r="D260" s="37" t="s">
        <v>332</v>
      </c>
      <c r="E260" s="37" t="s">
        <v>211</v>
      </c>
      <c r="F260" s="38">
        <v>44811</v>
      </c>
      <c r="G260" s="37" t="s">
        <v>212</v>
      </c>
      <c r="H260" s="40">
        <v>1448</v>
      </c>
      <c r="I260" s="39">
        <f>IF(My_Payment[[#This Row],[Payment_Code]]="S",My_Payment[[#This Row],[Total AMT]]/2,IF(My_Payment[[#This Row],[Payment_Code]]="P",My_Payment[[#This Row],[Total AMT]],0))</f>
        <v>724</v>
      </c>
      <c r="J260" s="39">
        <f>IF(My_Payment[[#This Row],[Payment_Code]]="S",My_Payment[[#This Row],[Total AMT]]/2,IF(My_Payment[[#This Row],[Payment_Code]]="N",My_Payment[[#This Row],[Total AMT]],0))</f>
        <v>724</v>
      </c>
    </row>
    <row r="261" spans="1:10">
      <c r="A261" s="38">
        <v>44794</v>
      </c>
      <c r="B261" s="37" t="s">
        <v>305</v>
      </c>
      <c r="C261" s="37" t="s">
        <v>226</v>
      </c>
      <c r="D261" s="37" t="s">
        <v>237</v>
      </c>
      <c r="E261" s="37" t="s">
        <v>211</v>
      </c>
      <c r="F261" s="38">
        <v>44841</v>
      </c>
      <c r="G261" s="37" t="s">
        <v>212</v>
      </c>
      <c r="H261" s="40">
        <v>1087</v>
      </c>
      <c r="I261" s="39">
        <f>IF(My_Payment[[#This Row],[Payment_Code]]="S",My_Payment[[#This Row],[Total AMT]]/2,IF(My_Payment[[#This Row],[Payment_Code]]="P",My_Payment[[#This Row],[Total AMT]],0))</f>
        <v>543.5</v>
      </c>
      <c r="J261" s="39">
        <f>IF(My_Payment[[#This Row],[Payment_Code]]="S",My_Payment[[#This Row],[Total AMT]]/2,IF(My_Payment[[#This Row],[Payment_Code]]="N",My_Payment[[#This Row],[Total AMT]],0))</f>
        <v>543.5</v>
      </c>
    </row>
    <row r="262" spans="1:10">
      <c r="A262" s="38">
        <v>44794</v>
      </c>
      <c r="B262" s="37" t="s">
        <v>305</v>
      </c>
      <c r="C262" s="37" t="s">
        <v>226</v>
      </c>
      <c r="D262" s="37" t="s">
        <v>340</v>
      </c>
      <c r="E262" s="37" t="s">
        <v>211</v>
      </c>
      <c r="F262" s="38">
        <v>44841</v>
      </c>
      <c r="G262" s="37" t="s">
        <v>212</v>
      </c>
      <c r="H262" s="40">
        <v>1004.25</v>
      </c>
      <c r="I262" s="39">
        <v>405</v>
      </c>
      <c r="J262" s="39">
        <v>599.25</v>
      </c>
    </row>
    <row r="263" spans="1:10">
      <c r="A263" s="38">
        <v>44796</v>
      </c>
      <c r="B263" s="37" t="s">
        <v>305</v>
      </c>
      <c r="C263" s="37" t="s">
        <v>226</v>
      </c>
      <c r="D263" s="37" t="s">
        <v>33</v>
      </c>
      <c r="E263" s="37" t="s">
        <v>211</v>
      </c>
      <c r="F263" s="38">
        <v>44841</v>
      </c>
      <c r="G263" s="37" t="s">
        <v>215</v>
      </c>
      <c r="H263" s="40">
        <v>305.7</v>
      </c>
      <c r="I263" s="39">
        <f>IF(My_Payment[[#This Row],[Payment_Code]]="S",My_Payment[[#This Row],[Total AMT]]/2,IF(My_Payment[[#This Row],[Payment_Code]]="P",My_Payment[[#This Row],[Total AMT]],0))</f>
        <v>305.7</v>
      </c>
      <c r="J263" s="39">
        <f>IF(My_Payment[[#This Row],[Payment_Code]]="S",My_Payment[[#This Row],[Total AMT]]/2,IF(My_Payment[[#This Row],[Payment_Code]]="N",My_Payment[[#This Row],[Total AMT]],0))</f>
        <v>0</v>
      </c>
    </row>
    <row r="264" spans="1:10">
      <c r="A264" s="38">
        <v>44803</v>
      </c>
      <c r="B264" s="37" t="s">
        <v>305</v>
      </c>
      <c r="C264" s="37" t="s">
        <v>226</v>
      </c>
      <c r="D264" s="37" t="s">
        <v>33</v>
      </c>
      <c r="E264" s="37" t="s">
        <v>211</v>
      </c>
      <c r="F264" s="38">
        <v>44841</v>
      </c>
      <c r="G264" s="37" t="s">
        <v>215</v>
      </c>
      <c r="H264" s="40">
        <v>219</v>
      </c>
      <c r="I264" s="39">
        <f>IF(My_Payment[[#This Row],[Payment_Code]]="S",My_Payment[[#This Row],[Total AMT]]/2,IF(My_Payment[[#This Row],[Payment_Code]]="P",My_Payment[[#This Row],[Total AMT]],0))</f>
        <v>219</v>
      </c>
      <c r="J264" s="39">
        <f>IF(My_Payment[[#This Row],[Payment_Code]]="S",My_Payment[[#This Row],[Total AMT]]/2,IF(My_Payment[[#This Row],[Payment_Code]]="N",My_Payment[[#This Row],[Total AMT]],0))</f>
        <v>0</v>
      </c>
    </row>
    <row r="265" spans="1:10">
      <c r="A265" s="38">
        <v>44808</v>
      </c>
      <c r="B265" s="37" t="s">
        <v>305</v>
      </c>
      <c r="C265" s="37" t="s">
        <v>226</v>
      </c>
      <c r="D265" s="37" t="s">
        <v>341</v>
      </c>
      <c r="E265" s="37" t="s">
        <v>211</v>
      </c>
      <c r="F265" s="38">
        <v>44841</v>
      </c>
      <c r="G265" s="37" t="s">
        <v>212</v>
      </c>
      <c r="H265" s="40">
        <v>1547.22</v>
      </c>
      <c r="I265" s="39">
        <f>IF(My_Payment[[#This Row],[Payment_Code]]="S",My_Payment[[#This Row],[Total AMT]]/2,IF(My_Payment[[#This Row],[Payment_Code]]="P",My_Payment[[#This Row],[Total AMT]],0))</f>
        <v>773.61</v>
      </c>
      <c r="J265" s="39">
        <f>IF(My_Payment[[#This Row],[Payment_Code]]="S",My_Payment[[#This Row],[Total AMT]]/2,IF(My_Payment[[#This Row],[Payment_Code]]="N",My_Payment[[#This Row],[Total AMT]],0))</f>
        <v>773.61</v>
      </c>
    </row>
    <row r="266" spans="1:10">
      <c r="A266" s="38">
        <v>44829</v>
      </c>
      <c r="B266" s="37" t="s">
        <v>305</v>
      </c>
      <c r="C266" s="37" t="s">
        <v>226</v>
      </c>
      <c r="D266" s="37" t="s">
        <v>342</v>
      </c>
      <c r="E266" s="37" t="s">
        <v>211</v>
      </c>
      <c r="F266" s="38">
        <v>44872</v>
      </c>
      <c r="G266" s="37" t="s">
        <v>212</v>
      </c>
      <c r="H266" s="40">
        <v>580</v>
      </c>
      <c r="I266" s="39">
        <f>IF(My_Payment[[#This Row],[Payment_Code]]="S",My_Payment[[#This Row],[Total AMT]]/2,IF(My_Payment[[#This Row],[Payment_Code]]="P",My_Payment[[#This Row],[Total AMT]],0))</f>
        <v>290</v>
      </c>
      <c r="J266" s="39">
        <f>IF(My_Payment[[#This Row],[Payment_Code]]="S",My_Payment[[#This Row],[Total AMT]]/2,IF(My_Payment[[#This Row],[Payment_Code]]="N",My_Payment[[#This Row],[Total AMT]],0))</f>
        <v>290</v>
      </c>
    </row>
    <row r="267" spans="1:10">
      <c r="A267" s="38">
        <v>44833</v>
      </c>
      <c r="B267" s="37" t="s">
        <v>305</v>
      </c>
      <c r="C267" s="37" t="s">
        <v>226</v>
      </c>
      <c r="D267" s="37" t="s">
        <v>33</v>
      </c>
      <c r="E267" s="37" t="s">
        <v>211</v>
      </c>
      <c r="F267" s="38">
        <v>44872</v>
      </c>
      <c r="G267" s="37" t="s">
        <v>215</v>
      </c>
      <c r="H267" s="40">
        <v>198.6</v>
      </c>
      <c r="I267" s="39">
        <f>IF(My_Payment[[#This Row],[Payment_Code]]="S",My_Payment[[#This Row],[Total AMT]]/2,IF(My_Payment[[#This Row],[Payment_Code]]="P",My_Payment[[#This Row],[Total AMT]],0))</f>
        <v>198.6</v>
      </c>
      <c r="J267" s="39">
        <f>IF(My_Payment[[#This Row],[Payment_Code]]="S",My_Payment[[#This Row],[Total AMT]]/2,IF(My_Payment[[#This Row],[Payment_Code]]="N",My_Payment[[#This Row],[Total AMT]],0))</f>
        <v>0</v>
      </c>
    </row>
    <row r="268" spans="1:10">
      <c r="A268" s="38">
        <v>44857</v>
      </c>
      <c r="B268" s="37" t="s">
        <v>305</v>
      </c>
      <c r="C268" s="37" t="s">
        <v>226</v>
      </c>
      <c r="D268" s="37" t="s">
        <v>220</v>
      </c>
      <c r="E268" s="37" t="s">
        <v>211</v>
      </c>
      <c r="F268" s="38">
        <v>44902</v>
      </c>
      <c r="G268" s="37" t="s">
        <v>212</v>
      </c>
      <c r="H268" s="40">
        <v>836</v>
      </c>
      <c r="I268" s="39">
        <f>IF(My_Payment[[#This Row],[Payment_Code]]="S",My_Payment[[#This Row],[Total AMT]]/2,IF(My_Payment[[#This Row],[Payment_Code]]="P",My_Payment[[#This Row],[Total AMT]],0))</f>
        <v>418</v>
      </c>
      <c r="J268" s="39">
        <f>IF(My_Payment[[#This Row],[Payment_Code]]="S",My_Payment[[#This Row],[Total AMT]]/2,IF(My_Payment[[#This Row],[Payment_Code]]="N",My_Payment[[#This Row],[Total AMT]],0))</f>
        <v>418</v>
      </c>
    </row>
    <row r="269" spans="1:10">
      <c r="A269" s="38">
        <v>44871</v>
      </c>
      <c r="B269" s="37" t="s">
        <v>305</v>
      </c>
      <c r="C269" s="37" t="s">
        <v>226</v>
      </c>
      <c r="D269" s="37" t="s">
        <v>33</v>
      </c>
      <c r="E269" s="37" t="s">
        <v>211</v>
      </c>
      <c r="F269" s="38">
        <v>44902</v>
      </c>
      <c r="G269" s="37" t="s">
        <v>215</v>
      </c>
      <c r="H269" s="40">
        <v>198.6</v>
      </c>
      <c r="I269" s="39">
        <f>IF(My_Payment[[#This Row],[Payment_Code]]="S",My_Payment[[#This Row],[Total AMT]]/2,IF(My_Payment[[#This Row],[Payment_Code]]="P",My_Payment[[#This Row],[Total AMT]],0))</f>
        <v>198.6</v>
      </c>
      <c r="J269" s="39">
        <f>IF(My_Payment[[#This Row],[Payment_Code]]="S",My_Payment[[#This Row],[Total AMT]]/2,IF(My_Payment[[#This Row],[Payment_Code]]="N",My_Payment[[#This Row],[Total AMT]],0))</f>
        <v>0</v>
      </c>
    </row>
    <row r="270" spans="1:10">
      <c r="A270" s="38">
        <v>44774</v>
      </c>
      <c r="B270" s="37" t="s">
        <v>343</v>
      </c>
      <c r="C270" s="37" t="s">
        <v>248</v>
      </c>
      <c r="D270" s="37" t="s">
        <v>344</v>
      </c>
      <c r="E270" s="37" t="s">
        <v>306</v>
      </c>
      <c r="F270" s="38">
        <v>44805</v>
      </c>
      <c r="G270" s="37" t="s">
        <v>215</v>
      </c>
      <c r="H270" s="40">
        <v>900</v>
      </c>
      <c r="I270" s="39">
        <f>IF(My_Payment[[#This Row],[Payment_Code]]="S",My_Payment[[#This Row],[Total AMT]]/2,IF(My_Payment[[#This Row],[Payment_Code]]="P",My_Payment[[#This Row],[Total AMT]],0))</f>
        <v>900</v>
      </c>
      <c r="J270" s="39">
        <f>IF(My_Payment[[#This Row],[Payment_Code]]="S",My_Payment[[#This Row],[Total AMT]]/2,IF(My_Payment[[#This Row],[Payment_Code]]="N",My_Payment[[#This Row],[Total AMT]],0))</f>
        <v>0</v>
      </c>
    </row>
    <row r="271" spans="1:10">
      <c r="A271" s="38">
        <v>44805</v>
      </c>
      <c r="B271" s="37" t="s">
        <v>343</v>
      </c>
      <c r="C271" s="37" t="s">
        <v>248</v>
      </c>
      <c r="D271" s="37" t="s">
        <v>344</v>
      </c>
      <c r="E271" s="37" t="s">
        <v>307</v>
      </c>
      <c r="F271" s="38">
        <v>44835</v>
      </c>
      <c r="G271" s="37" t="s">
        <v>215</v>
      </c>
      <c r="H271" s="40">
        <v>900</v>
      </c>
      <c r="I271" s="39">
        <f>IF(My_Payment[[#This Row],[Payment_Code]]="S",My_Payment[[#This Row],[Total AMT]]/2,IF(My_Payment[[#This Row],[Payment_Code]]="P",My_Payment[[#This Row],[Total AMT]],0))</f>
        <v>900</v>
      </c>
      <c r="J271" s="39">
        <f>IF(My_Payment[[#This Row],[Payment_Code]]="S",My_Payment[[#This Row],[Total AMT]]/2,IF(My_Payment[[#This Row],[Payment_Code]]="N",My_Payment[[#This Row],[Total AMT]],0))</f>
        <v>0</v>
      </c>
    </row>
    <row r="272" spans="1:10">
      <c r="A272" s="38">
        <v>44835</v>
      </c>
      <c r="B272" s="37" t="s">
        <v>343</v>
      </c>
      <c r="C272" s="37" t="s">
        <v>248</v>
      </c>
      <c r="D272" s="37" t="s">
        <v>344</v>
      </c>
      <c r="E272" s="37" t="s">
        <v>308</v>
      </c>
      <c r="F272" s="38">
        <v>44866</v>
      </c>
      <c r="G272" s="37" t="s">
        <v>215</v>
      </c>
      <c r="H272" s="40">
        <v>900</v>
      </c>
      <c r="I272" s="39">
        <f>IF(My_Payment[[#This Row],[Payment_Code]]="S",My_Payment[[#This Row],[Total AMT]]/2,IF(My_Payment[[#This Row],[Payment_Code]]="P",My_Payment[[#This Row],[Total AMT]],0))</f>
        <v>900</v>
      </c>
      <c r="J272" s="39">
        <f>IF(My_Payment[[#This Row],[Payment_Code]]="S",My_Payment[[#This Row],[Total AMT]]/2,IF(My_Payment[[#This Row],[Payment_Code]]="N",My_Payment[[#This Row],[Total AMT]],0))</f>
        <v>0</v>
      </c>
    </row>
    <row r="273" spans="1:10">
      <c r="A273" s="38">
        <v>44866</v>
      </c>
      <c r="B273" s="37" t="s">
        <v>343</v>
      </c>
      <c r="C273" s="37" t="s">
        <v>248</v>
      </c>
      <c r="D273" s="37" t="s">
        <v>344</v>
      </c>
      <c r="E273" s="37" t="s">
        <v>309</v>
      </c>
      <c r="F273" s="38">
        <v>44896</v>
      </c>
      <c r="G273" s="37" t="s">
        <v>215</v>
      </c>
      <c r="H273" s="40">
        <v>900</v>
      </c>
      <c r="I273" s="39">
        <f>IF(My_Payment[[#This Row],[Payment_Code]]="S",My_Payment[[#This Row],[Total AMT]]/2,IF(My_Payment[[#This Row],[Payment_Code]]="P",My_Payment[[#This Row],[Total AMT]],0))</f>
        <v>900</v>
      </c>
      <c r="J273" s="39">
        <f>IF(My_Payment[[#This Row],[Payment_Code]]="S",My_Payment[[#This Row],[Total AMT]]/2,IF(My_Payment[[#This Row],[Payment_Code]]="N",My_Payment[[#This Row],[Total AMT]],0))</f>
        <v>0</v>
      </c>
    </row>
    <row r="274" spans="1:10">
      <c r="A274" s="38">
        <v>44896</v>
      </c>
      <c r="B274" s="37" t="s">
        <v>343</v>
      </c>
      <c r="C274" s="37" t="s">
        <v>248</v>
      </c>
      <c r="D274" s="37" t="s">
        <v>344</v>
      </c>
      <c r="E274" s="37" t="s">
        <v>310</v>
      </c>
      <c r="F274" s="38">
        <v>44927</v>
      </c>
      <c r="G274" s="37" t="s">
        <v>215</v>
      </c>
      <c r="H274" s="40">
        <v>900</v>
      </c>
      <c r="I274" s="39">
        <f>IF(My_Payment[[#This Row],[Payment_Code]]="S",My_Payment[[#This Row],[Total AMT]]/2,IF(My_Payment[[#This Row],[Payment_Code]]="P",My_Payment[[#This Row],[Total AMT]],0))</f>
        <v>900</v>
      </c>
      <c r="J274" s="39">
        <f>IF(My_Payment[[#This Row],[Payment_Code]]="S",My_Payment[[#This Row],[Total AMT]]/2,IF(My_Payment[[#This Row],[Payment_Code]]="N",My_Payment[[#This Row],[Total AMT]],0))</f>
        <v>0</v>
      </c>
    </row>
    <row r="275" spans="1:10">
      <c r="A275" s="38">
        <v>44927</v>
      </c>
      <c r="B275" s="37" t="s">
        <v>343</v>
      </c>
      <c r="C275" s="37" t="s">
        <v>248</v>
      </c>
      <c r="D275" s="37" t="s">
        <v>344</v>
      </c>
      <c r="E275" s="37" t="s">
        <v>311</v>
      </c>
      <c r="F275" s="38">
        <v>44958</v>
      </c>
      <c r="G275" s="37" t="s">
        <v>215</v>
      </c>
      <c r="H275" s="40">
        <v>0</v>
      </c>
      <c r="I275" s="39">
        <f>IF(My_Payment[[#This Row],[Payment_Code]]="S",My_Payment[[#This Row],[Total AMT]]/2,IF(My_Payment[[#This Row],[Payment_Code]]="P",My_Payment[[#This Row],[Total AMT]],0))</f>
        <v>0</v>
      </c>
      <c r="J275" s="39">
        <f>IF(My_Payment[[#This Row],[Payment_Code]]="S",My_Payment[[#This Row],[Total AMT]]/2,IF(My_Payment[[#This Row],[Payment_Code]]="N",My_Payment[[#This Row],[Total AMT]],0))</f>
        <v>0</v>
      </c>
    </row>
    <row r="276" spans="1:10">
      <c r="A276" s="38">
        <v>44958</v>
      </c>
      <c r="B276" s="37" t="s">
        <v>343</v>
      </c>
      <c r="C276" s="37" t="s">
        <v>248</v>
      </c>
      <c r="D276" s="37" t="s">
        <v>344</v>
      </c>
      <c r="E276" s="37" t="s">
        <v>312</v>
      </c>
      <c r="F276" s="38">
        <v>44986</v>
      </c>
      <c r="G276" s="37" t="s">
        <v>215</v>
      </c>
      <c r="H276" s="40">
        <v>0</v>
      </c>
      <c r="I276" s="39">
        <f>IF(My_Payment[[#This Row],[Payment_Code]]="S",My_Payment[[#This Row],[Total AMT]]/2,IF(My_Payment[[#This Row],[Payment_Code]]="P",My_Payment[[#This Row],[Total AMT]],0))</f>
        <v>0</v>
      </c>
      <c r="J276" s="39">
        <f>IF(My_Payment[[#This Row],[Payment_Code]]="S",My_Payment[[#This Row],[Total AMT]]/2,IF(My_Payment[[#This Row],[Payment_Code]]="N",My_Payment[[#This Row],[Total AMT]],0))</f>
        <v>0</v>
      </c>
    </row>
    <row r="277" spans="1:10">
      <c r="A277" s="38">
        <v>44986</v>
      </c>
      <c r="B277" s="37" t="s">
        <v>343</v>
      </c>
      <c r="C277" s="37" t="s">
        <v>248</v>
      </c>
      <c r="D277" s="37" t="s">
        <v>344</v>
      </c>
      <c r="E277" s="37" t="s">
        <v>313</v>
      </c>
      <c r="F277" s="38">
        <v>45017</v>
      </c>
      <c r="G277" s="37" t="s">
        <v>215</v>
      </c>
      <c r="H277" s="40">
        <v>0</v>
      </c>
      <c r="I277" s="39">
        <f>IF(My_Payment[[#This Row],[Payment_Code]]="S",My_Payment[[#This Row],[Total AMT]]/2,IF(My_Payment[[#This Row],[Payment_Code]]="P",My_Payment[[#This Row],[Total AMT]],0))</f>
        <v>0</v>
      </c>
      <c r="J277" s="39">
        <f>IF(My_Payment[[#This Row],[Payment_Code]]="S",My_Payment[[#This Row],[Total AMT]]/2,IF(My_Payment[[#This Row],[Payment_Code]]="N",My_Payment[[#This Row],[Total AMT]],0))</f>
        <v>0</v>
      </c>
    </row>
    <row r="278" spans="1:10">
      <c r="A278" s="38">
        <v>45017</v>
      </c>
      <c r="B278" s="37" t="s">
        <v>343</v>
      </c>
      <c r="C278" s="37" t="s">
        <v>248</v>
      </c>
      <c r="D278" s="37" t="s">
        <v>344</v>
      </c>
      <c r="E278" s="37" t="s">
        <v>314</v>
      </c>
      <c r="F278" s="38">
        <v>45047</v>
      </c>
      <c r="G278" s="37" t="s">
        <v>215</v>
      </c>
      <c r="H278" s="40">
        <v>0</v>
      </c>
      <c r="I278" s="39">
        <f>IF(My_Payment[[#This Row],[Payment_Code]]="S",My_Payment[[#This Row],[Total AMT]]/2,IF(My_Payment[[#This Row],[Payment_Code]]="P",My_Payment[[#This Row],[Total AMT]],0))</f>
        <v>0</v>
      </c>
      <c r="J278" s="39">
        <f>IF(My_Payment[[#This Row],[Payment_Code]]="S",My_Payment[[#This Row],[Total AMT]]/2,IF(My_Payment[[#This Row],[Payment_Code]]="N",My_Payment[[#This Row],[Total AMT]],0))</f>
        <v>0</v>
      </c>
    </row>
    <row r="279" spans="1:10">
      <c r="A279" s="38">
        <v>45047</v>
      </c>
      <c r="B279" s="37" t="s">
        <v>343</v>
      </c>
      <c r="C279" s="37" t="s">
        <v>248</v>
      </c>
      <c r="D279" s="37" t="s">
        <v>344</v>
      </c>
      <c r="E279" s="37" t="s">
        <v>112</v>
      </c>
      <c r="F279" s="38">
        <v>45078</v>
      </c>
      <c r="G279" s="37" t="s">
        <v>215</v>
      </c>
      <c r="H279" s="40">
        <v>0</v>
      </c>
      <c r="I279" s="39">
        <f>IF(My_Payment[[#This Row],[Payment_Code]]="S",My_Payment[[#This Row],[Total AMT]]/2,IF(My_Payment[[#This Row],[Payment_Code]]="P",My_Payment[[#This Row],[Total AMT]],0))</f>
        <v>0</v>
      </c>
      <c r="J279" s="39">
        <f>IF(My_Payment[[#This Row],[Payment_Code]]="S",My_Payment[[#This Row],[Total AMT]]/2,IF(My_Payment[[#This Row],[Payment_Code]]="N",My_Payment[[#This Row],[Total AMT]],0))</f>
        <v>0</v>
      </c>
    </row>
    <row r="280" spans="1:10">
      <c r="A280" s="38">
        <v>44520</v>
      </c>
      <c r="B280" s="37" t="s">
        <v>345</v>
      </c>
      <c r="C280" s="37" t="s">
        <v>248</v>
      </c>
      <c r="D280" s="37" t="s">
        <v>346</v>
      </c>
      <c r="E280" s="37" t="s">
        <v>211</v>
      </c>
      <c r="F280" s="38">
        <v>44563</v>
      </c>
      <c r="G280" s="37" t="s">
        <v>215</v>
      </c>
      <c r="H280" s="40">
        <v>1191.8699999999999</v>
      </c>
      <c r="I280" s="39">
        <f>IF(My_Payment[[#This Row],[Payment_Code]]="S",My_Payment[[#This Row],[Total AMT]]/2,IF(My_Payment[[#This Row],[Payment_Code]]="P",My_Payment[[#This Row],[Total AMT]],0))</f>
        <v>1191.8699999999999</v>
      </c>
      <c r="J280" s="39">
        <f>IF(My_Payment[[#This Row],[Payment_Code]]="S",My_Payment[[#This Row],[Total AMT]]/2,IF(My_Payment[[#This Row],[Payment_Code]]="N",My_Payment[[#This Row],[Total AMT]],0))</f>
        <v>0</v>
      </c>
    </row>
    <row r="281" spans="1:10">
      <c r="A281" s="38">
        <v>44524</v>
      </c>
      <c r="B281" s="37" t="s">
        <v>345</v>
      </c>
      <c r="C281" s="37" t="s">
        <v>248</v>
      </c>
      <c r="D281" s="37" t="s">
        <v>347</v>
      </c>
      <c r="E281" s="37" t="s">
        <v>319</v>
      </c>
      <c r="F281" s="38">
        <v>44563</v>
      </c>
      <c r="G281" s="37" t="s">
        <v>215</v>
      </c>
      <c r="H281" s="40">
        <v>4601.16</v>
      </c>
      <c r="I281" s="39">
        <f>IF(My_Payment[[#This Row],[Payment_Code]]="S",My_Payment[[#This Row],[Total AMT]]/2,IF(My_Payment[[#This Row],[Payment_Code]]="P",My_Payment[[#This Row],[Total AMT]],0))</f>
        <v>4601.16</v>
      </c>
      <c r="J281" s="39">
        <f>IF(My_Payment[[#This Row],[Payment_Code]]="S",My_Payment[[#This Row],[Total AMT]]/2,IF(My_Payment[[#This Row],[Payment_Code]]="N",My_Payment[[#This Row],[Total AMT]],0))</f>
        <v>0</v>
      </c>
    </row>
    <row r="282" spans="1:10">
      <c r="A282" s="38">
        <v>44524</v>
      </c>
      <c r="B282" s="37" t="s">
        <v>345</v>
      </c>
      <c r="C282" s="37" t="s">
        <v>248</v>
      </c>
      <c r="D282" s="37" t="s">
        <v>176</v>
      </c>
      <c r="E282" s="37" t="s">
        <v>319</v>
      </c>
      <c r="F282" s="38">
        <v>44563</v>
      </c>
      <c r="G282" s="37" t="s">
        <v>215</v>
      </c>
      <c r="H282" s="40">
        <v>204.29</v>
      </c>
      <c r="I282" s="39">
        <f>IF(My_Payment[[#This Row],[Payment_Code]]="S",My_Payment[[#This Row],[Total AMT]]/2,IF(My_Payment[[#This Row],[Payment_Code]]="P",My_Payment[[#This Row],[Total AMT]],0))</f>
        <v>204.29</v>
      </c>
      <c r="J282" s="39">
        <f>IF(My_Payment[[#This Row],[Payment_Code]]="S",My_Payment[[#This Row],[Total AMT]]/2,IF(My_Payment[[#This Row],[Payment_Code]]="N",My_Payment[[#This Row],[Total AMT]],0))</f>
        <v>0</v>
      </c>
    </row>
    <row r="283" spans="1:10">
      <c r="A283" s="38">
        <v>44550</v>
      </c>
      <c r="B283" s="37" t="s">
        <v>345</v>
      </c>
      <c r="C283" s="37" t="s">
        <v>248</v>
      </c>
      <c r="D283" s="37" t="s">
        <v>346</v>
      </c>
      <c r="E283" s="37" t="s">
        <v>211</v>
      </c>
      <c r="F283" s="38">
        <v>44594</v>
      </c>
      <c r="G283" s="37" t="s">
        <v>215</v>
      </c>
      <c r="H283" s="40">
        <v>1191.8699999999999</v>
      </c>
      <c r="I283" s="39">
        <f>IF(My_Payment[[#This Row],[Payment_Code]]="S",My_Payment[[#This Row],[Total AMT]]/2,IF(My_Payment[[#This Row],[Payment_Code]]="P",My_Payment[[#This Row],[Total AMT]],0))</f>
        <v>1191.8699999999999</v>
      </c>
      <c r="J283" s="39">
        <f>IF(My_Payment[[#This Row],[Payment_Code]]="S",My_Payment[[#This Row],[Total AMT]]/2,IF(My_Payment[[#This Row],[Payment_Code]]="N",My_Payment[[#This Row],[Total AMT]],0))</f>
        <v>0</v>
      </c>
    </row>
    <row r="284" spans="1:10">
      <c r="A284" s="38">
        <v>44554</v>
      </c>
      <c r="B284" s="37" t="s">
        <v>345</v>
      </c>
      <c r="C284" s="37" t="s">
        <v>248</v>
      </c>
      <c r="D284" s="37" t="s">
        <v>347</v>
      </c>
      <c r="E284" s="37" t="s">
        <v>320</v>
      </c>
      <c r="F284" s="38">
        <v>44594</v>
      </c>
      <c r="G284" s="37" t="s">
        <v>215</v>
      </c>
      <c r="H284" s="40">
        <v>4601.16</v>
      </c>
      <c r="I284" s="39">
        <f>IF(My_Payment[[#This Row],[Payment_Code]]="S",My_Payment[[#This Row],[Total AMT]]/2,IF(My_Payment[[#This Row],[Payment_Code]]="P",My_Payment[[#This Row],[Total AMT]],0))</f>
        <v>4601.16</v>
      </c>
      <c r="J284" s="39">
        <f>IF(My_Payment[[#This Row],[Payment_Code]]="S",My_Payment[[#This Row],[Total AMT]]/2,IF(My_Payment[[#This Row],[Payment_Code]]="N",My_Payment[[#This Row],[Total AMT]],0))</f>
        <v>0</v>
      </c>
    </row>
    <row r="285" spans="1:10">
      <c r="A285" s="38">
        <v>44554</v>
      </c>
      <c r="B285" s="37" t="s">
        <v>345</v>
      </c>
      <c r="C285" s="37" t="s">
        <v>248</v>
      </c>
      <c r="D285" s="37" t="s">
        <v>176</v>
      </c>
      <c r="E285" s="37" t="s">
        <v>320</v>
      </c>
      <c r="F285" s="38">
        <v>44594</v>
      </c>
      <c r="G285" s="37" t="s">
        <v>215</v>
      </c>
      <c r="H285" s="40">
        <v>204.29</v>
      </c>
      <c r="I285" s="39">
        <f>IF(My_Payment[[#This Row],[Payment_Code]]="S",My_Payment[[#This Row],[Total AMT]]/2,IF(My_Payment[[#This Row],[Payment_Code]]="P",My_Payment[[#This Row],[Total AMT]],0))</f>
        <v>204.29</v>
      </c>
      <c r="J285" s="39">
        <f>IF(My_Payment[[#This Row],[Payment_Code]]="S",My_Payment[[#This Row],[Total AMT]]/2,IF(My_Payment[[#This Row],[Payment_Code]]="N",My_Payment[[#This Row],[Total AMT]],0))</f>
        <v>0</v>
      </c>
    </row>
    <row r="286" spans="1:10">
      <c r="A286" s="38">
        <v>44581</v>
      </c>
      <c r="B286" s="37" t="s">
        <v>345</v>
      </c>
      <c r="C286" s="37" t="s">
        <v>248</v>
      </c>
      <c r="D286" s="37" t="s">
        <v>346</v>
      </c>
      <c r="E286" s="37" t="s">
        <v>211</v>
      </c>
      <c r="F286" s="38">
        <v>44622</v>
      </c>
      <c r="G286" s="37" t="s">
        <v>215</v>
      </c>
      <c r="H286" s="40">
        <v>1191.8699999999999</v>
      </c>
      <c r="I286" s="39">
        <f>IF(My_Payment[[#This Row],[Payment_Code]]="S",My_Payment[[#This Row],[Total AMT]]/2,IF(My_Payment[[#This Row],[Payment_Code]]="P",My_Payment[[#This Row],[Total AMT]],0))</f>
        <v>1191.8699999999999</v>
      </c>
      <c r="J286" s="39">
        <f>IF(My_Payment[[#This Row],[Payment_Code]]="S",My_Payment[[#This Row],[Total AMT]]/2,IF(My_Payment[[#This Row],[Payment_Code]]="N",My_Payment[[#This Row],[Total AMT]],0))</f>
        <v>0</v>
      </c>
    </row>
    <row r="287" spans="1:10">
      <c r="A287" s="38">
        <v>44585</v>
      </c>
      <c r="B287" s="37" t="s">
        <v>345</v>
      </c>
      <c r="C287" s="37" t="s">
        <v>248</v>
      </c>
      <c r="D287" s="37" t="s">
        <v>347</v>
      </c>
      <c r="E287" s="37" t="s">
        <v>321</v>
      </c>
      <c r="F287" s="38">
        <v>44622</v>
      </c>
      <c r="G287" s="37" t="s">
        <v>215</v>
      </c>
      <c r="H287" s="40">
        <v>4601.16</v>
      </c>
      <c r="I287" s="39">
        <f>IF(My_Payment[[#This Row],[Payment_Code]]="S",My_Payment[[#This Row],[Total AMT]]/2,IF(My_Payment[[#This Row],[Payment_Code]]="P",My_Payment[[#This Row],[Total AMT]],0))</f>
        <v>4601.16</v>
      </c>
      <c r="J287" s="39">
        <f>IF(My_Payment[[#This Row],[Payment_Code]]="S",My_Payment[[#This Row],[Total AMT]]/2,IF(My_Payment[[#This Row],[Payment_Code]]="N",My_Payment[[#This Row],[Total AMT]],0))</f>
        <v>0</v>
      </c>
    </row>
    <row r="288" spans="1:10">
      <c r="A288" s="38">
        <v>44585</v>
      </c>
      <c r="B288" s="37" t="s">
        <v>345</v>
      </c>
      <c r="C288" s="37" t="s">
        <v>248</v>
      </c>
      <c r="D288" s="37" t="s">
        <v>176</v>
      </c>
      <c r="E288" s="37" t="s">
        <v>321</v>
      </c>
      <c r="F288" s="38">
        <v>44622</v>
      </c>
      <c r="G288" s="37" t="s">
        <v>215</v>
      </c>
      <c r="H288" s="40">
        <v>204.29</v>
      </c>
      <c r="I288" s="39">
        <f>IF(My_Payment[[#This Row],[Payment_Code]]="S",My_Payment[[#This Row],[Total AMT]]/2,IF(My_Payment[[#This Row],[Payment_Code]]="P",My_Payment[[#This Row],[Total AMT]],0))</f>
        <v>204.29</v>
      </c>
      <c r="J288" s="39">
        <f>IF(My_Payment[[#This Row],[Payment_Code]]="S",My_Payment[[#This Row],[Total AMT]]/2,IF(My_Payment[[#This Row],[Payment_Code]]="N",My_Payment[[#This Row],[Total AMT]],0))</f>
        <v>0</v>
      </c>
    </row>
    <row r="289" spans="1:10">
      <c r="A289" s="38">
        <v>44612</v>
      </c>
      <c r="B289" s="37" t="s">
        <v>345</v>
      </c>
      <c r="C289" s="37" t="s">
        <v>248</v>
      </c>
      <c r="D289" s="37" t="s">
        <v>346</v>
      </c>
      <c r="E289" s="37" t="s">
        <v>211</v>
      </c>
      <c r="F289" s="38">
        <v>44653</v>
      </c>
      <c r="G289" s="37" t="s">
        <v>215</v>
      </c>
      <c r="H289" s="40">
        <v>1191.8699999999999</v>
      </c>
      <c r="I289" s="39">
        <f>IF(My_Payment[[#This Row],[Payment_Code]]="S",My_Payment[[#This Row],[Total AMT]]/2,IF(My_Payment[[#This Row],[Payment_Code]]="P",My_Payment[[#This Row],[Total AMT]],0))</f>
        <v>1191.8699999999999</v>
      </c>
      <c r="J289" s="39">
        <f>IF(My_Payment[[#This Row],[Payment_Code]]="S",My_Payment[[#This Row],[Total AMT]]/2,IF(My_Payment[[#This Row],[Payment_Code]]="N",My_Payment[[#This Row],[Total AMT]],0))</f>
        <v>0</v>
      </c>
    </row>
    <row r="290" spans="1:10">
      <c r="A290" s="38">
        <v>44616</v>
      </c>
      <c r="B290" s="37" t="s">
        <v>345</v>
      </c>
      <c r="C290" s="37" t="s">
        <v>248</v>
      </c>
      <c r="D290" s="37" t="s">
        <v>347</v>
      </c>
      <c r="E290" s="37" t="s">
        <v>25</v>
      </c>
      <c r="F290" s="38">
        <v>44653</v>
      </c>
      <c r="G290" s="37" t="s">
        <v>215</v>
      </c>
      <c r="H290" s="40">
        <v>4601.16</v>
      </c>
      <c r="I290" s="39">
        <f>IF(My_Payment[[#This Row],[Payment_Code]]="S",My_Payment[[#This Row],[Total AMT]]/2,IF(My_Payment[[#This Row],[Payment_Code]]="P",My_Payment[[#This Row],[Total AMT]],0))</f>
        <v>4601.16</v>
      </c>
      <c r="J290" s="39">
        <f>IF(My_Payment[[#This Row],[Payment_Code]]="S",My_Payment[[#This Row],[Total AMT]]/2,IF(My_Payment[[#This Row],[Payment_Code]]="N",My_Payment[[#This Row],[Total AMT]],0))</f>
        <v>0</v>
      </c>
    </row>
    <row r="291" spans="1:10">
      <c r="A291" s="38">
        <v>44616</v>
      </c>
      <c r="B291" s="37" t="s">
        <v>345</v>
      </c>
      <c r="C291" s="37" t="s">
        <v>248</v>
      </c>
      <c r="D291" s="37" t="s">
        <v>176</v>
      </c>
      <c r="E291" s="37" t="s">
        <v>25</v>
      </c>
      <c r="F291" s="38">
        <v>44653</v>
      </c>
      <c r="G291" s="37" t="s">
        <v>215</v>
      </c>
      <c r="H291" s="40">
        <v>204.29</v>
      </c>
      <c r="I291" s="39">
        <f>IF(My_Payment[[#This Row],[Payment_Code]]="S",My_Payment[[#This Row],[Total AMT]]/2,IF(My_Payment[[#This Row],[Payment_Code]]="P",My_Payment[[#This Row],[Total AMT]],0))</f>
        <v>204.29</v>
      </c>
      <c r="J291" s="39">
        <f>IF(My_Payment[[#This Row],[Payment_Code]]="S",My_Payment[[#This Row],[Total AMT]]/2,IF(My_Payment[[#This Row],[Payment_Code]]="N",My_Payment[[#This Row],[Total AMT]],0))</f>
        <v>0</v>
      </c>
    </row>
    <row r="292" spans="1:10">
      <c r="A292" s="38">
        <v>44640</v>
      </c>
      <c r="B292" s="37" t="s">
        <v>345</v>
      </c>
      <c r="C292" s="37" t="s">
        <v>248</v>
      </c>
      <c r="D292" s="37" t="s">
        <v>346</v>
      </c>
      <c r="E292" s="37" t="s">
        <v>211</v>
      </c>
      <c r="F292" s="38">
        <v>44683</v>
      </c>
      <c r="G292" s="37" t="s">
        <v>215</v>
      </c>
      <c r="H292" s="40">
        <v>1191.8699999999999</v>
      </c>
      <c r="I292" s="39">
        <f>IF(My_Payment[[#This Row],[Payment_Code]]="S",My_Payment[[#This Row],[Total AMT]]/2,IF(My_Payment[[#This Row],[Payment_Code]]="P",My_Payment[[#This Row],[Total AMT]],0))</f>
        <v>1191.8699999999999</v>
      </c>
      <c r="J292" s="39">
        <f>IF(My_Payment[[#This Row],[Payment_Code]]="S",My_Payment[[#This Row],[Total AMT]]/2,IF(My_Payment[[#This Row],[Payment_Code]]="N",My_Payment[[#This Row],[Total AMT]],0))</f>
        <v>0</v>
      </c>
    </row>
    <row r="293" spans="1:10">
      <c r="A293" s="38">
        <v>44671</v>
      </c>
      <c r="B293" s="37" t="s">
        <v>345</v>
      </c>
      <c r="C293" s="37" t="s">
        <v>248</v>
      </c>
      <c r="D293" s="37" t="s">
        <v>346</v>
      </c>
      <c r="E293" s="37" t="s">
        <v>211</v>
      </c>
      <c r="F293" s="38">
        <v>44714</v>
      </c>
      <c r="G293" s="37" t="s">
        <v>215</v>
      </c>
      <c r="H293" s="40">
        <v>1191.8699999999999</v>
      </c>
      <c r="I293" s="39">
        <f>IF(My_Payment[[#This Row],[Payment_Code]]="S",My_Payment[[#This Row],[Total AMT]]/2,IF(My_Payment[[#This Row],[Payment_Code]]="P",My_Payment[[#This Row],[Total AMT]],0))</f>
        <v>1191.8699999999999</v>
      </c>
      <c r="J293" s="39">
        <f>IF(My_Payment[[#This Row],[Payment_Code]]="S",My_Payment[[#This Row],[Total AMT]]/2,IF(My_Payment[[#This Row],[Payment_Code]]="N",My_Payment[[#This Row],[Total AMT]],0))</f>
        <v>0</v>
      </c>
    </row>
    <row r="294" spans="1:10">
      <c r="A294" s="38">
        <v>44701</v>
      </c>
      <c r="B294" s="37" t="s">
        <v>345</v>
      </c>
      <c r="C294" s="37" t="s">
        <v>248</v>
      </c>
      <c r="D294" s="37" t="s">
        <v>346</v>
      </c>
      <c r="E294" s="37" t="s">
        <v>211</v>
      </c>
      <c r="F294" s="38">
        <v>44744</v>
      </c>
      <c r="G294" s="37" t="s">
        <v>215</v>
      </c>
      <c r="H294" s="40">
        <v>1191.8699999999999</v>
      </c>
      <c r="I294" s="39">
        <f>IF(My_Payment[[#This Row],[Payment_Code]]="S",My_Payment[[#This Row],[Total AMT]]/2,IF(My_Payment[[#This Row],[Payment_Code]]="P",My_Payment[[#This Row],[Total AMT]],0))</f>
        <v>1191.8699999999999</v>
      </c>
      <c r="J294" s="39">
        <f>IF(My_Payment[[#This Row],[Payment_Code]]="S",My_Payment[[#This Row],[Total AMT]]/2,IF(My_Payment[[#This Row],[Payment_Code]]="N",My_Payment[[#This Row],[Total AMT]],0))</f>
        <v>0</v>
      </c>
    </row>
    <row r="295" spans="1:10">
      <c r="A295" s="38">
        <v>44732</v>
      </c>
      <c r="B295" s="37" t="s">
        <v>345</v>
      </c>
      <c r="C295" s="37" t="s">
        <v>248</v>
      </c>
      <c r="D295" s="37" t="s">
        <v>346</v>
      </c>
      <c r="E295" s="37" t="s">
        <v>211</v>
      </c>
      <c r="F295" s="38">
        <v>44775</v>
      </c>
      <c r="G295" s="37" t="s">
        <v>215</v>
      </c>
      <c r="H295" s="40">
        <v>1191.8699999999999</v>
      </c>
      <c r="I295" s="39">
        <f>IF(My_Payment[[#This Row],[Payment_Code]]="S",My_Payment[[#This Row],[Total AMT]]/2,IF(My_Payment[[#This Row],[Payment_Code]]="P",My_Payment[[#This Row],[Total AMT]],0))</f>
        <v>1191.8699999999999</v>
      </c>
      <c r="J295" s="39">
        <f>IF(My_Payment[[#This Row],[Payment_Code]]="S",My_Payment[[#This Row],[Total AMT]]/2,IF(My_Payment[[#This Row],[Payment_Code]]="N",My_Payment[[#This Row],[Total AMT]],0))</f>
        <v>0</v>
      </c>
    </row>
    <row r="296" spans="1:10">
      <c r="A296" s="38">
        <v>44762</v>
      </c>
      <c r="B296" s="37" t="s">
        <v>345</v>
      </c>
      <c r="C296" s="37" t="s">
        <v>248</v>
      </c>
      <c r="D296" s="37" t="s">
        <v>346</v>
      </c>
      <c r="E296" s="37" t="s">
        <v>211</v>
      </c>
      <c r="F296" s="38">
        <v>44806</v>
      </c>
      <c r="G296" s="37" t="s">
        <v>215</v>
      </c>
      <c r="H296" s="40">
        <v>1191.8699999999999</v>
      </c>
      <c r="I296" s="39">
        <f>IF(My_Payment[[#This Row],[Payment_Code]]="S",My_Payment[[#This Row],[Total AMT]]/2,IF(My_Payment[[#This Row],[Payment_Code]]="P",My_Payment[[#This Row],[Total AMT]],0))</f>
        <v>1191.8699999999999</v>
      </c>
      <c r="J296" s="39">
        <f>IF(My_Payment[[#This Row],[Payment_Code]]="S",My_Payment[[#This Row],[Total AMT]]/2,IF(My_Payment[[#This Row],[Payment_Code]]="N",My_Payment[[#This Row],[Total AMT]],0))</f>
        <v>0</v>
      </c>
    </row>
    <row r="297" spans="1:10">
      <c r="A297" s="38">
        <v>44793</v>
      </c>
      <c r="B297" s="37" t="s">
        <v>345</v>
      </c>
      <c r="C297" s="37" t="s">
        <v>248</v>
      </c>
      <c r="D297" s="37" t="s">
        <v>346</v>
      </c>
      <c r="E297" s="37" t="s">
        <v>211</v>
      </c>
      <c r="F297" s="38">
        <v>44836</v>
      </c>
      <c r="G297" s="37" t="s">
        <v>215</v>
      </c>
      <c r="H297" s="40">
        <v>1191.8699999999999</v>
      </c>
      <c r="I297" s="39">
        <f>IF(My_Payment[[#This Row],[Payment_Code]]="S",My_Payment[[#This Row],[Total AMT]]/2,IF(My_Payment[[#This Row],[Payment_Code]]="P",My_Payment[[#This Row],[Total AMT]],0))</f>
        <v>1191.8699999999999</v>
      </c>
      <c r="J297" s="39">
        <f>IF(My_Payment[[#This Row],[Payment_Code]]="S",My_Payment[[#This Row],[Total AMT]]/2,IF(My_Payment[[#This Row],[Payment_Code]]="N",My_Payment[[#This Row],[Total AMT]],0))</f>
        <v>0</v>
      </c>
    </row>
    <row r="298" spans="1:10">
      <c r="A298" s="38">
        <v>44824</v>
      </c>
      <c r="B298" s="37" t="s">
        <v>345</v>
      </c>
      <c r="C298" s="37" t="s">
        <v>248</v>
      </c>
      <c r="D298" s="37" t="s">
        <v>346</v>
      </c>
      <c r="E298" s="37" t="s">
        <v>211</v>
      </c>
      <c r="F298" s="38">
        <v>44867</v>
      </c>
      <c r="G298" s="37" t="s">
        <v>215</v>
      </c>
      <c r="H298" s="40">
        <v>1191.8699999999999</v>
      </c>
      <c r="I298" s="39">
        <f>IF(My_Payment[[#This Row],[Payment_Code]]="S",My_Payment[[#This Row],[Total AMT]]/2,IF(My_Payment[[#This Row],[Payment_Code]]="P",My_Payment[[#This Row],[Total AMT]],0))</f>
        <v>1191.8699999999999</v>
      </c>
      <c r="J298" s="39">
        <f>IF(My_Payment[[#This Row],[Payment_Code]]="S",My_Payment[[#This Row],[Total AMT]]/2,IF(My_Payment[[#This Row],[Payment_Code]]="N",My_Payment[[#This Row],[Total AMT]],0))</f>
        <v>0</v>
      </c>
    </row>
    <row r="299" spans="1:10">
      <c r="A299" s="38">
        <v>44839</v>
      </c>
      <c r="B299" s="37" t="s">
        <v>345</v>
      </c>
      <c r="C299" s="37" t="s">
        <v>248</v>
      </c>
      <c r="D299" s="37" t="s">
        <v>347</v>
      </c>
      <c r="E299" s="37" t="s">
        <v>306</v>
      </c>
      <c r="F299" s="38">
        <v>44867</v>
      </c>
      <c r="G299" s="37" t="s">
        <v>215</v>
      </c>
      <c r="H299" s="40">
        <v>2760.7</v>
      </c>
      <c r="I299" s="39">
        <f>IF(My_Payment[[#This Row],[Payment_Code]]="S",My_Payment[[#This Row],[Total AMT]]/2,IF(My_Payment[[#This Row],[Payment_Code]]="P",My_Payment[[#This Row],[Total AMT]],0))</f>
        <v>2760.7</v>
      </c>
      <c r="J299" s="39">
        <f>IF(My_Payment[[#This Row],[Payment_Code]]="S",My_Payment[[#This Row],[Total AMT]]/2,IF(My_Payment[[#This Row],[Payment_Code]]="N",My_Payment[[#This Row],[Total AMT]],0))</f>
        <v>0</v>
      </c>
    </row>
    <row r="300" spans="1:10">
      <c r="A300" s="38">
        <v>44839</v>
      </c>
      <c r="B300" s="37" t="s">
        <v>345</v>
      </c>
      <c r="C300" s="37" t="s">
        <v>248</v>
      </c>
      <c r="D300" s="37" t="s">
        <v>176</v>
      </c>
      <c r="E300" s="37" t="s">
        <v>306</v>
      </c>
      <c r="F300" s="38">
        <v>44867</v>
      </c>
      <c r="G300" s="37" t="s">
        <v>215</v>
      </c>
      <c r="H300" s="40">
        <v>204.3</v>
      </c>
      <c r="I300" s="39">
        <f>IF(My_Payment[[#This Row],[Payment_Code]]="S",My_Payment[[#This Row],[Total AMT]]/2,IF(My_Payment[[#This Row],[Payment_Code]]="P",My_Payment[[#This Row],[Total AMT]],0))</f>
        <v>204.3</v>
      </c>
      <c r="J300" s="39">
        <f>IF(My_Payment[[#This Row],[Payment_Code]]="S",My_Payment[[#This Row],[Total AMT]]/2,IF(My_Payment[[#This Row],[Payment_Code]]="N",My_Payment[[#This Row],[Total AMT]],0))</f>
        <v>0</v>
      </c>
    </row>
    <row r="301" spans="1:10">
      <c r="A301" s="38">
        <v>44854</v>
      </c>
      <c r="B301" s="37" t="s">
        <v>345</v>
      </c>
      <c r="C301" s="37" t="s">
        <v>248</v>
      </c>
      <c r="D301" s="37" t="s">
        <v>346</v>
      </c>
      <c r="E301" s="37" t="s">
        <v>211</v>
      </c>
      <c r="F301" s="38">
        <v>44897</v>
      </c>
      <c r="G301" s="37" t="s">
        <v>215</v>
      </c>
      <c r="H301" s="40">
        <v>1191.8699999999999</v>
      </c>
      <c r="I301" s="39">
        <f>IF(My_Payment[[#This Row],[Payment_Code]]="S",My_Payment[[#This Row],[Total AMT]]/2,IF(My_Payment[[#This Row],[Payment_Code]]="P",My_Payment[[#This Row],[Total AMT]],0))</f>
        <v>1191.8699999999999</v>
      </c>
      <c r="J301" s="39">
        <f>IF(My_Payment[[#This Row],[Payment_Code]]="S",My_Payment[[#This Row],[Total AMT]]/2,IF(My_Payment[[#This Row],[Payment_Code]]="N",My_Payment[[#This Row],[Total AMT]],0))</f>
        <v>0</v>
      </c>
    </row>
    <row r="302" spans="1:10">
      <c r="A302" s="38">
        <v>44870</v>
      </c>
      <c r="B302" s="37" t="s">
        <v>345</v>
      </c>
      <c r="C302" s="37" t="s">
        <v>248</v>
      </c>
      <c r="D302" s="37" t="s">
        <v>347</v>
      </c>
      <c r="E302" s="37" t="s">
        <v>307</v>
      </c>
      <c r="F302" s="38">
        <v>44897</v>
      </c>
      <c r="G302" s="37" t="s">
        <v>215</v>
      </c>
      <c r="H302" s="40">
        <v>2760.7</v>
      </c>
      <c r="I302" s="39">
        <f>IF(My_Payment[[#This Row],[Payment_Code]]="S",My_Payment[[#This Row],[Total AMT]]/2,IF(My_Payment[[#This Row],[Payment_Code]]="P",My_Payment[[#This Row],[Total AMT]],0))</f>
        <v>2760.7</v>
      </c>
      <c r="J302" s="39">
        <f>IF(My_Payment[[#This Row],[Payment_Code]]="S",My_Payment[[#This Row],[Total AMT]]/2,IF(My_Payment[[#This Row],[Payment_Code]]="N",My_Payment[[#This Row],[Total AMT]],0))</f>
        <v>0</v>
      </c>
    </row>
    <row r="303" spans="1:10">
      <c r="A303" s="38">
        <v>44870</v>
      </c>
      <c r="B303" s="37" t="s">
        <v>345</v>
      </c>
      <c r="C303" s="37" t="s">
        <v>248</v>
      </c>
      <c r="D303" s="37" t="s">
        <v>176</v>
      </c>
      <c r="E303" s="37" t="s">
        <v>307</v>
      </c>
      <c r="F303" s="38">
        <v>44897</v>
      </c>
      <c r="G303" s="37" t="s">
        <v>215</v>
      </c>
      <c r="H303" s="40">
        <v>204.29</v>
      </c>
      <c r="I303" s="39">
        <f>IF(My_Payment[[#This Row],[Payment_Code]]="S",My_Payment[[#This Row],[Total AMT]]/2,IF(My_Payment[[#This Row],[Payment_Code]]="P",My_Payment[[#This Row],[Total AMT]],0))</f>
        <v>204.29</v>
      </c>
      <c r="J303" s="39">
        <f>IF(My_Payment[[#This Row],[Payment_Code]]="S",My_Payment[[#This Row],[Total AMT]]/2,IF(My_Payment[[#This Row],[Payment_Code]]="N",My_Payment[[#This Row],[Total AMT]],0))</f>
        <v>0</v>
      </c>
    </row>
    <row r="304" spans="1:10">
      <c r="A304" s="38">
        <v>44885</v>
      </c>
      <c r="B304" s="37" t="s">
        <v>345</v>
      </c>
      <c r="C304" s="37" t="s">
        <v>248</v>
      </c>
      <c r="D304" s="37" t="s">
        <v>346</v>
      </c>
      <c r="E304" s="37" t="s">
        <v>211</v>
      </c>
      <c r="F304" s="38">
        <v>44928</v>
      </c>
      <c r="G304" s="37" t="s">
        <v>215</v>
      </c>
      <c r="H304" s="40">
        <v>1191.8699999999999</v>
      </c>
      <c r="I304" s="39">
        <f>IF(My_Payment[[#This Row],[Payment_Code]]="S",My_Payment[[#This Row],[Total AMT]]/2,IF(My_Payment[[#This Row],[Payment_Code]]="P",My_Payment[[#This Row],[Total AMT]],0))</f>
        <v>1191.8699999999999</v>
      </c>
      <c r="J304" s="39">
        <f>IF(My_Payment[[#This Row],[Payment_Code]]="S",My_Payment[[#This Row],[Total AMT]]/2,IF(My_Payment[[#This Row],[Payment_Code]]="N",My_Payment[[#This Row],[Total AMT]],0))</f>
        <v>0</v>
      </c>
    </row>
    <row r="305" spans="1:10">
      <c r="A305" s="38">
        <v>44900</v>
      </c>
      <c r="B305" s="37" t="s">
        <v>345</v>
      </c>
      <c r="C305" s="37" t="s">
        <v>248</v>
      </c>
      <c r="D305" s="37" t="s">
        <v>347</v>
      </c>
      <c r="E305" s="37" t="s">
        <v>308</v>
      </c>
      <c r="F305" s="38">
        <v>44928</v>
      </c>
      <c r="G305" s="37" t="s">
        <v>215</v>
      </c>
      <c r="H305" s="40">
        <v>2760.7</v>
      </c>
      <c r="I305" s="39">
        <f>IF(My_Payment[[#This Row],[Payment_Code]]="S",My_Payment[[#This Row],[Total AMT]]/2,IF(My_Payment[[#This Row],[Payment_Code]]="P",My_Payment[[#This Row],[Total AMT]],0))</f>
        <v>2760.7</v>
      </c>
      <c r="J305" s="39">
        <f>IF(My_Payment[[#This Row],[Payment_Code]]="S",My_Payment[[#This Row],[Total AMT]]/2,IF(My_Payment[[#This Row],[Payment_Code]]="N",My_Payment[[#This Row],[Total AMT]],0))</f>
        <v>0</v>
      </c>
    </row>
    <row r="306" spans="1:10">
      <c r="A306" s="38">
        <v>44900</v>
      </c>
      <c r="B306" s="37" t="s">
        <v>345</v>
      </c>
      <c r="C306" s="37" t="s">
        <v>248</v>
      </c>
      <c r="D306" s="37" t="s">
        <v>176</v>
      </c>
      <c r="E306" s="37" t="s">
        <v>308</v>
      </c>
      <c r="F306" s="38">
        <v>44928</v>
      </c>
      <c r="G306" s="37" t="s">
        <v>215</v>
      </c>
      <c r="H306" s="40">
        <v>204.29</v>
      </c>
      <c r="I306" s="39">
        <f>IF(My_Payment[[#This Row],[Payment_Code]]="S",My_Payment[[#This Row],[Total AMT]]/2,IF(My_Payment[[#This Row],[Payment_Code]]="P",My_Payment[[#This Row],[Total AMT]],0))</f>
        <v>204.29</v>
      </c>
      <c r="J306" s="39">
        <f>IF(My_Payment[[#This Row],[Payment_Code]]="S",My_Payment[[#This Row],[Total AMT]]/2,IF(My_Payment[[#This Row],[Payment_Code]]="N",My_Payment[[#This Row],[Total AMT]],0))</f>
        <v>0</v>
      </c>
    </row>
    <row r="307" spans="1:10">
      <c r="A307" s="38">
        <v>44915</v>
      </c>
      <c r="B307" s="37" t="s">
        <v>345</v>
      </c>
      <c r="C307" s="37" t="s">
        <v>248</v>
      </c>
      <c r="D307" s="37" t="s">
        <v>346</v>
      </c>
      <c r="E307" s="37" t="s">
        <v>211</v>
      </c>
      <c r="F307" s="38">
        <v>44959</v>
      </c>
      <c r="G307" s="37" t="s">
        <v>215</v>
      </c>
      <c r="H307" s="40">
        <v>1191.8699999999999</v>
      </c>
      <c r="I307" s="39">
        <f>IF(My_Payment[[#This Row],[Payment_Code]]="S",My_Payment[[#This Row],[Total AMT]]/2,IF(My_Payment[[#This Row],[Payment_Code]]="P",My_Payment[[#This Row],[Total AMT]],0))</f>
        <v>1191.8699999999999</v>
      </c>
      <c r="J307" s="39">
        <f>IF(My_Payment[[#This Row],[Payment_Code]]="S",My_Payment[[#This Row],[Total AMT]]/2,IF(My_Payment[[#This Row],[Payment_Code]]="N",My_Payment[[#This Row],[Total AMT]],0))</f>
        <v>0</v>
      </c>
    </row>
    <row r="308" spans="1:10">
      <c r="A308" s="38">
        <v>44931</v>
      </c>
      <c r="B308" s="37" t="s">
        <v>345</v>
      </c>
      <c r="C308" s="37" t="s">
        <v>248</v>
      </c>
      <c r="D308" s="37" t="s">
        <v>347</v>
      </c>
      <c r="E308" s="37" t="s">
        <v>309</v>
      </c>
      <c r="F308" s="38">
        <v>44959</v>
      </c>
      <c r="G308" s="37" t="s">
        <v>215</v>
      </c>
      <c r="H308" s="40">
        <v>2760.7</v>
      </c>
      <c r="I308" s="39">
        <f>IF(My_Payment[[#This Row],[Payment_Code]]="S",My_Payment[[#This Row],[Total AMT]]/2,IF(My_Payment[[#This Row],[Payment_Code]]="P",My_Payment[[#This Row],[Total AMT]],0))</f>
        <v>2760.7</v>
      </c>
      <c r="J308" s="39">
        <f>IF(My_Payment[[#This Row],[Payment_Code]]="S",My_Payment[[#This Row],[Total AMT]]/2,IF(My_Payment[[#This Row],[Payment_Code]]="N",My_Payment[[#This Row],[Total AMT]],0))</f>
        <v>0</v>
      </c>
    </row>
    <row r="309" spans="1:10">
      <c r="A309" s="38">
        <v>44931</v>
      </c>
      <c r="B309" s="37" t="s">
        <v>345</v>
      </c>
      <c r="C309" s="37" t="s">
        <v>248</v>
      </c>
      <c r="D309" s="37" t="s">
        <v>176</v>
      </c>
      <c r="E309" s="37" t="s">
        <v>309</v>
      </c>
      <c r="F309" s="38">
        <v>44959</v>
      </c>
      <c r="G309" s="37" t="s">
        <v>215</v>
      </c>
      <c r="H309" s="40">
        <v>204.29</v>
      </c>
      <c r="I309" s="39">
        <f>IF(My_Payment[[#This Row],[Payment_Code]]="S",My_Payment[[#This Row],[Total AMT]]/2,IF(My_Payment[[#This Row],[Payment_Code]]="P",My_Payment[[#This Row],[Total AMT]],0))</f>
        <v>204.29</v>
      </c>
      <c r="J309" s="39">
        <f>IF(My_Payment[[#This Row],[Payment_Code]]="S",My_Payment[[#This Row],[Total AMT]]/2,IF(My_Payment[[#This Row],[Payment_Code]]="N",My_Payment[[#This Row],[Total AMT]],0))</f>
        <v>0</v>
      </c>
    </row>
    <row r="310" spans="1:10">
      <c r="A310" s="38">
        <v>44946</v>
      </c>
      <c r="B310" s="37" t="s">
        <v>345</v>
      </c>
      <c r="C310" s="37" t="s">
        <v>248</v>
      </c>
      <c r="D310" s="37" t="s">
        <v>346</v>
      </c>
      <c r="E310" s="37" t="s">
        <v>211</v>
      </c>
      <c r="F310" s="38">
        <v>44987</v>
      </c>
      <c r="G310" s="37" t="s">
        <v>215</v>
      </c>
      <c r="H310" s="40">
        <v>1191.8699999999999</v>
      </c>
      <c r="I310" s="39">
        <f>IF(My_Payment[[#This Row],[Payment_Code]]="S",My_Payment[[#This Row],[Total AMT]]/2,IF(My_Payment[[#This Row],[Payment_Code]]="P",My_Payment[[#This Row],[Total AMT]],0))</f>
        <v>1191.8699999999999</v>
      </c>
      <c r="J310" s="39">
        <f>IF(My_Payment[[#This Row],[Payment_Code]]="S",My_Payment[[#This Row],[Total AMT]]/2,IF(My_Payment[[#This Row],[Payment_Code]]="N",My_Payment[[#This Row],[Total AMT]],0))</f>
        <v>0</v>
      </c>
    </row>
    <row r="311" spans="1:10">
      <c r="A311" s="38">
        <v>44962</v>
      </c>
      <c r="B311" s="37" t="s">
        <v>345</v>
      </c>
      <c r="C311" s="37" t="s">
        <v>248</v>
      </c>
      <c r="D311" s="37" t="s">
        <v>347</v>
      </c>
      <c r="E311" s="37" t="s">
        <v>310</v>
      </c>
      <c r="F311" s="38">
        <v>44987</v>
      </c>
      <c r="G311" s="37" t="s">
        <v>215</v>
      </c>
      <c r="H311" s="40">
        <v>2760.7</v>
      </c>
      <c r="I311" s="39">
        <f>IF(My_Payment[[#This Row],[Payment_Code]]="S",My_Payment[[#This Row],[Total AMT]]/2,IF(My_Payment[[#This Row],[Payment_Code]]="P",My_Payment[[#This Row],[Total AMT]],0))</f>
        <v>2760.7</v>
      </c>
      <c r="J311" s="39">
        <f>IF(My_Payment[[#This Row],[Payment_Code]]="S",My_Payment[[#This Row],[Total AMT]]/2,IF(My_Payment[[#This Row],[Payment_Code]]="N",My_Payment[[#This Row],[Total AMT]],0))</f>
        <v>0</v>
      </c>
    </row>
    <row r="312" spans="1:10">
      <c r="A312" s="38">
        <v>44962</v>
      </c>
      <c r="B312" s="37" t="s">
        <v>345</v>
      </c>
      <c r="C312" s="37" t="s">
        <v>248</v>
      </c>
      <c r="D312" s="37" t="s">
        <v>176</v>
      </c>
      <c r="E312" s="37" t="s">
        <v>310</v>
      </c>
      <c r="F312" s="38">
        <v>44987</v>
      </c>
      <c r="G312" s="37" t="s">
        <v>215</v>
      </c>
      <c r="H312" s="40">
        <v>204.29</v>
      </c>
      <c r="I312" s="39">
        <f>IF(My_Payment[[#This Row],[Payment_Code]]="S",My_Payment[[#This Row],[Total AMT]]/2,IF(My_Payment[[#This Row],[Payment_Code]]="P",My_Payment[[#This Row],[Total AMT]],0))</f>
        <v>204.29</v>
      </c>
      <c r="J312" s="39">
        <f>IF(My_Payment[[#This Row],[Payment_Code]]="S",My_Payment[[#This Row],[Total AMT]]/2,IF(My_Payment[[#This Row],[Payment_Code]]="N",My_Payment[[#This Row],[Total AMT]],0))</f>
        <v>0</v>
      </c>
    </row>
    <row r="313" spans="1:10">
      <c r="A313" s="38">
        <v>44977</v>
      </c>
      <c r="B313" s="37" t="s">
        <v>345</v>
      </c>
      <c r="C313" s="37" t="s">
        <v>248</v>
      </c>
      <c r="D313" s="37" t="s">
        <v>346</v>
      </c>
      <c r="E313" s="37" t="s">
        <v>211</v>
      </c>
      <c r="F313" s="38">
        <v>45018</v>
      </c>
      <c r="G313" s="37" t="s">
        <v>215</v>
      </c>
      <c r="H313" s="40">
        <v>1191.8699999999999</v>
      </c>
      <c r="I313" s="39">
        <f>IF(My_Payment[[#This Row],[Payment_Code]]="S",My_Payment[[#This Row],[Total AMT]]/2,IF(My_Payment[[#This Row],[Payment_Code]]="P",My_Payment[[#This Row],[Total AMT]],0))</f>
        <v>1191.8699999999999</v>
      </c>
      <c r="J313" s="39">
        <f>IF(My_Payment[[#This Row],[Payment_Code]]="S",My_Payment[[#This Row],[Total AMT]]/2,IF(My_Payment[[#This Row],[Payment_Code]]="N",My_Payment[[#This Row],[Total AMT]],0))</f>
        <v>0</v>
      </c>
    </row>
    <row r="314" spans="1:10">
      <c r="A314" s="38">
        <v>44990</v>
      </c>
      <c r="B314" s="37" t="s">
        <v>345</v>
      </c>
      <c r="C314" s="37" t="s">
        <v>248</v>
      </c>
      <c r="D314" s="37" t="s">
        <v>347</v>
      </c>
      <c r="E314" s="37" t="s">
        <v>311</v>
      </c>
      <c r="F314" s="38">
        <v>45018</v>
      </c>
      <c r="G314" s="37" t="s">
        <v>215</v>
      </c>
      <c r="H314" s="40">
        <v>2760.7</v>
      </c>
      <c r="I314" s="39">
        <f>IF(My_Payment[[#This Row],[Payment_Code]]="S",My_Payment[[#This Row],[Total AMT]]/2,IF(My_Payment[[#This Row],[Payment_Code]]="P",My_Payment[[#This Row],[Total AMT]],0))</f>
        <v>2760.7</v>
      </c>
      <c r="J314" s="39">
        <f>IF(My_Payment[[#This Row],[Payment_Code]]="S",My_Payment[[#This Row],[Total AMT]]/2,IF(My_Payment[[#This Row],[Payment_Code]]="N",My_Payment[[#This Row],[Total AMT]],0))</f>
        <v>0</v>
      </c>
    </row>
    <row r="315" spans="1:10">
      <c r="A315" s="38">
        <v>44990</v>
      </c>
      <c r="B315" s="37" t="s">
        <v>345</v>
      </c>
      <c r="C315" s="37" t="s">
        <v>248</v>
      </c>
      <c r="D315" s="37" t="s">
        <v>176</v>
      </c>
      <c r="E315" s="37" t="s">
        <v>311</v>
      </c>
      <c r="F315" s="38">
        <v>45018</v>
      </c>
      <c r="G315" s="37" t="s">
        <v>215</v>
      </c>
      <c r="H315" s="40">
        <v>204.29</v>
      </c>
      <c r="I315" s="39">
        <f>IF(My_Payment[[#This Row],[Payment_Code]]="S",My_Payment[[#This Row],[Total AMT]]/2,IF(My_Payment[[#This Row],[Payment_Code]]="P",My_Payment[[#This Row],[Total AMT]],0))</f>
        <v>204.29</v>
      </c>
      <c r="J315" s="39">
        <f>IF(My_Payment[[#This Row],[Payment_Code]]="S",My_Payment[[#This Row],[Total AMT]]/2,IF(My_Payment[[#This Row],[Payment_Code]]="N",My_Payment[[#This Row],[Total AMT]],0))</f>
        <v>0</v>
      </c>
    </row>
    <row r="316" spans="1:10">
      <c r="A316" s="38">
        <v>45005</v>
      </c>
      <c r="B316" s="37" t="s">
        <v>345</v>
      </c>
      <c r="C316" s="37" t="s">
        <v>248</v>
      </c>
      <c r="D316" s="37" t="s">
        <v>346</v>
      </c>
      <c r="E316" s="37" t="s">
        <v>211</v>
      </c>
      <c r="F316" s="38">
        <v>45048</v>
      </c>
      <c r="G316" s="37" t="s">
        <v>215</v>
      </c>
      <c r="H316" s="40">
        <v>1191.8699999999999</v>
      </c>
      <c r="I316" s="39">
        <f>IF(My_Payment[[#This Row],[Payment_Code]]="S",My_Payment[[#This Row],[Total AMT]]/2,IF(My_Payment[[#This Row],[Payment_Code]]="P",My_Payment[[#This Row],[Total AMT]],0))</f>
        <v>1191.8699999999999</v>
      </c>
      <c r="J316" s="39">
        <f>IF(My_Payment[[#This Row],[Payment_Code]]="S",My_Payment[[#This Row],[Total AMT]]/2,IF(My_Payment[[#This Row],[Payment_Code]]="N",My_Payment[[#This Row],[Total AMT]],0))</f>
        <v>0</v>
      </c>
    </row>
    <row r="317" spans="1:10">
      <c r="A317" s="38">
        <v>45021</v>
      </c>
      <c r="B317" s="37" t="s">
        <v>345</v>
      </c>
      <c r="C317" s="37" t="s">
        <v>248</v>
      </c>
      <c r="D317" s="37" t="s">
        <v>347</v>
      </c>
      <c r="E317" s="37" t="s">
        <v>312</v>
      </c>
      <c r="F317" s="38">
        <v>45048</v>
      </c>
      <c r="G317" s="37" t="s">
        <v>215</v>
      </c>
      <c r="H317" s="40">
        <v>2760.7</v>
      </c>
      <c r="I317" s="39">
        <f>IF(My_Payment[[#This Row],[Payment_Code]]="S",My_Payment[[#This Row],[Total AMT]]/2,IF(My_Payment[[#This Row],[Payment_Code]]="P",My_Payment[[#This Row],[Total AMT]],0))</f>
        <v>2760.7</v>
      </c>
      <c r="J317" s="39">
        <f>IF(My_Payment[[#This Row],[Payment_Code]]="S",My_Payment[[#This Row],[Total AMT]]/2,IF(My_Payment[[#This Row],[Payment_Code]]="N",My_Payment[[#This Row],[Total AMT]],0))</f>
        <v>0</v>
      </c>
    </row>
    <row r="318" spans="1:10">
      <c r="A318" s="38">
        <v>45021</v>
      </c>
      <c r="B318" s="37" t="s">
        <v>345</v>
      </c>
      <c r="C318" s="37" t="s">
        <v>248</v>
      </c>
      <c r="D318" s="37" t="s">
        <v>176</v>
      </c>
      <c r="E318" s="37" t="s">
        <v>312</v>
      </c>
      <c r="F318" s="38">
        <v>45048</v>
      </c>
      <c r="G318" s="37" t="s">
        <v>215</v>
      </c>
      <c r="H318" s="40">
        <v>204.29</v>
      </c>
      <c r="I318" s="39">
        <f>IF(My_Payment[[#This Row],[Payment_Code]]="S",My_Payment[[#This Row],[Total AMT]]/2,IF(My_Payment[[#This Row],[Payment_Code]]="P",My_Payment[[#This Row],[Total AMT]],0))</f>
        <v>204.29</v>
      </c>
      <c r="J318" s="39">
        <f>IF(My_Payment[[#This Row],[Payment_Code]]="S",My_Payment[[#This Row],[Total AMT]]/2,IF(My_Payment[[#This Row],[Payment_Code]]="N",My_Payment[[#This Row],[Total AMT]],0))</f>
        <v>0</v>
      </c>
    </row>
    <row r="319" spans="1:10">
      <c r="A319" s="38">
        <v>45036</v>
      </c>
      <c r="B319" s="37" t="s">
        <v>345</v>
      </c>
      <c r="C319" s="37" t="s">
        <v>248</v>
      </c>
      <c r="D319" s="37" t="s">
        <v>346</v>
      </c>
      <c r="E319" s="37" t="s">
        <v>211</v>
      </c>
      <c r="F319" s="38">
        <v>45079</v>
      </c>
      <c r="G319" s="37" t="s">
        <v>215</v>
      </c>
      <c r="H319" s="40">
        <v>1191.8699999999999</v>
      </c>
      <c r="I319" s="39">
        <f>IF(My_Payment[[#This Row],[Payment_Code]]="S",My_Payment[[#This Row],[Total AMT]]/2,IF(My_Payment[[#This Row],[Payment_Code]]="P",My_Payment[[#This Row],[Total AMT]],0))</f>
        <v>1191.8699999999999</v>
      </c>
      <c r="J319" s="39">
        <f>IF(My_Payment[[#This Row],[Payment_Code]]="S",My_Payment[[#This Row],[Total AMT]]/2,IF(My_Payment[[#This Row],[Payment_Code]]="N",My_Payment[[#This Row],[Total AMT]],0))</f>
        <v>0</v>
      </c>
    </row>
    <row r="320" spans="1:10">
      <c r="A320" s="38">
        <v>45051</v>
      </c>
      <c r="B320" s="37" t="s">
        <v>345</v>
      </c>
      <c r="C320" s="37" t="s">
        <v>248</v>
      </c>
      <c r="D320" s="37" t="s">
        <v>347</v>
      </c>
      <c r="E320" s="37" t="s">
        <v>313</v>
      </c>
      <c r="F320" s="38">
        <v>45079</v>
      </c>
      <c r="G320" s="37" t="s">
        <v>215</v>
      </c>
      <c r="H320" s="40">
        <v>2760.7</v>
      </c>
      <c r="I320" s="39">
        <f>IF(My_Payment[[#This Row],[Payment_Code]]="S",My_Payment[[#This Row],[Total AMT]]/2,IF(My_Payment[[#This Row],[Payment_Code]]="P",My_Payment[[#This Row],[Total AMT]],0))</f>
        <v>2760.7</v>
      </c>
      <c r="J320" s="39">
        <f>IF(My_Payment[[#This Row],[Payment_Code]]="S",My_Payment[[#This Row],[Total AMT]]/2,IF(My_Payment[[#This Row],[Payment_Code]]="N",My_Payment[[#This Row],[Total AMT]],0))</f>
        <v>0</v>
      </c>
    </row>
    <row r="321" spans="1:10">
      <c r="A321" s="38">
        <v>45051</v>
      </c>
      <c r="B321" s="37" t="s">
        <v>345</v>
      </c>
      <c r="C321" s="37" t="s">
        <v>248</v>
      </c>
      <c r="D321" s="37" t="s">
        <v>176</v>
      </c>
      <c r="E321" s="37" t="s">
        <v>313</v>
      </c>
      <c r="F321" s="38">
        <v>45079</v>
      </c>
      <c r="G321" s="37" t="s">
        <v>215</v>
      </c>
      <c r="H321" s="40">
        <v>204.29</v>
      </c>
      <c r="I321" s="39">
        <f>IF(My_Payment[[#This Row],[Payment_Code]]="S",My_Payment[[#This Row],[Total AMT]]/2,IF(My_Payment[[#This Row],[Payment_Code]]="P",My_Payment[[#This Row],[Total AMT]],0))</f>
        <v>204.29</v>
      </c>
      <c r="J321" s="39">
        <f>IF(My_Payment[[#This Row],[Payment_Code]]="S",My_Payment[[#This Row],[Total AMT]]/2,IF(My_Payment[[#This Row],[Payment_Code]]="N",My_Payment[[#This Row],[Total AMT]],0))</f>
        <v>0</v>
      </c>
    </row>
    <row r="322" spans="1:10">
      <c r="A322" s="38">
        <v>45066</v>
      </c>
      <c r="B322" s="37" t="s">
        <v>345</v>
      </c>
      <c r="C322" s="37" t="s">
        <v>248</v>
      </c>
      <c r="D322" s="37" t="s">
        <v>346</v>
      </c>
      <c r="E322" s="37" t="s">
        <v>211</v>
      </c>
      <c r="F322" s="38">
        <v>45109</v>
      </c>
      <c r="G322" s="37" t="s">
        <v>215</v>
      </c>
      <c r="H322" s="40">
        <v>1191.8699999999999</v>
      </c>
      <c r="I322" s="39">
        <f>IF(My_Payment[[#This Row],[Payment_Code]]="S",My_Payment[[#This Row],[Total AMT]]/2,IF(My_Payment[[#This Row],[Payment_Code]]="P",My_Payment[[#This Row],[Total AMT]],0))</f>
        <v>1191.8699999999999</v>
      </c>
      <c r="J322" s="39">
        <f>IF(My_Payment[[#This Row],[Payment_Code]]="S",My_Payment[[#This Row],[Total AMT]]/2,IF(My_Payment[[#This Row],[Payment_Code]]="N",My_Payment[[#This Row],[Total AMT]],0))</f>
        <v>0</v>
      </c>
    </row>
    <row r="323" spans="1:10">
      <c r="A323" s="38">
        <v>45082</v>
      </c>
      <c r="B323" s="37" t="s">
        <v>345</v>
      </c>
      <c r="C323" s="37" t="s">
        <v>248</v>
      </c>
      <c r="D323" s="37" t="s">
        <v>347</v>
      </c>
      <c r="E323" s="37" t="s">
        <v>314</v>
      </c>
      <c r="F323" s="38">
        <v>45109</v>
      </c>
      <c r="G323" s="37" t="s">
        <v>215</v>
      </c>
      <c r="H323" s="40">
        <v>2760.7</v>
      </c>
      <c r="I323" s="39">
        <f>IF(My_Payment[[#This Row],[Payment_Code]]="S",My_Payment[[#This Row],[Total AMT]]/2,IF(My_Payment[[#This Row],[Payment_Code]]="P",My_Payment[[#This Row],[Total AMT]],0))</f>
        <v>2760.7</v>
      </c>
      <c r="J323" s="39">
        <f>IF(My_Payment[[#This Row],[Payment_Code]]="S",My_Payment[[#This Row],[Total AMT]]/2,IF(My_Payment[[#This Row],[Payment_Code]]="N",My_Payment[[#This Row],[Total AMT]],0))</f>
        <v>0</v>
      </c>
    </row>
    <row r="324" spans="1:10">
      <c r="A324" s="38">
        <v>45082</v>
      </c>
      <c r="B324" s="37" t="s">
        <v>345</v>
      </c>
      <c r="C324" s="37" t="s">
        <v>248</v>
      </c>
      <c r="D324" s="37" t="s">
        <v>176</v>
      </c>
      <c r="E324" s="37" t="s">
        <v>314</v>
      </c>
      <c r="F324" s="38">
        <v>45109</v>
      </c>
      <c r="G324" s="37" t="s">
        <v>215</v>
      </c>
      <c r="H324" s="40">
        <v>204.29</v>
      </c>
      <c r="I324" s="39">
        <f>IF(My_Payment[[#This Row],[Payment_Code]]="S",My_Payment[[#This Row],[Total AMT]]/2,IF(My_Payment[[#This Row],[Payment_Code]]="P",My_Payment[[#This Row],[Total AMT]],0))</f>
        <v>204.29</v>
      </c>
      <c r="J324" s="39">
        <f>IF(My_Payment[[#This Row],[Payment_Code]]="S",My_Payment[[#This Row],[Total AMT]]/2,IF(My_Payment[[#This Row],[Payment_Code]]="N",My_Payment[[#This Row],[Total AMT]],0))</f>
        <v>0</v>
      </c>
    </row>
    <row r="325" spans="1:10">
      <c r="A325" s="38">
        <v>45097</v>
      </c>
      <c r="B325" s="37" t="s">
        <v>345</v>
      </c>
      <c r="C325" s="37" t="s">
        <v>248</v>
      </c>
      <c r="D325" s="37" t="s">
        <v>346</v>
      </c>
      <c r="E325" s="37" t="s">
        <v>211</v>
      </c>
      <c r="F325" s="38">
        <v>45140</v>
      </c>
      <c r="G325" s="37" t="s">
        <v>215</v>
      </c>
      <c r="H325" s="40">
        <v>1191.8699999999999</v>
      </c>
      <c r="I325" s="39">
        <f>IF(My_Payment[[#This Row],[Payment_Code]]="S",My_Payment[[#This Row],[Total AMT]]/2,IF(My_Payment[[#This Row],[Payment_Code]]="P",My_Payment[[#This Row],[Total AMT]],0))</f>
        <v>1191.8699999999999</v>
      </c>
      <c r="J325" s="39">
        <f>IF(My_Payment[[#This Row],[Payment_Code]]="S",My_Payment[[#This Row],[Total AMT]]/2,IF(My_Payment[[#This Row],[Payment_Code]]="N",My_Payment[[#This Row],[Total AMT]],0))</f>
        <v>0</v>
      </c>
    </row>
    <row r="326" spans="1:10">
      <c r="A326" s="38">
        <v>45112</v>
      </c>
      <c r="B326" s="37" t="s">
        <v>345</v>
      </c>
      <c r="C326" s="37" t="s">
        <v>248</v>
      </c>
      <c r="D326" s="37" t="s">
        <v>347</v>
      </c>
      <c r="E326" s="37" t="s">
        <v>112</v>
      </c>
      <c r="F326" s="38">
        <v>45140</v>
      </c>
      <c r="G326" s="37" t="s">
        <v>215</v>
      </c>
      <c r="H326" s="40">
        <v>2760.7</v>
      </c>
      <c r="I326" s="39">
        <f>IF(My_Payment[[#This Row],[Payment_Code]]="S",My_Payment[[#This Row],[Total AMT]]/2,IF(My_Payment[[#This Row],[Payment_Code]]="P",My_Payment[[#This Row],[Total AMT]],0))</f>
        <v>2760.7</v>
      </c>
      <c r="J326" s="39">
        <f>IF(My_Payment[[#This Row],[Payment_Code]]="S",My_Payment[[#This Row],[Total AMT]]/2,IF(My_Payment[[#This Row],[Payment_Code]]="N",My_Payment[[#This Row],[Total AMT]],0))</f>
        <v>0</v>
      </c>
    </row>
    <row r="327" spans="1:10">
      <c r="A327" s="38">
        <v>45112</v>
      </c>
      <c r="B327" s="37" t="s">
        <v>345</v>
      </c>
      <c r="C327" s="37" t="s">
        <v>248</v>
      </c>
      <c r="D327" s="37" t="s">
        <v>176</v>
      </c>
      <c r="E327" s="37" t="s">
        <v>112</v>
      </c>
      <c r="F327" s="38">
        <v>45140</v>
      </c>
      <c r="G327" s="37" t="s">
        <v>215</v>
      </c>
      <c r="H327" s="40">
        <v>204.29</v>
      </c>
      <c r="I327" s="39">
        <f>IF(My_Payment[[#This Row],[Payment_Code]]="S",My_Payment[[#This Row],[Total AMT]]/2,IF(My_Payment[[#This Row],[Payment_Code]]="P",My_Payment[[#This Row],[Total AMT]],0))</f>
        <v>204.29</v>
      </c>
      <c r="J327" s="39">
        <f>IF(My_Payment[[#This Row],[Payment_Code]]="S",My_Payment[[#This Row],[Total AMT]]/2,IF(My_Payment[[#This Row],[Payment_Code]]="N",My_Payment[[#This Row],[Total AMT]],0))</f>
        <v>0</v>
      </c>
    </row>
    <row r="328" spans="1:10">
      <c r="A328" s="38">
        <v>45127</v>
      </c>
      <c r="B328" s="37" t="s">
        <v>345</v>
      </c>
      <c r="C328" s="37" t="s">
        <v>248</v>
      </c>
      <c r="D328" s="37" t="s">
        <v>346</v>
      </c>
      <c r="E328" s="37" t="s">
        <v>211</v>
      </c>
      <c r="F328" s="38">
        <v>45171</v>
      </c>
      <c r="G328" s="37" t="s">
        <v>215</v>
      </c>
      <c r="H328" s="40">
        <v>1191.8699999999999</v>
      </c>
      <c r="I328" s="39">
        <f>IF(My_Payment[[#This Row],[Payment_Code]]="S",My_Payment[[#This Row],[Total AMT]]/2,IF(My_Payment[[#This Row],[Payment_Code]]="P",My_Payment[[#This Row],[Total AMT]],0))</f>
        <v>1191.8699999999999</v>
      </c>
      <c r="J328" s="39">
        <f>IF(My_Payment[[#This Row],[Payment_Code]]="S",My_Payment[[#This Row],[Total AMT]]/2,IF(My_Payment[[#This Row],[Payment_Code]]="N",My_Payment[[#This Row],[Total AMT]],0))</f>
        <v>0</v>
      </c>
    </row>
    <row r="329" spans="1:10">
      <c r="A329" s="38">
        <v>45158</v>
      </c>
      <c r="B329" s="37" t="s">
        <v>345</v>
      </c>
      <c r="C329" s="37" t="s">
        <v>248</v>
      </c>
      <c r="D329" s="37" t="s">
        <v>346</v>
      </c>
      <c r="E329" s="37" t="s">
        <v>211</v>
      </c>
      <c r="F329" s="38">
        <v>45201</v>
      </c>
      <c r="G329" s="37" t="s">
        <v>215</v>
      </c>
      <c r="H329" s="40">
        <v>1191.8699999999999</v>
      </c>
      <c r="I329" s="39">
        <f>IF(My_Payment[[#This Row],[Payment_Code]]="S",My_Payment[[#This Row],[Total AMT]]/2,IF(My_Payment[[#This Row],[Payment_Code]]="P",My_Payment[[#This Row],[Total AMT]],0))</f>
        <v>1191.8699999999999</v>
      </c>
      <c r="J329" s="39">
        <f>IF(My_Payment[[#This Row],[Payment_Code]]="S",My_Payment[[#This Row],[Total AMT]]/2,IF(My_Payment[[#This Row],[Payment_Code]]="N",My_Payment[[#This Row],[Total AMT]],0))</f>
        <v>0</v>
      </c>
    </row>
    <row r="330" spans="1:10">
      <c r="A330" s="38">
        <v>45189</v>
      </c>
      <c r="B330" s="37" t="s">
        <v>345</v>
      </c>
      <c r="C330" s="37" t="s">
        <v>248</v>
      </c>
      <c r="D330" s="37" t="s">
        <v>346</v>
      </c>
      <c r="E330" s="37" t="s">
        <v>211</v>
      </c>
      <c r="F330" s="38">
        <v>45232</v>
      </c>
      <c r="G330" s="37" t="s">
        <v>215</v>
      </c>
      <c r="H330" s="40">
        <v>1191.8699999999999</v>
      </c>
      <c r="I330" s="39">
        <f>IF(My_Payment[[#This Row],[Payment_Code]]="S",My_Payment[[#This Row],[Total AMT]]/2,IF(My_Payment[[#This Row],[Payment_Code]]="P",My_Payment[[#This Row],[Total AMT]],0))</f>
        <v>1191.8699999999999</v>
      </c>
      <c r="J330" s="39">
        <f>IF(My_Payment[[#This Row],[Payment_Code]]="S",My_Payment[[#This Row],[Total AMT]]/2,IF(My_Payment[[#This Row],[Payment_Code]]="N",My_Payment[[#This Row],[Total AMT]],0))</f>
        <v>0</v>
      </c>
    </row>
    <row r="331" spans="1:10">
      <c r="A331" s="38">
        <v>45219</v>
      </c>
      <c r="B331" s="37" t="s">
        <v>345</v>
      </c>
      <c r="C331" s="37" t="s">
        <v>248</v>
      </c>
      <c r="D331" s="37" t="s">
        <v>346</v>
      </c>
      <c r="E331" s="37" t="s">
        <v>211</v>
      </c>
      <c r="F331" s="38">
        <v>45262</v>
      </c>
      <c r="G331" s="37" t="s">
        <v>215</v>
      </c>
      <c r="H331" s="40">
        <v>1191.8699999999999</v>
      </c>
      <c r="I331" s="39">
        <f>IF(My_Payment[[#This Row],[Payment_Code]]="S",My_Payment[[#This Row],[Total AMT]]/2,IF(My_Payment[[#This Row],[Payment_Code]]="P",My_Payment[[#This Row],[Total AMT]],0))</f>
        <v>1191.8699999999999</v>
      </c>
      <c r="J331" s="39">
        <f>IF(My_Payment[[#This Row],[Payment_Code]]="S",My_Payment[[#This Row],[Total AMT]]/2,IF(My_Payment[[#This Row],[Payment_Code]]="N",My_Payment[[#This Row],[Total AMT]],0))</f>
        <v>0</v>
      </c>
    </row>
    <row r="332" spans="1:10">
      <c r="A332" s="38">
        <v>45250</v>
      </c>
      <c r="B332" s="37" t="s">
        <v>345</v>
      </c>
      <c r="C332" s="37" t="s">
        <v>248</v>
      </c>
      <c r="D332" s="37" t="s">
        <v>346</v>
      </c>
      <c r="E332" s="37" t="s">
        <v>211</v>
      </c>
      <c r="F332" s="38">
        <v>45293</v>
      </c>
      <c r="G332" s="37" t="s">
        <v>215</v>
      </c>
      <c r="H332" s="40">
        <v>1191.8699999999999</v>
      </c>
      <c r="I332" s="39">
        <f>IF(My_Payment[[#This Row],[Payment_Code]]="S",My_Payment[[#This Row],[Total AMT]]/2,IF(My_Payment[[#This Row],[Payment_Code]]="P",My_Payment[[#This Row],[Total AMT]],0))</f>
        <v>1191.8699999999999</v>
      </c>
      <c r="J332" s="39">
        <f>IF(My_Payment[[#This Row],[Payment_Code]]="S",My_Payment[[#This Row],[Total AMT]]/2,IF(My_Payment[[#This Row],[Payment_Code]]="N",My_Payment[[#This Row],[Total AMT]],0))</f>
        <v>0</v>
      </c>
    </row>
    <row r="333" spans="1:10">
      <c r="A333" s="38">
        <v>45280</v>
      </c>
      <c r="B333" s="37" t="s">
        <v>345</v>
      </c>
      <c r="C333" s="37" t="s">
        <v>248</v>
      </c>
      <c r="D333" s="37" t="s">
        <v>346</v>
      </c>
      <c r="E333" s="37" t="s">
        <v>211</v>
      </c>
      <c r="F333" s="38">
        <v>45324</v>
      </c>
      <c r="G333" s="37" t="s">
        <v>215</v>
      </c>
      <c r="H333" s="40">
        <v>1191.8699999999999</v>
      </c>
      <c r="I333" s="39">
        <f>IF(My_Payment[[#This Row],[Payment_Code]]="S",My_Payment[[#This Row],[Total AMT]]/2,IF(My_Payment[[#This Row],[Payment_Code]]="P",My_Payment[[#This Row],[Total AMT]],0))</f>
        <v>1191.8699999999999</v>
      </c>
      <c r="J333" s="39">
        <f>IF(My_Payment[[#This Row],[Payment_Code]]="S",My_Payment[[#This Row],[Total AMT]]/2,IF(My_Payment[[#This Row],[Payment_Code]]="N",My_Payment[[#This Row],[Total AMT]],0))</f>
        <v>0</v>
      </c>
    </row>
    <row r="334" spans="1:10">
      <c r="A334" s="38">
        <v>44612</v>
      </c>
      <c r="B334" s="37" t="s">
        <v>348</v>
      </c>
      <c r="C334" s="37" t="s">
        <v>209</v>
      </c>
      <c r="D334" s="37" t="s">
        <v>48</v>
      </c>
      <c r="E334" s="37" t="s">
        <v>211</v>
      </c>
      <c r="F334" s="38">
        <v>44652</v>
      </c>
      <c r="G334" s="37" t="s">
        <v>215</v>
      </c>
      <c r="H334" s="40">
        <v>854.93</v>
      </c>
      <c r="I334" s="39">
        <f>IF(My_Payment[[#This Row],[Payment_Code]]="S",My_Payment[[#This Row],[Total AMT]]/2,IF(My_Payment[[#This Row],[Payment_Code]]="P",My_Payment[[#This Row],[Total AMT]],0))</f>
        <v>854.93</v>
      </c>
      <c r="J334" s="39">
        <f>IF(My_Payment[[#This Row],[Payment_Code]]="S",My_Payment[[#This Row],[Total AMT]]/2,IF(My_Payment[[#This Row],[Payment_Code]]="N",My_Payment[[#This Row],[Total AMT]],0))</f>
        <v>0</v>
      </c>
    </row>
    <row r="335" spans="1:10">
      <c r="A335" s="38">
        <v>44612</v>
      </c>
      <c r="B335" s="37" t="s">
        <v>348</v>
      </c>
      <c r="C335" s="37" t="s">
        <v>209</v>
      </c>
      <c r="D335" s="37" t="s">
        <v>49</v>
      </c>
      <c r="E335" s="37" t="s">
        <v>211</v>
      </c>
      <c r="F335" s="38">
        <v>44652</v>
      </c>
      <c r="G335" s="37" t="s">
        <v>215</v>
      </c>
      <c r="H335" s="40">
        <v>1603.93</v>
      </c>
      <c r="I335" s="39">
        <f>IF(My_Payment[[#This Row],[Payment_Code]]="S",My_Payment[[#This Row],[Total AMT]]/2,IF(My_Payment[[#This Row],[Payment_Code]]="P",My_Payment[[#This Row],[Total AMT]],0))</f>
        <v>1603.93</v>
      </c>
      <c r="J335" s="39">
        <f>IF(My_Payment[[#This Row],[Payment_Code]]="S",My_Payment[[#This Row],[Total AMT]]/2,IF(My_Payment[[#This Row],[Payment_Code]]="N",My_Payment[[#This Row],[Total AMT]],0))</f>
        <v>0</v>
      </c>
    </row>
    <row r="336" spans="1:10">
      <c r="A336" s="38">
        <v>44637</v>
      </c>
      <c r="B336" s="37" t="s">
        <v>348</v>
      </c>
      <c r="C336" s="37" t="s">
        <v>209</v>
      </c>
      <c r="D336" s="37" t="s">
        <v>20</v>
      </c>
      <c r="E336" s="37" t="s">
        <v>211</v>
      </c>
      <c r="F336" s="38">
        <v>44652</v>
      </c>
      <c r="G336" s="37" t="s">
        <v>215</v>
      </c>
      <c r="H336" s="40">
        <v>-7.74</v>
      </c>
      <c r="I336" s="39">
        <f>IF(My_Payment[[#This Row],[Payment_Code]]="S",My_Payment[[#This Row],[Total AMT]]/2,IF(My_Payment[[#This Row],[Payment_Code]]="P",My_Payment[[#This Row],[Total AMT]],0))</f>
        <v>-7.74</v>
      </c>
      <c r="J336" s="39">
        <f>IF(My_Payment[[#This Row],[Payment_Code]]="S",My_Payment[[#This Row],[Total AMT]]/2,IF(My_Payment[[#This Row],[Payment_Code]]="N",My_Payment[[#This Row],[Total AMT]],0))</f>
        <v>0</v>
      </c>
    </row>
    <row r="337" spans="1:10">
      <c r="A337" s="38">
        <v>44640</v>
      </c>
      <c r="B337" s="37" t="s">
        <v>348</v>
      </c>
      <c r="C337" s="37" t="s">
        <v>209</v>
      </c>
      <c r="D337" s="37" t="s">
        <v>48</v>
      </c>
      <c r="E337" s="37" t="s">
        <v>211</v>
      </c>
      <c r="F337" s="38">
        <v>44682</v>
      </c>
      <c r="G337" s="37" t="s">
        <v>215</v>
      </c>
      <c r="H337" s="40">
        <v>854.93</v>
      </c>
      <c r="I337" s="39">
        <f>IF(My_Payment[[#This Row],[Payment_Code]]="S",My_Payment[[#This Row],[Total AMT]]/2,IF(My_Payment[[#This Row],[Payment_Code]]="P",My_Payment[[#This Row],[Total AMT]],0))</f>
        <v>854.93</v>
      </c>
      <c r="J337" s="39">
        <f>IF(My_Payment[[#This Row],[Payment_Code]]="S",My_Payment[[#This Row],[Total AMT]]/2,IF(My_Payment[[#This Row],[Payment_Code]]="N",My_Payment[[#This Row],[Total AMT]],0))</f>
        <v>0</v>
      </c>
    </row>
    <row r="338" spans="1:10">
      <c r="A338" s="38">
        <v>44640</v>
      </c>
      <c r="B338" s="37" t="s">
        <v>348</v>
      </c>
      <c r="C338" s="37" t="s">
        <v>209</v>
      </c>
      <c r="D338" s="37" t="s">
        <v>49</v>
      </c>
      <c r="E338" s="37" t="s">
        <v>211</v>
      </c>
      <c r="F338" s="38">
        <v>44682</v>
      </c>
      <c r="G338" s="37" t="s">
        <v>215</v>
      </c>
      <c r="H338" s="40">
        <v>1603.93</v>
      </c>
      <c r="I338" s="39">
        <f>IF(My_Payment[[#This Row],[Payment_Code]]="S",My_Payment[[#This Row],[Total AMT]]/2,IF(My_Payment[[#This Row],[Payment_Code]]="P",My_Payment[[#This Row],[Total AMT]],0))</f>
        <v>1603.93</v>
      </c>
      <c r="J338" s="39">
        <f>IF(My_Payment[[#This Row],[Payment_Code]]="S",My_Payment[[#This Row],[Total AMT]]/2,IF(My_Payment[[#This Row],[Payment_Code]]="N",My_Payment[[#This Row],[Total AMT]],0))</f>
        <v>0</v>
      </c>
    </row>
    <row r="339" spans="1:10">
      <c r="A339" s="38">
        <v>44668</v>
      </c>
      <c r="B339" s="37" t="s">
        <v>348</v>
      </c>
      <c r="C339" s="37" t="s">
        <v>209</v>
      </c>
      <c r="D339" s="37" t="s">
        <v>20</v>
      </c>
      <c r="E339" s="37" t="s">
        <v>211</v>
      </c>
      <c r="F339" s="38">
        <v>44682</v>
      </c>
      <c r="G339" s="37" t="s">
        <v>215</v>
      </c>
      <c r="H339" s="40">
        <v>-10.7</v>
      </c>
      <c r="I339" s="39">
        <f>IF(My_Payment[[#This Row],[Payment_Code]]="S",My_Payment[[#This Row],[Total AMT]]/2,IF(My_Payment[[#This Row],[Payment_Code]]="P",My_Payment[[#This Row],[Total AMT]],0))</f>
        <v>-10.7</v>
      </c>
      <c r="J339" s="39">
        <f>IF(My_Payment[[#This Row],[Payment_Code]]="S",My_Payment[[#This Row],[Total AMT]]/2,IF(My_Payment[[#This Row],[Payment_Code]]="N",My_Payment[[#This Row],[Total AMT]],0))</f>
        <v>0</v>
      </c>
    </row>
    <row r="340" spans="1:10">
      <c r="A340" s="38">
        <v>44671</v>
      </c>
      <c r="B340" s="37" t="s">
        <v>348</v>
      </c>
      <c r="C340" s="37" t="s">
        <v>209</v>
      </c>
      <c r="D340" s="37" t="s">
        <v>48</v>
      </c>
      <c r="E340" s="37" t="s">
        <v>211</v>
      </c>
      <c r="F340" s="38">
        <v>44713</v>
      </c>
      <c r="G340" s="37" t="s">
        <v>215</v>
      </c>
      <c r="H340" s="40">
        <v>854.93</v>
      </c>
      <c r="I340" s="39">
        <f>IF(My_Payment[[#This Row],[Payment_Code]]="S",My_Payment[[#This Row],[Total AMT]]/2,IF(My_Payment[[#This Row],[Payment_Code]]="P",My_Payment[[#This Row],[Total AMT]],0))</f>
        <v>854.93</v>
      </c>
      <c r="J340" s="39">
        <f>IF(My_Payment[[#This Row],[Payment_Code]]="S",My_Payment[[#This Row],[Total AMT]]/2,IF(My_Payment[[#This Row],[Payment_Code]]="N",My_Payment[[#This Row],[Total AMT]],0))</f>
        <v>0</v>
      </c>
    </row>
    <row r="341" spans="1:10">
      <c r="A341" s="38">
        <v>44671</v>
      </c>
      <c r="B341" s="37" t="s">
        <v>348</v>
      </c>
      <c r="C341" s="37" t="s">
        <v>209</v>
      </c>
      <c r="D341" s="37" t="s">
        <v>49</v>
      </c>
      <c r="E341" s="37" t="s">
        <v>211</v>
      </c>
      <c r="F341" s="38">
        <v>44713</v>
      </c>
      <c r="G341" s="37" t="s">
        <v>215</v>
      </c>
      <c r="H341" s="40">
        <v>1603.93</v>
      </c>
      <c r="I341" s="39">
        <f>IF(My_Payment[[#This Row],[Payment_Code]]="S",My_Payment[[#This Row],[Total AMT]]/2,IF(My_Payment[[#This Row],[Payment_Code]]="P",My_Payment[[#This Row],[Total AMT]],0))</f>
        <v>1603.93</v>
      </c>
      <c r="J341" s="39">
        <f>IF(My_Payment[[#This Row],[Payment_Code]]="S",My_Payment[[#This Row],[Total AMT]]/2,IF(My_Payment[[#This Row],[Payment_Code]]="N",My_Payment[[#This Row],[Total AMT]],0))</f>
        <v>0</v>
      </c>
    </row>
    <row r="342" spans="1:10">
      <c r="A342" s="38">
        <v>44697</v>
      </c>
      <c r="B342" s="37" t="s">
        <v>348</v>
      </c>
      <c r="C342" s="37" t="s">
        <v>209</v>
      </c>
      <c r="D342" s="37" t="s">
        <v>81</v>
      </c>
      <c r="E342" s="37" t="s">
        <v>211</v>
      </c>
      <c r="F342" s="38">
        <v>44713</v>
      </c>
      <c r="G342" s="37" t="s">
        <v>215</v>
      </c>
      <c r="H342" s="40">
        <v>86.02</v>
      </c>
      <c r="I342" s="39">
        <f>IF(My_Payment[[#This Row],[Payment_Code]]="S",My_Payment[[#This Row],[Total AMT]]/2,IF(My_Payment[[#This Row],[Payment_Code]]="P",My_Payment[[#This Row],[Total AMT]],0))</f>
        <v>86.02</v>
      </c>
      <c r="J342" s="39">
        <f>IF(My_Payment[[#This Row],[Payment_Code]]="S",My_Payment[[#This Row],[Total AMT]]/2,IF(My_Payment[[#This Row],[Payment_Code]]="N",My_Payment[[#This Row],[Total AMT]],0))</f>
        <v>0</v>
      </c>
    </row>
    <row r="343" spans="1:10">
      <c r="A343" s="38">
        <v>44701</v>
      </c>
      <c r="B343" s="37" t="s">
        <v>348</v>
      </c>
      <c r="C343" s="37" t="s">
        <v>209</v>
      </c>
      <c r="D343" s="37" t="s">
        <v>48</v>
      </c>
      <c r="E343" s="37" t="s">
        <v>211</v>
      </c>
      <c r="F343" s="38">
        <v>44743</v>
      </c>
      <c r="G343" s="37" t="s">
        <v>215</v>
      </c>
      <c r="H343" s="40">
        <v>854.93</v>
      </c>
      <c r="I343" s="39">
        <f>IF(My_Payment[[#This Row],[Payment_Code]]="S",My_Payment[[#This Row],[Total AMT]]/2,IF(My_Payment[[#This Row],[Payment_Code]]="P",My_Payment[[#This Row],[Total AMT]],0))</f>
        <v>854.93</v>
      </c>
      <c r="J343" s="39">
        <f>IF(My_Payment[[#This Row],[Payment_Code]]="S",My_Payment[[#This Row],[Total AMT]]/2,IF(My_Payment[[#This Row],[Payment_Code]]="N",My_Payment[[#This Row],[Total AMT]],0))</f>
        <v>0</v>
      </c>
    </row>
    <row r="344" spans="1:10">
      <c r="A344" s="38">
        <v>44701</v>
      </c>
      <c r="B344" s="37" t="s">
        <v>348</v>
      </c>
      <c r="C344" s="37" t="s">
        <v>209</v>
      </c>
      <c r="D344" s="37" t="s">
        <v>49</v>
      </c>
      <c r="E344" s="37" t="s">
        <v>211</v>
      </c>
      <c r="F344" s="38">
        <v>44743</v>
      </c>
      <c r="G344" s="37" t="s">
        <v>215</v>
      </c>
      <c r="H344" s="40">
        <v>1603.93</v>
      </c>
      <c r="I344" s="39">
        <f>IF(My_Payment[[#This Row],[Payment_Code]]="S",My_Payment[[#This Row],[Total AMT]]/2,IF(My_Payment[[#This Row],[Payment_Code]]="P",My_Payment[[#This Row],[Total AMT]],0))</f>
        <v>1603.93</v>
      </c>
      <c r="J344" s="39">
        <f>IF(My_Payment[[#This Row],[Payment_Code]]="S",My_Payment[[#This Row],[Total AMT]]/2,IF(My_Payment[[#This Row],[Payment_Code]]="N",My_Payment[[#This Row],[Total AMT]],0))</f>
        <v>0</v>
      </c>
    </row>
    <row r="345" spans="1:10">
      <c r="A345" s="38">
        <v>44732</v>
      </c>
      <c r="B345" s="37" t="s">
        <v>348</v>
      </c>
      <c r="C345" s="37" t="s">
        <v>209</v>
      </c>
      <c r="D345" s="37" t="s">
        <v>48</v>
      </c>
      <c r="E345" s="37" t="s">
        <v>211</v>
      </c>
      <c r="F345" s="38">
        <v>44774</v>
      </c>
      <c r="G345" s="37" t="s">
        <v>215</v>
      </c>
      <c r="H345" s="40">
        <v>854.93</v>
      </c>
      <c r="I345" s="39">
        <f>IF(My_Payment[[#This Row],[Payment_Code]]="S",My_Payment[[#This Row],[Total AMT]]/2,IF(My_Payment[[#This Row],[Payment_Code]]="P",My_Payment[[#This Row],[Total AMT]],0))</f>
        <v>854.93</v>
      </c>
      <c r="J345" s="39">
        <f>IF(My_Payment[[#This Row],[Payment_Code]]="S",My_Payment[[#This Row],[Total AMT]]/2,IF(My_Payment[[#This Row],[Payment_Code]]="N",My_Payment[[#This Row],[Total AMT]],0))</f>
        <v>0</v>
      </c>
    </row>
    <row r="346" spans="1:10">
      <c r="A346" s="38">
        <v>44732</v>
      </c>
      <c r="B346" s="37" t="s">
        <v>348</v>
      </c>
      <c r="C346" s="37" t="s">
        <v>209</v>
      </c>
      <c r="D346" s="37" t="s">
        <v>49</v>
      </c>
      <c r="E346" s="37" t="s">
        <v>211</v>
      </c>
      <c r="F346" s="38">
        <v>44774</v>
      </c>
      <c r="G346" s="37" t="s">
        <v>215</v>
      </c>
      <c r="H346" s="40">
        <v>1603.93</v>
      </c>
      <c r="I346" s="39">
        <f>IF(My_Payment[[#This Row],[Payment_Code]]="S",My_Payment[[#This Row],[Total AMT]]/2,IF(My_Payment[[#This Row],[Payment_Code]]="P",My_Payment[[#This Row],[Total AMT]],0))</f>
        <v>1603.93</v>
      </c>
      <c r="J346" s="39">
        <f>IF(My_Payment[[#This Row],[Payment_Code]]="S",My_Payment[[#This Row],[Total AMT]]/2,IF(My_Payment[[#This Row],[Payment_Code]]="N",My_Payment[[#This Row],[Total AMT]],0))</f>
        <v>0</v>
      </c>
    </row>
    <row r="347" spans="1:10">
      <c r="A347" s="38">
        <v>44730</v>
      </c>
      <c r="B347" s="37" t="s">
        <v>348</v>
      </c>
      <c r="C347" s="37" t="s">
        <v>209</v>
      </c>
      <c r="D347" s="37" t="s">
        <v>81</v>
      </c>
      <c r="E347" s="37" t="s">
        <v>211</v>
      </c>
      <c r="F347" s="38">
        <v>44774</v>
      </c>
      <c r="G347" s="37" t="s">
        <v>215</v>
      </c>
      <c r="H347" s="40">
        <v>373.43</v>
      </c>
      <c r="I347" s="39">
        <f>IF(My_Payment[[#This Row],[Payment_Code]]="S",My_Payment[[#This Row],[Total AMT]]/2,IF(My_Payment[[#This Row],[Payment_Code]]="P",My_Payment[[#This Row],[Total AMT]],0))</f>
        <v>373.43</v>
      </c>
      <c r="J347" s="39">
        <f>IF(My_Payment[[#This Row],[Payment_Code]]="S",My_Payment[[#This Row],[Total AMT]]/2,IF(My_Payment[[#This Row],[Payment_Code]]="N",My_Payment[[#This Row],[Total AMT]],0))</f>
        <v>0</v>
      </c>
    </row>
    <row r="348" spans="1:10">
      <c r="A348" s="38">
        <v>44762</v>
      </c>
      <c r="B348" s="37" t="s">
        <v>348</v>
      </c>
      <c r="C348" s="37" t="s">
        <v>209</v>
      </c>
      <c r="D348" s="37" t="s">
        <v>48</v>
      </c>
      <c r="E348" s="37" t="s">
        <v>211</v>
      </c>
      <c r="F348" s="38">
        <v>44805</v>
      </c>
      <c r="G348" s="37" t="s">
        <v>215</v>
      </c>
      <c r="H348" s="40">
        <v>854.93</v>
      </c>
      <c r="I348" s="39">
        <f>IF(My_Payment[[#This Row],[Payment_Code]]="S",My_Payment[[#This Row],[Total AMT]]/2,IF(My_Payment[[#This Row],[Payment_Code]]="P",My_Payment[[#This Row],[Total AMT]],0))</f>
        <v>854.93</v>
      </c>
      <c r="J348" s="39">
        <f>IF(My_Payment[[#This Row],[Payment_Code]]="S",My_Payment[[#This Row],[Total AMT]]/2,IF(My_Payment[[#This Row],[Payment_Code]]="N",My_Payment[[#This Row],[Total AMT]],0))</f>
        <v>0</v>
      </c>
    </row>
    <row r="349" spans="1:10">
      <c r="A349" s="38">
        <v>44762</v>
      </c>
      <c r="B349" s="37" t="s">
        <v>348</v>
      </c>
      <c r="C349" s="37" t="s">
        <v>209</v>
      </c>
      <c r="D349" s="37" t="s">
        <v>49</v>
      </c>
      <c r="E349" s="37" t="s">
        <v>211</v>
      </c>
      <c r="F349" s="38">
        <v>44805</v>
      </c>
      <c r="G349" s="37" t="s">
        <v>215</v>
      </c>
      <c r="H349" s="40">
        <v>1603.93</v>
      </c>
      <c r="I349" s="39">
        <f>IF(My_Payment[[#This Row],[Payment_Code]]="S",My_Payment[[#This Row],[Total AMT]]/2,IF(My_Payment[[#This Row],[Payment_Code]]="P",My_Payment[[#This Row],[Total AMT]],0))</f>
        <v>1603.93</v>
      </c>
      <c r="J349" s="39">
        <f>IF(My_Payment[[#This Row],[Payment_Code]]="S",My_Payment[[#This Row],[Total AMT]]/2,IF(My_Payment[[#This Row],[Payment_Code]]="N",My_Payment[[#This Row],[Total AMT]],0))</f>
        <v>0</v>
      </c>
    </row>
    <row r="350" spans="1:10">
      <c r="A350" s="38">
        <v>44760</v>
      </c>
      <c r="B350" s="37" t="s">
        <v>348</v>
      </c>
      <c r="C350" s="37" t="s">
        <v>209</v>
      </c>
      <c r="D350" s="37" t="s">
        <v>81</v>
      </c>
      <c r="E350" s="37" t="s">
        <v>211</v>
      </c>
      <c r="F350" s="38">
        <v>44805</v>
      </c>
      <c r="G350" s="37" t="s">
        <v>215</v>
      </c>
      <c r="H350" s="40">
        <v>373.43</v>
      </c>
      <c r="I350" s="39">
        <f>IF(My_Payment[[#This Row],[Payment_Code]]="S",My_Payment[[#This Row],[Total AMT]]/2,IF(My_Payment[[#This Row],[Payment_Code]]="P",My_Payment[[#This Row],[Total AMT]],0))</f>
        <v>373.43</v>
      </c>
      <c r="J350" s="39">
        <f>IF(My_Payment[[#This Row],[Payment_Code]]="S",My_Payment[[#This Row],[Total AMT]]/2,IF(My_Payment[[#This Row],[Payment_Code]]="N",My_Payment[[#This Row],[Total AMT]],0))</f>
        <v>0</v>
      </c>
    </row>
    <row r="351" spans="1:10">
      <c r="A351" s="38">
        <v>44824</v>
      </c>
      <c r="B351" s="37" t="s">
        <v>348</v>
      </c>
      <c r="C351" s="37" t="s">
        <v>209</v>
      </c>
      <c r="D351" s="37" t="s">
        <v>48</v>
      </c>
      <c r="E351" s="37" t="s">
        <v>211</v>
      </c>
      <c r="F351" s="38">
        <v>44866</v>
      </c>
      <c r="G351" s="37" t="s">
        <v>215</v>
      </c>
      <c r="H351" s="40">
        <v>854.93</v>
      </c>
      <c r="I351" s="39">
        <f>IF(My_Payment[[#This Row],[Payment_Code]]="S",My_Payment[[#This Row],[Total AMT]]/2,IF(My_Payment[[#This Row],[Payment_Code]]="P",My_Payment[[#This Row],[Total AMT]],0))</f>
        <v>854.93</v>
      </c>
      <c r="J351" s="39">
        <f>IF(My_Payment[[#This Row],[Payment_Code]]="S",My_Payment[[#This Row],[Total AMT]]/2,IF(My_Payment[[#This Row],[Payment_Code]]="N",My_Payment[[#This Row],[Total AMT]],0))</f>
        <v>0</v>
      </c>
    </row>
    <row r="352" spans="1:10">
      <c r="A352" s="38">
        <v>44824</v>
      </c>
      <c r="B352" s="37" t="s">
        <v>348</v>
      </c>
      <c r="C352" s="37" t="s">
        <v>209</v>
      </c>
      <c r="D352" s="37" t="s">
        <v>49</v>
      </c>
      <c r="E352" s="37" t="s">
        <v>211</v>
      </c>
      <c r="F352" s="38">
        <v>44866</v>
      </c>
      <c r="G352" s="37" t="s">
        <v>215</v>
      </c>
      <c r="H352" s="40">
        <v>1603.93</v>
      </c>
      <c r="I352" s="39">
        <f>IF(My_Payment[[#This Row],[Payment_Code]]="S",My_Payment[[#This Row],[Total AMT]]/2,IF(My_Payment[[#This Row],[Payment_Code]]="P",My_Payment[[#This Row],[Total AMT]],0))</f>
        <v>1603.93</v>
      </c>
      <c r="J352" s="39">
        <f>IF(My_Payment[[#This Row],[Payment_Code]]="S",My_Payment[[#This Row],[Total AMT]]/2,IF(My_Payment[[#This Row],[Payment_Code]]="N",My_Payment[[#This Row],[Total AMT]],0))</f>
        <v>0</v>
      </c>
    </row>
    <row r="353" spans="1:10">
      <c r="A353" s="38">
        <v>44822</v>
      </c>
      <c r="B353" s="37" t="s">
        <v>348</v>
      </c>
      <c r="C353" s="37" t="s">
        <v>209</v>
      </c>
      <c r="D353" s="37" t="s">
        <v>81</v>
      </c>
      <c r="E353" s="37" t="s">
        <v>211</v>
      </c>
      <c r="F353" s="38">
        <v>44866</v>
      </c>
      <c r="G353" s="37" t="s">
        <v>215</v>
      </c>
      <c r="H353" s="40">
        <v>373.43</v>
      </c>
      <c r="I353" s="39">
        <f>IF(My_Payment[[#This Row],[Payment_Code]]="S",My_Payment[[#This Row],[Total AMT]]/2,IF(My_Payment[[#This Row],[Payment_Code]]="P",My_Payment[[#This Row],[Total AMT]],0))</f>
        <v>373.43</v>
      </c>
      <c r="J353" s="39">
        <f>IF(My_Payment[[#This Row],[Payment_Code]]="S",My_Payment[[#This Row],[Total AMT]]/2,IF(My_Payment[[#This Row],[Payment_Code]]="N",My_Payment[[#This Row],[Total AMT]],0))</f>
        <v>0</v>
      </c>
    </row>
    <row r="354" spans="1:10">
      <c r="A354" s="38">
        <v>44854</v>
      </c>
      <c r="B354" s="37" t="s">
        <v>348</v>
      </c>
      <c r="C354" s="37" t="s">
        <v>209</v>
      </c>
      <c r="D354" s="37" t="s">
        <v>48</v>
      </c>
      <c r="E354" s="37" t="s">
        <v>211</v>
      </c>
      <c r="F354" s="38">
        <v>44896</v>
      </c>
      <c r="G354" s="37" t="s">
        <v>215</v>
      </c>
      <c r="H354" s="40">
        <v>854.93</v>
      </c>
      <c r="I354" s="39">
        <f>IF(My_Payment[[#This Row],[Payment_Code]]="S",My_Payment[[#This Row],[Total AMT]]/2,IF(My_Payment[[#This Row],[Payment_Code]]="P",My_Payment[[#This Row],[Total AMT]],0))</f>
        <v>854.93</v>
      </c>
      <c r="J354" s="39">
        <f>IF(My_Payment[[#This Row],[Payment_Code]]="S",My_Payment[[#This Row],[Total AMT]]/2,IF(My_Payment[[#This Row],[Payment_Code]]="N",My_Payment[[#This Row],[Total AMT]],0))</f>
        <v>0</v>
      </c>
    </row>
    <row r="355" spans="1:10">
      <c r="A355" s="38">
        <v>44854</v>
      </c>
      <c r="B355" s="37" t="s">
        <v>348</v>
      </c>
      <c r="C355" s="37" t="s">
        <v>209</v>
      </c>
      <c r="D355" s="37" t="s">
        <v>49</v>
      </c>
      <c r="E355" s="37" t="s">
        <v>211</v>
      </c>
      <c r="F355" s="38">
        <v>44896</v>
      </c>
      <c r="G355" s="37" t="s">
        <v>215</v>
      </c>
      <c r="H355" s="40">
        <v>1603.93</v>
      </c>
      <c r="I355" s="39">
        <f>IF(My_Payment[[#This Row],[Payment_Code]]="S",My_Payment[[#This Row],[Total AMT]]/2,IF(My_Payment[[#This Row],[Payment_Code]]="P",My_Payment[[#This Row],[Total AMT]],0))</f>
        <v>1603.93</v>
      </c>
      <c r="J355" s="39">
        <f>IF(My_Payment[[#This Row],[Payment_Code]]="S",My_Payment[[#This Row],[Total AMT]]/2,IF(My_Payment[[#This Row],[Payment_Code]]="N",My_Payment[[#This Row],[Total AMT]],0))</f>
        <v>0</v>
      </c>
    </row>
    <row r="356" spans="1:10">
      <c r="A356" s="38">
        <v>44852</v>
      </c>
      <c r="B356" s="37" t="s">
        <v>348</v>
      </c>
      <c r="C356" s="37" t="s">
        <v>209</v>
      </c>
      <c r="D356" s="37" t="s">
        <v>81</v>
      </c>
      <c r="E356" s="37" t="s">
        <v>211</v>
      </c>
      <c r="F356" s="38">
        <v>44896</v>
      </c>
      <c r="G356" s="37" t="s">
        <v>215</v>
      </c>
      <c r="H356" s="40">
        <v>373.43</v>
      </c>
      <c r="I356" s="39">
        <f>IF(My_Payment[[#This Row],[Payment_Code]]="S",My_Payment[[#This Row],[Total AMT]]/2,IF(My_Payment[[#This Row],[Payment_Code]]="P",My_Payment[[#This Row],[Total AMT]],0))</f>
        <v>373.43</v>
      </c>
      <c r="J356" s="39">
        <f>IF(My_Payment[[#This Row],[Payment_Code]]="S",My_Payment[[#This Row],[Total AMT]]/2,IF(My_Payment[[#This Row],[Payment_Code]]="N",My_Payment[[#This Row],[Total AMT]],0))</f>
        <v>0</v>
      </c>
    </row>
    <row r="357" spans="1:10">
      <c r="A357" s="38">
        <v>44885</v>
      </c>
      <c r="B357" s="37" t="s">
        <v>348</v>
      </c>
      <c r="C357" s="37" t="s">
        <v>209</v>
      </c>
      <c r="D357" s="37" t="s">
        <v>48</v>
      </c>
      <c r="E357" s="37" t="s">
        <v>211</v>
      </c>
      <c r="F357" s="38">
        <v>44927</v>
      </c>
      <c r="G357" s="37" t="s">
        <v>215</v>
      </c>
      <c r="H357" s="40">
        <v>854.93</v>
      </c>
      <c r="I357" s="39">
        <f>IF(My_Payment[[#This Row],[Payment_Code]]="S",My_Payment[[#This Row],[Total AMT]]/2,IF(My_Payment[[#This Row],[Payment_Code]]="P",My_Payment[[#This Row],[Total AMT]],0))</f>
        <v>854.93</v>
      </c>
      <c r="J357" s="39">
        <f>IF(My_Payment[[#This Row],[Payment_Code]]="S",My_Payment[[#This Row],[Total AMT]]/2,IF(My_Payment[[#This Row],[Payment_Code]]="N",My_Payment[[#This Row],[Total AMT]],0))</f>
        <v>0</v>
      </c>
    </row>
    <row r="358" spans="1:10">
      <c r="A358" s="38">
        <v>44885</v>
      </c>
      <c r="B358" s="37" t="s">
        <v>348</v>
      </c>
      <c r="C358" s="37" t="s">
        <v>209</v>
      </c>
      <c r="D358" s="37" t="s">
        <v>49</v>
      </c>
      <c r="E358" s="37" t="s">
        <v>211</v>
      </c>
      <c r="F358" s="38">
        <v>44927</v>
      </c>
      <c r="G358" s="37" t="s">
        <v>215</v>
      </c>
      <c r="H358" s="40">
        <v>1603.93</v>
      </c>
      <c r="I358" s="39">
        <f>IF(My_Payment[[#This Row],[Payment_Code]]="S",My_Payment[[#This Row],[Total AMT]]/2,IF(My_Payment[[#This Row],[Payment_Code]]="P",My_Payment[[#This Row],[Total AMT]],0))</f>
        <v>1603.93</v>
      </c>
      <c r="J358" s="39">
        <f>IF(My_Payment[[#This Row],[Payment_Code]]="S",My_Payment[[#This Row],[Total AMT]]/2,IF(My_Payment[[#This Row],[Payment_Code]]="N",My_Payment[[#This Row],[Total AMT]],0))</f>
        <v>0</v>
      </c>
    </row>
    <row r="359" spans="1:10">
      <c r="A359" s="38">
        <v>44883</v>
      </c>
      <c r="B359" s="37" t="s">
        <v>348</v>
      </c>
      <c r="C359" s="37" t="s">
        <v>209</v>
      </c>
      <c r="D359" s="37" t="s">
        <v>81</v>
      </c>
      <c r="E359" s="37" t="s">
        <v>211</v>
      </c>
      <c r="F359" s="38">
        <v>44927</v>
      </c>
      <c r="G359" s="37" t="s">
        <v>215</v>
      </c>
      <c r="H359" s="40">
        <v>373.43</v>
      </c>
      <c r="I359" s="39">
        <f>IF(My_Payment[[#This Row],[Payment_Code]]="S",My_Payment[[#This Row],[Total AMT]]/2,IF(My_Payment[[#This Row],[Payment_Code]]="P",My_Payment[[#This Row],[Total AMT]],0))</f>
        <v>373.43</v>
      </c>
      <c r="J359" s="39">
        <f>IF(My_Payment[[#This Row],[Payment_Code]]="S",My_Payment[[#This Row],[Total AMT]]/2,IF(My_Payment[[#This Row],[Payment_Code]]="N",My_Payment[[#This Row],[Total AMT]],0))</f>
        <v>0</v>
      </c>
    </row>
    <row r="360" spans="1:10">
      <c r="A360" s="38">
        <v>44547</v>
      </c>
      <c r="B360" s="37" t="s">
        <v>348</v>
      </c>
      <c r="C360" s="37" t="s">
        <v>209</v>
      </c>
      <c r="D360" s="37" t="s">
        <v>349</v>
      </c>
      <c r="E360" s="37" t="s">
        <v>309</v>
      </c>
      <c r="F360" s="38">
        <v>44562</v>
      </c>
      <c r="G360" s="37" t="s">
        <v>215</v>
      </c>
      <c r="H360" s="40">
        <v>319</v>
      </c>
      <c r="I360" s="39">
        <f>IF(My_Payment[[#This Row],[Payment_Code]]="S",My_Payment[[#This Row],[Total AMT]]/2,IF(My_Payment[[#This Row],[Payment_Code]]="P",My_Payment[[#This Row],[Total AMT]],0))</f>
        <v>319</v>
      </c>
      <c r="J360" s="39">
        <f>IF(My_Payment[[#This Row],[Payment_Code]]="S",My_Payment[[#This Row],[Total AMT]]/2,IF(My_Payment[[#This Row],[Payment_Code]]="N",My_Payment[[#This Row],[Total AMT]],0))</f>
        <v>0</v>
      </c>
    </row>
    <row r="361" spans="1:10">
      <c r="A361" s="38">
        <v>44578</v>
      </c>
      <c r="B361" s="37" t="s">
        <v>348</v>
      </c>
      <c r="C361" s="37" t="s">
        <v>209</v>
      </c>
      <c r="D361" s="37" t="s">
        <v>349</v>
      </c>
      <c r="E361" s="37" t="s">
        <v>310</v>
      </c>
      <c r="F361" s="38">
        <v>44593</v>
      </c>
      <c r="G361" s="37" t="s">
        <v>215</v>
      </c>
      <c r="H361" s="40">
        <v>319</v>
      </c>
      <c r="I361" s="39">
        <f>IF(My_Payment[[#This Row],[Payment_Code]]="S",My_Payment[[#This Row],[Total AMT]]/2,IF(My_Payment[[#This Row],[Payment_Code]]="P",My_Payment[[#This Row],[Total AMT]],0))</f>
        <v>319</v>
      </c>
      <c r="J361" s="39">
        <f>IF(My_Payment[[#This Row],[Payment_Code]]="S",My_Payment[[#This Row],[Total AMT]]/2,IF(My_Payment[[#This Row],[Payment_Code]]="N",My_Payment[[#This Row],[Total AMT]],0))</f>
        <v>0</v>
      </c>
    </row>
    <row r="362" spans="1:10">
      <c r="A362" s="38">
        <v>44609</v>
      </c>
      <c r="B362" s="37" t="s">
        <v>348</v>
      </c>
      <c r="C362" s="37" t="s">
        <v>209</v>
      </c>
      <c r="D362" s="37" t="s">
        <v>349</v>
      </c>
      <c r="E362" s="37" t="s">
        <v>311</v>
      </c>
      <c r="F362" s="38">
        <v>44621</v>
      </c>
      <c r="G362" s="37" t="s">
        <v>215</v>
      </c>
      <c r="H362" s="40">
        <v>319</v>
      </c>
      <c r="I362" s="39">
        <f>IF(My_Payment[[#This Row],[Payment_Code]]="S",My_Payment[[#This Row],[Total AMT]]/2,IF(My_Payment[[#This Row],[Payment_Code]]="P",My_Payment[[#This Row],[Total AMT]],0))</f>
        <v>319</v>
      </c>
      <c r="J362" s="39">
        <f>IF(My_Payment[[#This Row],[Payment_Code]]="S",My_Payment[[#This Row],[Total AMT]]/2,IF(My_Payment[[#This Row],[Payment_Code]]="N",My_Payment[[#This Row],[Total AMT]],0))</f>
        <v>0</v>
      </c>
    </row>
    <row r="363" spans="1:10">
      <c r="A363" s="38">
        <v>44637</v>
      </c>
      <c r="B363" s="37" t="s">
        <v>348</v>
      </c>
      <c r="C363" s="37" t="s">
        <v>209</v>
      </c>
      <c r="D363" s="37" t="s">
        <v>349</v>
      </c>
      <c r="E363" s="37" t="s">
        <v>312</v>
      </c>
      <c r="F363" s="38">
        <v>44652</v>
      </c>
      <c r="G363" s="37" t="s">
        <v>215</v>
      </c>
      <c r="H363" s="40">
        <v>319</v>
      </c>
      <c r="I363" s="39">
        <f>IF(My_Payment[[#This Row],[Payment_Code]]="S",My_Payment[[#This Row],[Total AMT]]/2,IF(My_Payment[[#This Row],[Payment_Code]]="P",My_Payment[[#This Row],[Total AMT]],0))</f>
        <v>319</v>
      </c>
      <c r="J363" s="39">
        <f>IF(My_Payment[[#This Row],[Payment_Code]]="S",My_Payment[[#This Row],[Total AMT]]/2,IF(My_Payment[[#This Row],[Payment_Code]]="N",My_Payment[[#This Row],[Total AMT]],0))</f>
        <v>0</v>
      </c>
    </row>
    <row r="364" spans="1:10">
      <c r="A364" s="38">
        <v>44668</v>
      </c>
      <c r="B364" s="37" t="s">
        <v>348</v>
      </c>
      <c r="C364" s="37" t="s">
        <v>209</v>
      </c>
      <c r="D364" s="37" t="s">
        <v>349</v>
      </c>
      <c r="E364" s="37" t="s">
        <v>313</v>
      </c>
      <c r="F364" s="38">
        <v>44682</v>
      </c>
      <c r="G364" s="37" t="s">
        <v>215</v>
      </c>
      <c r="H364" s="40">
        <v>319</v>
      </c>
      <c r="I364" s="39">
        <f>IF(My_Payment[[#This Row],[Payment_Code]]="S",My_Payment[[#This Row],[Total AMT]]/2,IF(My_Payment[[#This Row],[Payment_Code]]="P",My_Payment[[#This Row],[Total AMT]],0))</f>
        <v>319</v>
      </c>
      <c r="J364" s="39">
        <f>IF(My_Payment[[#This Row],[Payment_Code]]="S",My_Payment[[#This Row],[Total AMT]]/2,IF(My_Payment[[#This Row],[Payment_Code]]="N",My_Payment[[#This Row],[Total AMT]],0))</f>
        <v>0</v>
      </c>
    </row>
    <row r="365" spans="1:10">
      <c r="A365" s="38">
        <v>44698</v>
      </c>
      <c r="B365" s="37" t="s">
        <v>348</v>
      </c>
      <c r="C365" s="37" t="s">
        <v>209</v>
      </c>
      <c r="D365" s="37" t="s">
        <v>349</v>
      </c>
      <c r="E365" s="37" t="s">
        <v>314</v>
      </c>
      <c r="F365" s="38">
        <v>44713</v>
      </c>
      <c r="G365" s="37" t="s">
        <v>215</v>
      </c>
      <c r="H365" s="40">
        <v>319</v>
      </c>
      <c r="I365" s="39">
        <f>IF(My_Payment[[#This Row],[Payment_Code]]="S",My_Payment[[#This Row],[Total AMT]]/2,IF(My_Payment[[#This Row],[Payment_Code]]="P",My_Payment[[#This Row],[Total AMT]],0))</f>
        <v>319</v>
      </c>
      <c r="J365" s="39">
        <f>IF(My_Payment[[#This Row],[Payment_Code]]="S",My_Payment[[#This Row],[Total AMT]]/2,IF(My_Payment[[#This Row],[Payment_Code]]="N",My_Payment[[#This Row],[Total AMT]],0))</f>
        <v>0</v>
      </c>
    </row>
    <row r="366" spans="1:10">
      <c r="A366" s="38">
        <v>44729</v>
      </c>
      <c r="B366" s="37" t="s">
        <v>348</v>
      </c>
      <c r="C366" s="37" t="s">
        <v>209</v>
      </c>
      <c r="D366" s="37" t="s">
        <v>349</v>
      </c>
      <c r="E366" s="37" t="s">
        <v>112</v>
      </c>
      <c r="F366" s="38">
        <v>44743</v>
      </c>
      <c r="G366" s="37" t="s">
        <v>215</v>
      </c>
      <c r="H366" s="40">
        <v>319</v>
      </c>
      <c r="I366" s="39">
        <f>IF(My_Payment[[#This Row],[Payment_Code]]="S",My_Payment[[#This Row],[Total AMT]]/2,IF(My_Payment[[#This Row],[Payment_Code]]="P",My_Payment[[#This Row],[Total AMT]],0))</f>
        <v>319</v>
      </c>
      <c r="J366" s="39">
        <f>IF(My_Payment[[#This Row],[Payment_Code]]="S",My_Payment[[#This Row],[Total AMT]]/2,IF(My_Payment[[#This Row],[Payment_Code]]="N",My_Payment[[#This Row],[Total AMT]],0))</f>
        <v>0</v>
      </c>
    </row>
    <row r="367" spans="1:10">
      <c r="A367" s="38">
        <v>44609</v>
      </c>
      <c r="B367" s="37" t="s">
        <v>348</v>
      </c>
      <c r="C367" s="37" t="s">
        <v>209</v>
      </c>
      <c r="D367" s="37" t="s">
        <v>350</v>
      </c>
      <c r="E367" s="37" t="s">
        <v>306</v>
      </c>
      <c r="F367" s="38">
        <v>44621</v>
      </c>
      <c r="G367" s="37" t="s">
        <v>215</v>
      </c>
      <c r="H367" s="40">
        <v>320</v>
      </c>
      <c r="I367" s="39">
        <f>IF(My_Payment[[#This Row],[Payment_Code]]="S",My_Payment[[#This Row],[Total AMT]]/2,IF(My_Payment[[#This Row],[Payment_Code]]="P",My_Payment[[#This Row],[Total AMT]],0))</f>
        <v>320</v>
      </c>
      <c r="J367" s="39">
        <f>IF(My_Payment[[#This Row],[Payment_Code]]="S",My_Payment[[#This Row],[Total AMT]]/2,IF(My_Payment[[#This Row],[Payment_Code]]="N",My_Payment[[#This Row],[Total AMT]],0))</f>
        <v>0</v>
      </c>
    </row>
    <row r="368" spans="1:10">
      <c r="A368" s="38">
        <v>44637</v>
      </c>
      <c r="B368" s="37" t="s">
        <v>348</v>
      </c>
      <c r="C368" s="37" t="s">
        <v>209</v>
      </c>
      <c r="D368" s="37" t="s">
        <v>350</v>
      </c>
      <c r="E368" s="37" t="s">
        <v>307</v>
      </c>
      <c r="F368" s="38">
        <v>44652</v>
      </c>
      <c r="G368" s="37" t="s">
        <v>215</v>
      </c>
      <c r="H368" s="40">
        <v>320</v>
      </c>
      <c r="I368" s="39">
        <f>IF(My_Payment[[#This Row],[Payment_Code]]="S",My_Payment[[#This Row],[Total AMT]]/2,IF(My_Payment[[#This Row],[Payment_Code]]="P",My_Payment[[#This Row],[Total AMT]],0))</f>
        <v>320</v>
      </c>
      <c r="J368" s="39">
        <f>IF(My_Payment[[#This Row],[Payment_Code]]="S",My_Payment[[#This Row],[Total AMT]]/2,IF(My_Payment[[#This Row],[Payment_Code]]="N",My_Payment[[#This Row],[Total AMT]],0))</f>
        <v>0</v>
      </c>
    </row>
    <row r="369" spans="1:10">
      <c r="A369" s="38">
        <v>44668</v>
      </c>
      <c r="B369" s="37" t="s">
        <v>348</v>
      </c>
      <c r="C369" s="37" t="s">
        <v>209</v>
      </c>
      <c r="D369" s="37" t="s">
        <v>350</v>
      </c>
      <c r="E369" s="37" t="s">
        <v>308</v>
      </c>
      <c r="F369" s="38">
        <v>44682</v>
      </c>
      <c r="G369" s="37" t="s">
        <v>215</v>
      </c>
      <c r="H369" s="40">
        <v>320</v>
      </c>
      <c r="I369" s="39">
        <f>IF(My_Payment[[#This Row],[Payment_Code]]="S",My_Payment[[#This Row],[Total AMT]]/2,IF(My_Payment[[#This Row],[Payment_Code]]="P",My_Payment[[#This Row],[Total AMT]],0))</f>
        <v>320</v>
      </c>
      <c r="J369" s="39">
        <f>IF(My_Payment[[#This Row],[Payment_Code]]="S",My_Payment[[#This Row],[Total AMT]]/2,IF(My_Payment[[#This Row],[Payment_Code]]="N",My_Payment[[#This Row],[Total AMT]],0))</f>
        <v>0</v>
      </c>
    </row>
    <row r="370" spans="1:10">
      <c r="A370" s="38">
        <v>44698</v>
      </c>
      <c r="B370" s="37" t="s">
        <v>348</v>
      </c>
      <c r="C370" s="37" t="s">
        <v>209</v>
      </c>
      <c r="D370" s="37" t="s">
        <v>350</v>
      </c>
      <c r="E370" s="37" t="s">
        <v>309</v>
      </c>
      <c r="F370" s="38">
        <v>44713</v>
      </c>
      <c r="G370" s="37" t="s">
        <v>215</v>
      </c>
      <c r="H370" s="40">
        <v>320</v>
      </c>
      <c r="I370" s="39">
        <f>IF(My_Payment[[#This Row],[Payment_Code]]="S",My_Payment[[#This Row],[Total AMT]]/2,IF(My_Payment[[#This Row],[Payment_Code]]="P",My_Payment[[#This Row],[Total AMT]],0))</f>
        <v>320</v>
      </c>
      <c r="J370" s="39">
        <f>IF(My_Payment[[#This Row],[Payment_Code]]="S",My_Payment[[#This Row],[Total AMT]]/2,IF(My_Payment[[#This Row],[Payment_Code]]="N",My_Payment[[#This Row],[Total AMT]],0))</f>
        <v>0</v>
      </c>
    </row>
    <row r="371" spans="1:10">
      <c r="A371" s="38">
        <v>44729</v>
      </c>
      <c r="B371" s="37" t="s">
        <v>348</v>
      </c>
      <c r="C371" s="37" t="s">
        <v>209</v>
      </c>
      <c r="D371" s="37" t="s">
        <v>350</v>
      </c>
      <c r="E371" s="37" t="s">
        <v>310</v>
      </c>
      <c r="F371" s="38">
        <v>44743</v>
      </c>
      <c r="G371" s="37" t="s">
        <v>215</v>
      </c>
      <c r="H371" s="40">
        <v>320</v>
      </c>
      <c r="I371" s="39">
        <f>IF(My_Payment[[#This Row],[Payment_Code]]="S",My_Payment[[#This Row],[Total AMT]]/2,IF(My_Payment[[#This Row],[Payment_Code]]="P",My_Payment[[#This Row],[Total AMT]],0))</f>
        <v>320</v>
      </c>
      <c r="J371" s="39">
        <f>IF(My_Payment[[#This Row],[Payment_Code]]="S",My_Payment[[#This Row],[Total AMT]]/2,IF(My_Payment[[#This Row],[Payment_Code]]="N",My_Payment[[#This Row],[Total AMT]],0))</f>
        <v>0</v>
      </c>
    </row>
    <row r="372" spans="1:10">
      <c r="A372" s="38">
        <v>44759</v>
      </c>
      <c r="B372" s="37" t="s">
        <v>348</v>
      </c>
      <c r="C372" s="37" t="s">
        <v>209</v>
      </c>
      <c r="D372" s="37" t="s">
        <v>350</v>
      </c>
      <c r="E372" s="37" t="s">
        <v>311</v>
      </c>
      <c r="F372" s="38">
        <v>44774</v>
      </c>
      <c r="G372" s="37" t="s">
        <v>215</v>
      </c>
      <c r="H372" s="40">
        <v>320</v>
      </c>
      <c r="I372" s="39">
        <f>IF(My_Payment[[#This Row],[Payment_Code]]="S",My_Payment[[#This Row],[Total AMT]]/2,IF(My_Payment[[#This Row],[Payment_Code]]="P",My_Payment[[#This Row],[Total AMT]],0))</f>
        <v>320</v>
      </c>
      <c r="J372" s="39">
        <f>IF(My_Payment[[#This Row],[Payment_Code]]="S",My_Payment[[#This Row],[Total AMT]]/2,IF(My_Payment[[#This Row],[Payment_Code]]="N",My_Payment[[#This Row],[Total AMT]],0))</f>
        <v>0</v>
      </c>
    </row>
    <row r="373" spans="1:10">
      <c r="A373" s="38">
        <v>44790</v>
      </c>
      <c r="B373" s="37" t="s">
        <v>348</v>
      </c>
      <c r="C373" s="37" t="s">
        <v>209</v>
      </c>
      <c r="D373" s="37" t="s">
        <v>350</v>
      </c>
      <c r="E373" s="37" t="s">
        <v>312</v>
      </c>
      <c r="F373" s="38">
        <v>44805</v>
      </c>
      <c r="G373" s="37" t="s">
        <v>215</v>
      </c>
      <c r="H373" s="40">
        <v>320</v>
      </c>
      <c r="I373" s="39">
        <f>IF(My_Payment[[#This Row],[Payment_Code]]="S",My_Payment[[#This Row],[Total AMT]]/2,IF(My_Payment[[#This Row],[Payment_Code]]="P",My_Payment[[#This Row],[Total AMT]],0))</f>
        <v>320</v>
      </c>
      <c r="J373" s="39">
        <f>IF(My_Payment[[#This Row],[Payment_Code]]="S",My_Payment[[#This Row],[Total AMT]]/2,IF(My_Payment[[#This Row],[Payment_Code]]="N",My_Payment[[#This Row],[Total AMT]],0))</f>
        <v>0</v>
      </c>
    </row>
    <row r="374" spans="1:10">
      <c r="A374" s="38">
        <v>44821</v>
      </c>
      <c r="B374" s="37" t="s">
        <v>348</v>
      </c>
      <c r="C374" s="37" t="s">
        <v>209</v>
      </c>
      <c r="D374" s="37" t="s">
        <v>350</v>
      </c>
      <c r="E374" s="37" t="s">
        <v>313</v>
      </c>
      <c r="F374" s="38">
        <v>44835</v>
      </c>
      <c r="G374" s="37" t="s">
        <v>215</v>
      </c>
      <c r="H374" s="40">
        <v>320</v>
      </c>
      <c r="I374" s="39">
        <f>IF(My_Payment[[#This Row],[Payment_Code]]="S",My_Payment[[#This Row],[Total AMT]]/2,IF(My_Payment[[#This Row],[Payment_Code]]="P",My_Payment[[#This Row],[Total AMT]],0))</f>
        <v>320</v>
      </c>
      <c r="J374" s="39">
        <f>IF(My_Payment[[#This Row],[Payment_Code]]="S",My_Payment[[#This Row],[Total AMT]]/2,IF(My_Payment[[#This Row],[Payment_Code]]="N",My_Payment[[#This Row],[Total AMT]],0))</f>
        <v>0</v>
      </c>
    </row>
    <row r="375" spans="1:10">
      <c r="A375" s="38">
        <v>44851</v>
      </c>
      <c r="B375" s="37" t="s">
        <v>348</v>
      </c>
      <c r="C375" s="37" t="s">
        <v>209</v>
      </c>
      <c r="D375" s="37" t="s">
        <v>350</v>
      </c>
      <c r="E375" s="37" t="s">
        <v>314</v>
      </c>
      <c r="F375" s="38">
        <v>44866</v>
      </c>
      <c r="G375" s="37" t="s">
        <v>215</v>
      </c>
      <c r="H375" s="40">
        <v>320</v>
      </c>
      <c r="I375" s="39">
        <f>IF(My_Payment[[#This Row],[Payment_Code]]="S",My_Payment[[#This Row],[Total AMT]]/2,IF(My_Payment[[#This Row],[Payment_Code]]="P",My_Payment[[#This Row],[Total AMT]],0))</f>
        <v>320</v>
      </c>
      <c r="J375" s="39">
        <f>IF(My_Payment[[#This Row],[Payment_Code]]="S",My_Payment[[#This Row],[Total AMT]]/2,IF(My_Payment[[#This Row],[Payment_Code]]="N",My_Payment[[#This Row],[Total AMT]],0))</f>
        <v>0</v>
      </c>
    </row>
    <row r="376" spans="1:10">
      <c r="A376" s="38">
        <v>44882</v>
      </c>
      <c r="B376" s="37" t="s">
        <v>348</v>
      </c>
      <c r="C376" s="37" t="s">
        <v>209</v>
      </c>
      <c r="D376" s="37" t="s">
        <v>350</v>
      </c>
      <c r="E376" s="37" t="s">
        <v>112</v>
      </c>
      <c r="F376" s="38">
        <v>44896</v>
      </c>
      <c r="G376" s="37" t="s">
        <v>215</v>
      </c>
      <c r="H376" s="40">
        <v>320</v>
      </c>
      <c r="I376" s="39">
        <f>IF(My_Payment[[#This Row],[Payment_Code]]="S",My_Payment[[#This Row],[Total AMT]]/2,IF(My_Payment[[#This Row],[Payment_Code]]="P",My_Payment[[#This Row],[Total AMT]],0))</f>
        <v>320</v>
      </c>
      <c r="J376" s="39">
        <f>IF(My_Payment[[#This Row],[Payment_Code]]="S",My_Payment[[#This Row],[Total AMT]]/2,IF(My_Payment[[#This Row],[Payment_Code]]="N",My_Payment[[#This Row],[Total AMT]],0))</f>
        <v>0</v>
      </c>
    </row>
    <row r="377" spans="1:10">
      <c r="A377" s="38">
        <v>44640</v>
      </c>
      <c r="B377" s="37" t="s">
        <v>348</v>
      </c>
      <c r="C377" s="37" t="s">
        <v>209</v>
      </c>
      <c r="D377" s="37" t="s">
        <v>351</v>
      </c>
      <c r="E377" s="37" t="s">
        <v>211</v>
      </c>
      <c r="F377" s="38">
        <v>44682</v>
      </c>
      <c r="G377" s="37" t="s">
        <v>215</v>
      </c>
      <c r="H377" s="40">
        <v>1183</v>
      </c>
      <c r="I377" s="39">
        <f>IF(My_Payment[[#This Row],[Payment_Code]]="S",My_Payment[[#This Row],[Total AMT]]/2,IF(My_Payment[[#This Row],[Payment_Code]]="P",My_Payment[[#This Row],[Total AMT]],0))</f>
        <v>1183</v>
      </c>
      <c r="J377" s="39">
        <f>IF(My_Payment[[#This Row],[Payment_Code]]="S",My_Payment[[#This Row],[Total AMT]]/2,IF(My_Payment[[#This Row],[Payment_Code]]="N",My_Payment[[#This Row],[Total AMT]],0))</f>
        <v>0</v>
      </c>
    </row>
    <row r="378" spans="1:10">
      <c r="A378" s="38">
        <v>44698</v>
      </c>
      <c r="B378" s="37" t="s">
        <v>348</v>
      </c>
      <c r="C378" s="37" t="s">
        <v>209</v>
      </c>
      <c r="D378" s="37" t="s">
        <v>20</v>
      </c>
      <c r="E378" s="37" t="s">
        <v>211</v>
      </c>
      <c r="F378" s="38">
        <v>44713</v>
      </c>
      <c r="G378" s="37" t="s">
        <v>215</v>
      </c>
      <c r="H378" s="40">
        <v>-7.95</v>
      </c>
      <c r="I378" s="39">
        <f>IF(My_Payment[[#This Row],[Payment_Code]]="S",My_Payment[[#This Row],[Total AMT]]/2,IF(My_Payment[[#This Row],[Payment_Code]]="P",My_Payment[[#This Row],[Total AMT]],0))</f>
        <v>-7.95</v>
      </c>
      <c r="J378" s="39">
        <f>IF(My_Payment[[#This Row],[Payment_Code]]="S",My_Payment[[#This Row],[Total AMT]]/2,IF(My_Payment[[#This Row],[Payment_Code]]="N",My_Payment[[#This Row],[Total AMT]],0))</f>
        <v>0</v>
      </c>
    </row>
    <row r="379" spans="1:10">
      <c r="A379" s="38">
        <v>44729</v>
      </c>
      <c r="B379" s="37" t="s">
        <v>348</v>
      </c>
      <c r="C379" s="37" t="s">
        <v>209</v>
      </c>
      <c r="D379" s="37" t="s">
        <v>20</v>
      </c>
      <c r="E379" s="37" t="s">
        <v>211</v>
      </c>
      <c r="F379" s="38">
        <v>44743</v>
      </c>
      <c r="G379" s="37" t="s">
        <v>215</v>
      </c>
      <c r="H379" s="40">
        <v>-7.74</v>
      </c>
      <c r="I379" s="39">
        <f>IF(My_Payment[[#This Row],[Payment_Code]]="S",My_Payment[[#This Row],[Total AMT]]/2,IF(My_Payment[[#This Row],[Payment_Code]]="P",My_Payment[[#This Row],[Total AMT]],0))</f>
        <v>-7.74</v>
      </c>
      <c r="J379" s="39">
        <f>IF(My_Payment[[#This Row],[Payment_Code]]="S",My_Payment[[#This Row],[Total AMT]]/2,IF(My_Payment[[#This Row],[Payment_Code]]="N",My_Payment[[#This Row],[Total AMT]],0))</f>
        <v>0</v>
      </c>
    </row>
    <row r="380" spans="1:10">
      <c r="A380" s="38">
        <v>44759</v>
      </c>
      <c r="B380" s="37" t="s">
        <v>348</v>
      </c>
      <c r="C380" s="37" t="s">
        <v>209</v>
      </c>
      <c r="D380" s="37" t="s">
        <v>20</v>
      </c>
      <c r="E380" s="37" t="s">
        <v>211</v>
      </c>
      <c r="F380" s="38">
        <v>44774</v>
      </c>
      <c r="G380" s="37" t="s">
        <v>215</v>
      </c>
      <c r="H380" s="40">
        <v>-7.88</v>
      </c>
      <c r="I380" s="39">
        <f>IF(My_Payment[[#This Row],[Payment_Code]]="S",My_Payment[[#This Row],[Total AMT]]/2,IF(My_Payment[[#This Row],[Payment_Code]]="P",My_Payment[[#This Row],[Total AMT]],0))</f>
        <v>-7.88</v>
      </c>
      <c r="J380" s="39">
        <f>IF(My_Payment[[#This Row],[Payment_Code]]="S",My_Payment[[#This Row],[Total AMT]]/2,IF(My_Payment[[#This Row],[Payment_Code]]="N",My_Payment[[#This Row],[Total AMT]],0))</f>
        <v>0</v>
      </c>
    </row>
    <row r="381" spans="1:10">
      <c r="A381" s="38">
        <v>44790</v>
      </c>
      <c r="B381" s="37" t="s">
        <v>348</v>
      </c>
      <c r="C381" s="37" t="s">
        <v>209</v>
      </c>
      <c r="D381" s="37" t="s">
        <v>20</v>
      </c>
      <c r="E381" s="37" t="s">
        <v>211</v>
      </c>
      <c r="F381" s="38">
        <v>44805</v>
      </c>
      <c r="G381" s="37" t="s">
        <v>215</v>
      </c>
      <c r="H381" s="40">
        <v>-7.88</v>
      </c>
      <c r="I381" s="39">
        <f>IF(My_Payment[[#This Row],[Payment_Code]]="S",My_Payment[[#This Row],[Total AMT]]/2,IF(My_Payment[[#This Row],[Payment_Code]]="P",My_Payment[[#This Row],[Total AMT]],0))</f>
        <v>-7.88</v>
      </c>
      <c r="J381" s="39">
        <f>IF(My_Payment[[#This Row],[Payment_Code]]="S",My_Payment[[#This Row],[Total AMT]]/2,IF(My_Payment[[#This Row],[Payment_Code]]="N",My_Payment[[#This Row],[Total AMT]],0))</f>
        <v>0</v>
      </c>
    </row>
    <row r="382" spans="1:10">
      <c r="A382" s="38">
        <v>44821</v>
      </c>
      <c r="B382" s="37" t="s">
        <v>348</v>
      </c>
      <c r="C382" s="37" t="s">
        <v>209</v>
      </c>
      <c r="D382" s="37" t="s">
        <v>20</v>
      </c>
      <c r="E382" s="37" t="s">
        <v>211</v>
      </c>
      <c r="F382" s="38">
        <v>44835</v>
      </c>
      <c r="G382" s="37" t="s">
        <v>215</v>
      </c>
      <c r="H382" s="40">
        <v>-10.79</v>
      </c>
      <c r="I382" s="39">
        <f>IF(My_Payment[[#This Row],[Payment_Code]]="S",My_Payment[[#This Row],[Total AMT]]/2,IF(My_Payment[[#This Row],[Payment_Code]]="P",My_Payment[[#This Row],[Total AMT]],0))</f>
        <v>-10.79</v>
      </c>
      <c r="J382" s="39">
        <f>IF(My_Payment[[#This Row],[Payment_Code]]="S",My_Payment[[#This Row],[Total AMT]]/2,IF(My_Payment[[#This Row],[Payment_Code]]="N",My_Payment[[#This Row],[Total AMT]],0))</f>
        <v>0</v>
      </c>
    </row>
    <row r="383" spans="1:10">
      <c r="A383" s="38">
        <v>44851</v>
      </c>
      <c r="B383" s="37" t="s">
        <v>348</v>
      </c>
      <c r="C383" s="37" t="s">
        <v>209</v>
      </c>
      <c r="D383" s="37" t="s">
        <v>20</v>
      </c>
      <c r="E383" s="37" t="s">
        <v>211</v>
      </c>
      <c r="F383" s="38">
        <v>44866</v>
      </c>
      <c r="G383" s="37" t="s">
        <v>215</v>
      </c>
      <c r="H383" s="40">
        <v>-7.88</v>
      </c>
      <c r="I383" s="39">
        <f>IF(My_Payment[[#This Row],[Payment_Code]]="S",My_Payment[[#This Row],[Total AMT]]/2,IF(My_Payment[[#This Row],[Payment_Code]]="P",My_Payment[[#This Row],[Total AMT]],0))</f>
        <v>-7.88</v>
      </c>
      <c r="J383" s="39">
        <f>IF(My_Payment[[#This Row],[Payment_Code]]="S",My_Payment[[#This Row],[Total AMT]]/2,IF(My_Payment[[#This Row],[Payment_Code]]="N",My_Payment[[#This Row],[Total AMT]],0))</f>
        <v>0</v>
      </c>
    </row>
    <row r="384" spans="1:10">
      <c r="A384" s="38">
        <v>44882</v>
      </c>
      <c r="B384" s="37" t="s">
        <v>348</v>
      </c>
      <c r="C384" s="37" t="s">
        <v>209</v>
      </c>
      <c r="D384" s="37" t="s">
        <v>20</v>
      </c>
      <c r="E384" s="37" t="s">
        <v>211</v>
      </c>
      <c r="F384" s="38">
        <v>44896</v>
      </c>
      <c r="G384" s="37" t="s">
        <v>215</v>
      </c>
      <c r="H384" s="40">
        <v>-7.88</v>
      </c>
      <c r="I384" s="39">
        <f>IF(My_Payment[[#This Row],[Payment_Code]]="S",My_Payment[[#This Row],[Total AMT]]/2,IF(My_Payment[[#This Row],[Payment_Code]]="P",My_Payment[[#This Row],[Total AMT]],0))</f>
        <v>-7.88</v>
      </c>
      <c r="J384" s="39">
        <f>IF(My_Payment[[#This Row],[Payment_Code]]="S",My_Payment[[#This Row],[Total AMT]]/2,IF(My_Payment[[#This Row],[Payment_Code]]="N",My_Payment[[#This Row],[Total AMT]],0))</f>
        <v>0</v>
      </c>
    </row>
    <row r="385" spans="1:10">
      <c r="A385" s="38">
        <v>44912</v>
      </c>
      <c r="B385" s="37" t="s">
        <v>348</v>
      </c>
      <c r="C385" s="37" t="s">
        <v>209</v>
      </c>
      <c r="D385" s="37" t="s">
        <v>20</v>
      </c>
      <c r="E385" s="37" t="s">
        <v>211</v>
      </c>
      <c r="F385" s="38">
        <v>44927</v>
      </c>
      <c r="G385" s="37" t="s">
        <v>215</v>
      </c>
      <c r="H385" s="40">
        <v>-7.08</v>
      </c>
      <c r="I385" s="39">
        <f>IF(My_Payment[[#This Row],[Payment_Code]]="S",My_Payment[[#This Row],[Total AMT]]/2,IF(My_Payment[[#This Row],[Payment_Code]]="P",My_Payment[[#This Row],[Total AMT]],0))</f>
        <v>-7.08</v>
      </c>
      <c r="J385" s="39">
        <f>IF(My_Payment[[#This Row],[Payment_Code]]="S",My_Payment[[#This Row],[Total AMT]]/2,IF(My_Payment[[#This Row],[Payment_Code]]="N",My_Payment[[#This Row],[Total AMT]],0))</f>
        <v>0</v>
      </c>
    </row>
    <row r="386" spans="1:10">
      <c r="A386" s="38">
        <v>44807</v>
      </c>
      <c r="B386" s="37" t="s">
        <v>348</v>
      </c>
      <c r="C386" s="37" t="s">
        <v>209</v>
      </c>
      <c r="D386" s="37" t="s">
        <v>352</v>
      </c>
      <c r="E386" s="37" t="s">
        <v>211</v>
      </c>
      <c r="F386" s="38">
        <v>44835</v>
      </c>
      <c r="G386" s="37" t="s">
        <v>215</v>
      </c>
      <c r="H386" s="40">
        <v>500</v>
      </c>
      <c r="I386" s="39">
        <f>IF(My_Payment[[#This Row],[Payment_Code]]="S",My_Payment[[#This Row],[Total AMT]]/2,IF(My_Payment[[#This Row],[Payment_Code]]="P",My_Payment[[#This Row],[Total AMT]],0))</f>
        <v>500</v>
      </c>
      <c r="J386" s="39">
        <f>IF(My_Payment[[#This Row],[Payment_Code]]="S",My_Payment[[#This Row],[Total AMT]]/2,IF(My_Payment[[#This Row],[Payment_Code]]="N",My_Payment[[#This Row],[Total AMT]],0))</f>
        <v>0</v>
      </c>
    </row>
    <row r="387" spans="1:10">
      <c r="A387" s="38">
        <v>44808</v>
      </c>
      <c r="B387" s="37" t="s">
        <v>348</v>
      </c>
      <c r="C387" s="37" t="s">
        <v>209</v>
      </c>
      <c r="D387" s="37" t="s">
        <v>353</v>
      </c>
      <c r="E387" s="37" t="s">
        <v>211</v>
      </c>
      <c r="F387" s="38">
        <v>44835</v>
      </c>
      <c r="G387" s="37" t="s">
        <v>215</v>
      </c>
      <c r="H387" s="40">
        <v>1999</v>
      </c>
      <c r="I387" s="39">
        <f>IF(My_Payment[[#This Row],[Payment_Code]]="S",My_Payment[[#This Row],[Total AMT]]/2,IF(My_Payment[[#This Row],[Payment_Code]]="P",My_Payment[[#This Row],[Total AMT]],0))</f>
        <v>1999</v>
      </c>
      <c r="J387" s="39">
        <f>IF(My_Payment[[#This Row],[Payment_Code]]="S",My_Payment[[#This Row],[Total AMT]]/2,IF(My_Payment[[#This Row],[Payment_Code]]="N",My_Payment[[#This Row],[Total AMT]],0))</f>
        <v>0</v>
      </c>
    </row>
    <row r="388" spans="1:10">
      <c r="A388" s="38">
        <v>44819</v>
      </c>
      <c r="B388" s="37" t="s">
        <v>354</v>
      </c>
      <c r="C388" s="37" t="s">
        <v>248</v>
      </c>
      <c r="D388" s="37" t="s">
        <v>48</v>
      </c>
      <c r="E388" s="37" t="s">
        <v>211</v>
      </c>
      <c r="F388" s="38">
        <v>44835</v>
      </c>
      <c r="G388" s="37" t="s">
        <v>215</v>
      </c>
      <c r="H388" s="40">
        <v>854.93</v>
      </c>
      <c r="I388" s="39">
        <f>IF(My_Payment[[#This Row],[Payment_Code]]="S",My_Payment[[#This Row],[Total AMT]]/2,IF(My_Payment[[#This Row],[Payment_Code]]="P",My_Payment[[#This Row],[Total AMT]],0))</f>
        <v>854.93</v>
      </c>
      <c r="J388" s="39">
        <f>IF(My_Payment[[#This Row],[Payment_Code]]="S",My_Payment[[#This Row],[Total AMT]]/2,IF(My_Payment[[#This Row],[Payment_Code]]="N",My_Payment[[#This Row],[Total AMT]],0))</f>
        <v>0</v>
      </c>
    </row>
    <row r="389" spans="1:10">
      <c r="A389" s="38">
        <v>44819</v>
      </c>
      <c r="B389" s="37" t="s">
        <v>354</v>
      </c>
      <c r="C389" s="37" t="s">
        <v>248</v>
      </c>
      <c r="D389" s="37" t="s">
        <v>49</v>
      </c>
      <c r="E389" s="37" t="s">
        <v>211</v>
      </c>
      <c r="F389" s="38">
        <v>44835</v>
      </c>
      <c r="G389" s="37" t="s">
        <v>215</v>
      </c>
      <c r="H389" s="40">
        <v>1603.93</v>
      </c>
      <c r="I389" s="39">
        <f>IF(My_Payment[[#This Row],[Payment_Code]]="S",My_Payment[[#This Row],[Total AMT]]/2,IF(My_Payment[[#This Row],[Payment_Code]]="P",My_Payment[[#This Row],[Total AMT]],0))</f>
        <v>1603.93</v>
      </c>
      <c r="J389" s="39">
        <f>IF(My_Payment[[#This Row],[Payment_Code]]="S",My_Payment[[#This Row],[Total AMT]]/2,IF(My_Payment[[#This Row],[Payment_Code]]="N",My_Payment[[#This Row],[Total AMT]],0))</f>
        <v>0</v>
      </c>
    </row>
    <row r="390" spans="1:10">
      <c r="A390" s="38">
        <v>44819</v>
      </c>
      <c r="B390" s="37" t="s">
        <v>354</v>
      </c>
      <c r="C390" s="37" t="s">
        <v>248</v>
      </c>
      <c r="D390" s="37" t="s">
        <v>81</v>
      </c>
      <c r="E390" s="37" t="s">
        <v>211</v>
      </c>
      <c r="F390" s="38">
        <v>44835</v>
      </c>
      <c r="G390" s="37" t="s">
        <v>215</v>
      </c>
      <c r="H390" s="40">
        <v>373.43</v>
      </c>
      <c r="I390" s="39">
        <f>IF(My_Payment[[#This Row],[Payment_Code]]="S",My_Payment[[#This Row],[Total AMT]]/2,IF(My_Payment[[#This Row],[Payment_Code]]="P",My_Payment[[#This Row],[Total AMT]],0))</f>
        <v>373.43</v>
      </c>
      <c r="J390" s="39">
        <f>IF(My_Payment[[#This Row],[Payment_Code]]="S",My_Payment[[#This Row],[Total AMT]]/2,IF(My_Payment[[#This Row],[Payment_Code]]="N",My_Payment[[#This Row],[Total AMT]],0))</f>
        <v>0</v>
      </c>
    </row>
    <row r="391" spans="1:10">
      <c r="A391" s="38">
        <v>44852</v>
      </c>
      <c r="B391" s="37" t="s">
        <v>354</v>
      </c>
      <c r="C391" s="37" t="s">
        <v>248</v>
      </c>
      <c r="D391" s="37" t="s">
        <v>355</v>
      </c>
      <c r="E391" s="37" t="s">
        <v>211</v>
      </c>
      <c r="F391" s="38">
        <v>44896</v>
      </c>
      <c r="G391" s="37" t="s">
        <v>215</v>
      </c>
      <c r="H391" s="40">
        <v>200</v>
      </c>
      <c r="I391" s="39">
        <f>IF(My_Payment[[#This Row],[Payment_Code]]="S",My_Payment[[#This Row],[Total AMT]]/2,IF(My_Payment[[#This Row],[Payment_Code]]="P",My_Payment[[#This Row],[Total AMT]],0))</f>
        <v>200</v>
      </c>
      <c r="J391" s="39">
        <f>IF(My_Payment[[#This Row],[Payment_Code]]="S",My_Payment[[#This Row],[Total AMT]]/2,IF(My_Payment[[#This Row],[Payment_Code]]="N",My_Payment[[#This Row],[Total AMT]],0))</f>
        <v>0</v>
      </c>
    </row>
    <row r="392" spans="1:10">
      <c r="A392" s="38">
        <v>44861</v>
      </c>
      <c r="B392" s="37" t="s">
        <v>354</v>
      </c>
      <c r="C392" s="37" t="s">
        <v>248</v>
      </c>
      <c r="D392" s="37" t="s">
        <v>356</v>
      </c>
      <c r="E392" s="37" t="s">
        <v>211</v>
      </c>
      <c r="F392" s="38">
        <v>44896</v>
      </c>
      <c r="G392" s="37" t="s">
        <v>215</v>
      </c>
      <c r="H392" s="40">
        <v>229</v>
      </c>
      <c r="I392" s="39">
        <f>IF(My_Payment[[#This Row],[Payment_Code]]="S",My_Payment[[#This Row],[Total AMT]]/2,IF(My_Payment[[#This Row],[Payment_Code]]="P",My_Payment[[#This Row],[Total AMT]],0))</f>
        <v>229</v>
      </c>
      <c r="J392" s="39">
        <f>IF(My_Payment[[#This Row],[Payment_Code]]="S",My_Payment[[#This Row],[Total AMT]]/2,IF(My_Payment[[#This Row],[Payment_Code]]="N",My_Payment[[#This Row],[Total AMT]],0))</f>
        <v>0</v>
      </c>
    </row>
    <row r="393" spans="1:10">
      <c r="A393" s="38">
        <v>44883</v>
      </c>
      <c r="B393" s="37" t="s">
        <v>354</v>
      </c>
      <c r="C393" s="37" t="s">
        <v>248</v>
      </c>
      <c r="D393" s="37" t="s">
        <v>355</v>
      </c>
      <c r="E393" s="37" t="s">
        <v>211</v>
      </c>
      <c r="F393" s="38">
        <v>44927</v>
      </c>
      <c r="G393" s="37" t="s">
        <v>215</v>
      </c>
      <c r="H393" s="40">
        <v>200</v>
      </c>
      <c r="I393" s="39">
        <f>IF(My_Payment[[#This Row],[Payment_Code]]="S",My_Payment[[#This Row],[Total AMT]]/2,IF(My_Payment[[#This Row],[Payment_Code]]="P",My_Payment[[#This Row],[Total AMT]],0))</f>
        <v>200</v>
      </c>
      <c r="J393" s="39">
        <f>IF(My_Payment[[#This Row],[Payment_Code]]="S",My_Payment[[#This Row],[Total AMT]]/2,IF(My_Payment[[#This Row],[Payment_Code]]="N",My_Payment[[#This Row],[Total AMT]],0))</f>
        <v>0</v>
      </c>
    </row>
    <row r="394" spans="1:10">
      <c r="A394" s="38">
        <v>44892</v>
      </c>
      <c r="B394" s="37" t="s">
        <v>354</v>
      </c>
      <c r="C394" s="37" t="s">
        <v>248</v>
      </c>
      <c r="D394" s="37" t="s">
        <v>356</v>
      </c>
      <c r="E394" s="37" t="s">
        <v>211</v>
      </c>
      <c r="F394" s="38">
        <v>44927</v>
      </c>
      <c r="G394" s="37" t="s">
        <v>215</v>
      </c>
      <c r="H394" s="40">
        <v>322</v>
      </c>
      <c r="I394" s="39">
        <f>IF(My_Payment[[#This Row],[Payment_Code]]="S",My_Payment[[#This Row],[Total AMT]]/2,IF(My_Payment[[#This Row],[Payment_Code]]="P",My_Payment[[#This Row],[Total AMT]],0))</f>
        <v>322</v>
      </c>
      <c r="J394" s="39">
        <f>IF(My_Payment[[#This Row],[Payment_Code]]="S",My_Payment[[#This Row],[Total AMT]]/2,IF(My_Payment[[#This Row],[Payment_Code]]="N",My_Payment[[#This Row],[Total AMT]],0))</f>
        <v>0</v>
      </c>
    </row>
    <row r="395" spans="1:10">
      <c r="A395" s="38">
        <v>44525</v>
      </c>
      <c r="B395" s="37" t="s">
        <v>357</v>
      </c>
      <c r="C395" s="37" t="s">
        <v>248</v>
      </c>
      <c r="D395" s="37" t="s">
        <v>358</v>
      </c>
      <c r="E395" s="37" t="s">
        <v>211</v>
      </c>
      <c r="F395" s="38">
        <v>44566</v>
      </c>
      <c r="G395" s="37" t="s">
        <v>215</v>
      </c>
      <c r="H395" s="40">
        <v>165</v>
      </c>
      <c r="I395" s="39">
        <f>IF(My_Payment[[#This Row],[Payment_Code]]="S",My_Payment[[#This Row],[Total AMT]]/2,IF(My_Payment[[#This Row],[Payment_Code]]="P",My_Payment[[#This Row],[Total AMT]],0))</f>
        <v>165</v>
      </c>
      <c r="J395" s="39">
        <f>IF(My_Payment[[#This Row],[Payment_Code]]="S",My_Payment[[#This Row],[Total AMT]]/2,IF(My_Payment[[#This Row],[Payment_Code]]="N",My_Payment[[#This Row],[Total AMT]],0))</f>
        <v>0</v>
      </c>
    </row>
    <row r="396" spans="1:10">
      <c r="A396" s="38">
        <v>44547</v>
      </c>
      <c r="B396" s="37" t="s">
        <v>357</v>
      </c>
      <c r="C396" s="37" t="s">
        <v>248</v>
      </c>
      <c r="D396" s="37" t="s">
        <v>359</v>
      </c>
      <c r="E396" s="37" t="s">
        <v>211</v>
      </c>
      <c r="F396" s="38">
        <v>44566</v>
      </c>
      <c r="G396" s="37" t="s">
        <v>215</v>
      </c>
      <c r="H396" s="40">
        <v>495</v>
      </c>
      <c r="I396" s="39">
        <f>IF(My_Payment[[#This Row],[Payment_Code]]="S",My_Payment[[#This Row],[Total AMT]]/2,IF(My_Payment[[#This Row],[Payment_Code]]="P",My_Payment[[#This Row],[Total AMT]],0))</f>
        <v>495</v>
      </c>
      <c r="J396" s="39">
        <f>IF(My_Payment[[#This Row],[Payment_Code]]="S",My_Payment[[#This Row],[Total AMT]]/2,IF(My_Payment[[#This Row],[Payment_Code]]="N",My_Payment[[#This Row],[Total AMT]],0))</f>
        <v>0</v>
      </c>
    </row>
    <row r="397" spans="1:10">
      <c r="A397" s="38">
        <v>44561</v>
      </c>
      <c r="B397" s="37" t="s">
        <v>357</v>
      </c>
      <c r="C397" s="37" t="s">
        <v>248</v>
      </c>
      <c r="D397" s="37" t="s">
        <v>360</v>
      </c>
      <c r="E397" s="37" t="s">
        <v>211</v>
      </c>
      <c r="F397" s="38">
        <v>44597</v>
      </c>
      <c r="G397" s="37" t="s">
        <v>215</v>
      </c>
      <c r="H397" s="40">
        <v>110</v>
      </c>
      <c r="I397" s="39">
        <f>IF(My_Payment[[#This Row],[Payment_Code]]="S",My_Payment[[#This Row],[Total AMT]]/2,IF(My_Payment[[#This Row],[Payment_Code]]="P",My_Payment[[#This Row],[Total AMT]],0))</f>
        <v>110</v>
      </c>
      <c r="J397" s="39">
        <f>IF(My_Payment[[#This Row],[Payment_Code]]="S",My_Payment[[#This Row],[Total AMT]]/2,IF(My_Payment[[#This Row],[Payment_Code]]="N",My_Payment[[#This Row],[Total AMT]],0))</f>
        <v>0</v>
      </c>
    </row>
    <row r="398" spans="1:10">
      <c r="A398" s="38">
        <v>44561</v>
      </c>
      <c r="B398" s="37" t="s">
        <v>357</v>
      </c>
      <c r="C398" s="37" t="s">
        <v>248</v>
      </c>
      <c r="D398" s="37" t="s">
        <v>361</v>
      </c>
      <c r="E398" s="37" t="s">
        <v>211</v>
      </c>
      <c r="F398" s="38">
        <v>44597</v>
      </c>
      <c r="G398" s="37" t="s">
        <v>215</v>
      </c>
      <c r="H398" s="40">
        <v>259</v>
      </c>
      <c r="I398" s="39">
        <f>IF(My_Payment[[#This Row],[Payment_Code]]="S",My_Payment[[#This Row],[Total AMT]]/2,IF(My_Payment[[#This Row],[Payment_Code]]="P",My_Payment[[#This Row],[Total AMT]],0))</f>
        <v>259</v>
      </c>
      <c r="J398" s="39">
        <f>IF(My_Payment[[#This Row],[Payment_Code]]="S",My_Payment[[#This Row],[Total AMT]]/2,IF(My_Payment[[#This Row],[Payment_Code]]="N",My_Payment[[#This Row],[Total AMT]],0))</f>
        <v>0</v>
      </c>
    </row>
    <row r="399" spans="1:10">
      <c r="A399" s="38">
        <v>44584</v>
      </c>
      <c r="B399" s="37" t="s">
        <v>357</v>
      </c>
      <c r="C399" s="37" t="s">
        <v>248</v>
      </c>
      <c r="D399" s="37" t="s">
        <v>362</v>
      </c>
      <c r="E399" s="37" t="s">
        <v>211</v>
      </c>
      <c r="F399" s="38">
        <v>44597</v>
      </c>
      <c r="G399" s="37" t="s">
        <v>215</v>
      </c>
      <c r="H399" s="40">
        <v>315</v>
      </c>
      <c r="I399" s="39">
        <f>IF(My_Payment[[#This Row],[Payment_Code]]="S",My_Payment[[#This Row],[Total AMT]]/2,IF(My_Payment[[#This Row],[Payment_Code]]="P",My_Payment[[#This Row],[Total AMT]],0))</f>
        <v>315</v>
      </c>
      <c r="J399" s="39">
        <f>IF(My_Payment[[#This Row],[Payment_Code]]="S",My_Payment[[#This Row],[Total AMT]]/2,IF(My_Payment[[#This Row],[Payment_Code]]="N",My_Payment[[#This Row],[Total AMT]],0))</f>
        <v>0</v>
      </c>
    </row>
    <row r="400" spans="1:10">
      <c r="A400" s="38">
        <v>44596</v>
      </c>
      <c r="B400" s="37" t="s">
        <v>357</v>
      </c>
      <c r="C400" s="37" t="s">
        <v>248</v>
      </c>
      <c r="D400" s="37" t="s">
        <v>363</v>
      </c>
      <c r="E400" s="37" t="s">
        <v>211</v>
      </c>
      <c r="F400" s="38">
        <v>44625</v>
      </c>
      <c r="G400" s="37" t="s">
        <v>215</v>
      </c>
      <c r="H400" s="40">
        <v>1874</v>
      </c>
      <c r="I400" s="39">
        <f>IF(My_Payment[[#This Row],[Payment_Code]]="S",My_Payment[[#This Row],[Total AMT]]/2,IF(My_Payment[[#This Row],[Payment_Code]]="P",My_Payment[[#This Row],[Total AMT]],0))</f>
        <v>1874</v>
      </c>
      <c r="J400" s="39">
        <f>IF(My_Payment[[#This Row],[Payment_Code]]="S",My_Payment[[#This Row],[Total AMT]]/2,IF(My_Payment[[#This Row],[Payment_Code]]="N",My_Payment[[#This Row],[Total AMT]],0))</f>
        <v>0</v>
      </c>
    </row>
    <row r="401" spans="1:10">
      <c r="A401" s="38">
        <v>44641</v>
      </c>
      <c r="B401" s="37" t="s">
        <v>357</v>
      </c>
      <c r="C401" s="37" t="s">
        <v>248</v>
      </c>
      <c r="D401" s="37" t="s">
        <v>364</v>
      </c>
      <c r="E401" s="37" t="s">
        <v>211</v>
      </c>
      <c r="F401" s="38">
        <v>44656</v>
      </c>
      <c r="G401" s="37" t="s">
        <v>215</v>
      </c>
      <c r="H401" s="40">
        <v>431</v>
      </c>
      <c r="I401" s="39">
        <f>IF(My_Payment[[#This Row],[Payment_Code]]="S",My_Payment[[#This Row],[Total AMT]]/2,IF(My_Payment[[#This Row],[Payment_Code]]="P",My_Payment[[#This Row],[Total AMT]],0))</f>
        <v>431</v>
      </c>
      <c r="J401" s="39">
        <f>IF(My_Payment[[#This Row],[Payment_Code]]="S",My_Payment[[#This Row],[Total AMT]]/2,IF(My_Payment[[#This Row],[Payment_Code]]="N",My_Payment[[#This Row],[Total AMT]],0))</f>
        <v>0</v>
      </c>
    </row>
    <row r="402" spans="1:10">
      <c r="A402" s="38">
        <v>44671</v>
      </c>
      <c r="B402" s="37" t="s">
        <v>357</v>
      </c>
      <c r="C402" s="37" t="s">
        <v>248</v>
      </c>
      <c r="D402" s="37" t="s">
        <v>59</v>
      </c>
      <c r="E402" s="37" t="s">
        <v>211</v>
      </c>
      <c r="F402" s="38">
        <v>44686</v>
      </c>
      <c r="G402" s="37" t="s">
        <v>215</v>
      </c>
      <c r="H402" s="40">
        <v>452</v>
      </c>
      <c r="I402" s="39">
        <f>IF(My_Payment[[#This Row],[Payment_Code]]="S",My_Payment[[#This Row],[Total AMT]]/2,IF(My_Payment[[#This Row],[Payment_Code]]="P",My_Payment[[#This Row],[Total AMT]],0))</f>
        <v>452</v>
      </c>
      <c r="J402" s="39">
        <f>IF(My_Payment[[#This Row],[Payment_Code]]="S",My_Payment[[#This Row],[Total AMT]]/2,IF(My_Payment[[#This Row],[Payment_Code]]="N",My_Payment[[#This Row],[Total AMT]],0))</f>
        <v>0</v>
      </c>
    </row>
    <row r="403" spans="1:10">
      <c r="A403" s="38">
        <v>44686</v>
      </c>
      <c r="B403" s="37" t="s">
        <v>357</v>
      </c>
      <c r="C403" s="37" t="s">
        <v>248</v>
      </c>
      <c r="D403" s="37" t="s">
        <v>93</v>
      </c>
      <c r="E403" s="37" t="s">
        <v>211</v>
      </c>
      <c r="F403" s="38">
        <v>44717</v>
      </c>
      <c r="G403" s="37" t="s">
        <v>215</v>
      </c>
      <c r="H403" s="40">
        <v>176</v>
      </c>
      <c r="I403" s="39">
        <f>IF(My_Payment[[#This Row],[Payment_Code]]="S",My_Payment[[#This Row],[Total AMT]]/2,IF(My_Payment[[#This Row],[Payment_Code]]="P",My_Payment[[#This Row],[Total AMT]],0))</f>
        <v>176</v>
      </c>
      <c r="J403" s="39">
        <f>IF(My_Payment[[#This Row],[Payment_Code]]="S",My_Payment[[#This Row],[Total AMT]]/2,IF(My_Payment[[#This Row],[Payment_Code]]="N",My_Payment[[#This Row],[Total AMT]],0))</f>
        <v>0</v>
      </c>
    </row>
    <row r="404" spans="1:10">
      <c r="A404" s="38">
        <v>44687</v>
      </c>
      <c r="B404" s="37" t="s">
        <v>357</v>
      </c>
      <c r="C404" s="37" t="s">
        <v>248</v>
      </c>
      <c r="D404" s="37" t="s">
        <v>94</v>
      </c>
      <c r="E404" s="37" t="s">
        <v>211</v>
      </c>
      <c r="F404" s="38">
        <v>44717</v>
      </c>
      <c r="G404" s="37" t="s">
        <v>215</v>
      </c>
      <c r="H404" s="40">
        <v>187</v>
      </c>
      <c r="I404" s="39">
        <f>IF(My_Payment[[#This Row],[Payment_Code]]="S",My_Payment[[#This Row],[Total AMT]]/2,IF(My_Payment[[#This Row],[Payment_Code]]="P",My_Payment[[#This Row],[Total AMT]],0))</f>
        <v>187</v>
      </c>
      <c r="J404" s="39">
        <f>IF(My_Payment[[#This Row],[Payment_Code]]="S",My_Payment[[#This Row],[Total AMT]]/2,IF(My_Payment[[#This Row],[Payment_Code]]="N",My_Payment[[#This Row],[Total AMT]],0))</f>
        <v>0</v>
      </c>
    </row>
    <row r="405" spans="1:10">
      <c r="A405" s="38">
        <v>44688</v>
      </c>
      <c r="B405" s="37" t="s">
        <v>357</v>
      </c>
      <c r="C405" s="37" t="s">
        <v>248</v>
      </c>
      <c r="D405" s="37" t="s">
        <v>95</v>
      </c>
      <c r="E405" s="37" t="s">
        <v>211</v>
      </c>
      <c r="F405" s="38">
        <v>44717</v>
      </c>
      <c r="G405" s="37" t="s">
        <v>215</v>
      </c>
      <c r="H405" s="40">
        <v>124</v>
      </c>
      <c r="I405" s="39">
        <f>IF(My_Payment[[#This Row],[Payment_Code]]="S",My_Payment[[#This Row],[Total AMT]]/2,IF(My_Payment[[#This Row],[Payment_Code]]="P",My_Payment[[#This Row],[Total AMT]],0))</f>
        <v>124</v>
      </c>
      <c r="J405" s="39">
        <f>IF(My_Payment[[#This Row],[Payment_Code]]="S",My_Payment[[#This Row],[Total AMT]]/2,IF(My_Payment[[#This Row],[Payment_Code]]="N",My_Payment[[#This Row],[Total AMT]],0))</f>
        <v>0</v>
      </c>
    </row>
    <row r="406" spans="1:10">
      <c r="A406" s="38">
        <v>44692</v>
      </c>
      <c r="B406" s="37" t="s">
        <v>357</v>
      </c>
      <c r="C406" s="37" t="s">
        <v>248</v>
      </c>
      <c r="D406" s="37" t="s">
        <v>96</v>
      </c>
      <c r="E406" s="37" t="s">
        <v>211</v>
      </c>
      <c r="F406" s="38">
        <v>44717</v>
      </c>
      <c r="G406" s="37" t="s">
        <v>215</v>
      </c>
      <c r="H406" s="40">
        <v>61</v>
      </c>
      <c r="I406" s="39">
        <f>IF(My_Payment[[#This Row],[Payment_Code]]="S",My_Payment[[#This Row],[Total AMT]]/2,IF(My_Payment[[#This Row],[Payment_Code]]="P",My_Payment[[#This Row],[Total AMT]],0))</f>
        <v>61</v>
      </c>
      <c r="J406" s="39">
        <f>IF(My_Payment[[#This Row],[Payment_Code]]="S",My_Payment[[#This Row],[Total AMT]]/2,IF(My_Payment[[#This Row],[Payment_Code]]="N",My_Payment[[#This Row],[Total AMT]],0))</f>
        <v>0</v>
      </c>
    </row>
    <row r="407" spans="1:10">
      <c r="A407" s="38">
        <v>44698</v>
      </c>
      <c r="B407" s="37" t="s">
        <v>357</v>
      </c>
      <c r="C407" s="37" t="s">
        <v>248</v>
      </c>
      <c r="D407" s="37" t="s">
        <v>97</v>
      </c>
      <c r="E407" s="37" t="s">
        <v>211</v>
      </c>
      <c r="F407" s="38">
        <v>44717</v>
      </c>
      <c r="G407" s="37" t="s">
        <v>215</v>
      </c>
      <c r="H407" s="40">
        <v>91</v>
      </c>
      <c r="I407" s="39">
        <f>IF(My_Payment[[#This Row],[Payment_Code]]="S",My_Payment[[#This Row],[Total AMT]]/2,IF(My_Payment[[#This Row],[Payment_Code]]="P",My_Payment[[#This Row],[Total AMT]],0))</f>
        <v>91</v>
      </c>
      <c r="J407" s="39">
        <f>IF(My_Payment[[#This Row],[Payment_Code]]="S",My_Payment[[#This Row],[Total AMT]]/2,IF(My_Payment[[#This Row],[Payment_Code]]="N",My_Payment[[#This Row],[Total AMT]],0))</f>
        <v>0</v>
      </c>
    </row>
    <row r="408" spans="1:10">
      <c r="A408" s="38">
        <v>44700</v>
      </c>
      <c r="B408" s="37" t="s">
        <v>357</v>
      </c>
      <c r="C408" s="37" t="s">
        <v>248</v>
      </c>
      <c r="D408" s="37" t="s">
        <v>98</v>
      </c>
      <c r="E408" s="37" t="s">
        <v>211</v>
      </c>
      <c r="F408" s="38">
        <v>44717</v>
      </c>
      <c r="G408" s="37" t="s">
        <v>215</v>
      </c>
      <c r="H408" s="40">
        <v>107</v>
      </c>
      <c r="I408" s="39">
        <f>IF(My_Payment[[#This Row],[Payment_Code]]="S",My_Payment[[#This Row],[Total AMT]]/2,IF(My_Payment[[#This Row],[Payment_Code]]="P",My_Payment[[#This Row],[Total AMT]],0))</f>
        <v>107</v>
      </c>
      <c r="J408" s="39">
        <f>IF(My_Payment[[#This Row],[Payment_Code]]="S",My_Payment[[#This Row],[Total AMT]]/2,IF(My_Payment[[#This Row],[Payment_Code]]="N",My_Payment[[#This Row],[Total AMT]],0))</f>
        <v>0</v>
      </c>
    </row>
    <row r="409" spans="1:10">
      <c r="A409" s="38">
        <v>44708</v>
      </c>
      <c r="B409" s="37" t="s">
        <v>357</v>
      </c>
      <c r="C409" s="37" t="s">
        <v>248</v>
      </c>
      <c r="D409" s="37" t="s">
        <v>127</v>
      </c>
      <c r="E409" s="37" t="s">
        <v>211</v>
      </c>
      <c r="F409" s="38">
        <v>44747</v>
      </c>
      <c r="G409" s="37" t="s">
        <v>215</v>
      </c>
      <c r="H409" s="40">
        <v>481</v>
      </c>
      <c r="I409" s="39">
        <f>IF(My_Payment[[#This Row],[Payment_Code]]="S",My_Payment[[#This Row],[Total AMT]]/2,IF(My_Payment[[#This Row],[Payment_Code]]="P",My_Payment[[#This Row],[Total AMT]],0))</f>
        <v>481</v>
      </c>
      <c r="J409" s="39">
        <f>IF(My_Payment[[#This Row],[Payment_Code]]="S",My_Payment[[#This Row],[Total AMT]]/2,IF(My_Payment[[#This Row],[Payment_Code]]="N",My_Payment[[#This Row],[Total AMT]],0))</f>
        <v>0</v>
      </c>
    </row>
    <row r="410" spans="1:10">
      <c r="A410" s="38">
        <v>44713</v>
      </c>
      <c r="B410" s="37" t="s">
        <v>357</v>
      </c>
      <c r="C410" s="37" t="s">
        <v>248</v>
      </c>
      <c r="D410" s="37" t="s">
        <v>128</v>
      </c>
      <c r="E410" s="37" t="s">
        <v>211</v>
      </c>
      <c r="F410" s="38">
        <v>44747</v>
      </c>
      <c r="G410" s="37" t="s">
        <v>3</v>
      </c>
      <c r="H410" s="40">
        <v>254</v>
      </c>
      <c r="I410" s="39">
        <f>IF(My_Payment[[#This Row],[Payment_Code]]="S",My_Payment[[#This Row],[Total AMT]]/2,IF(My_Payment[[#This Row],[Payment_Code]]="P",My_Payment[[#This Row],[Total AMT]],0))</f>
        <v>0</v>
      </c>
      <c r="J410" s="39">
        <f>IF(My_Payment[[#This Row],[Payment_Code]]="S",My_Payment[[#This Row],[Total AMT]]/2,IF(My_Payment[[#This Row],[Payment_Code]]="N",My_Payment[[#This Row],[Total AMT]],0))</f>
        <v>254</v>
      </c>
    </row>
    <row r="411" spans="1:10">
      <c r="A411" s="38">
        <v>44713</v>
      </c>
      <c r="B411" s="37" t="s">
        <v>357</v>
      </c>
      <c r="C411" s="37" t="s">
        <v>248</v>
      </c>
      <c r="D411" s="37" t="s">
        <v>129</v>
      </c>
      <c r="E411" s="37" t="s">
        <v>211</v>
      </c>
      <c r="F411" s="38">
        <v>44747</v>
      </c>
      <c r="G411" s="37" t="s">
        <v>215</v>
      </c>
      <c r="H411" s="40">
        <v>163</v>
      </c>
      <c r="I411" s="39">
        <f>IF(My_Payment[[#This Row],[Payment_Code]]="S",My_Payment[[#This Row],[Total AMT]]/2,IF(My_Payment[[#This Row],[Payment_Code]]="P",My_Payment[[#This Row],[Total AMT]],0))</f>
        <v>163</v>
      </c>
      <c r="J411" s="39">
        <f>IF(My_Payment[[#This Row],[Payment_Code]]="S",My_Payment[[#This Row],[Total AMT]]/2,IF(My_Payment[[#This Row],[Payment_Code]]="N",My_Payment[[#This Row],[Total AMT]],0))</f>
        <v>0</v>
      </c>
    </row>
    <row r="412" spans="1:10">
      <c r="A412" s="38">
        <v>44707</v>
      </c>
      <c r="B412" s="37" t="s">
        <v>357</v>
      </c>
      <c r="C412" s="37" t="s">
        <v>248</v>
      </c>
      <c r="D412" s="37" t="s">
        <v>125</v>
      </c>
      <c r="E412" s="37" t="s">
        <v>365</v>
      </c>
      <c r="F412" s="38">
        <v>44747</v>
      </c>
      <c r="G412" s="37" t="s">
        <v>215</v>
      </c>
      <c r="H412" s="40">
        <v>557.79</v>
      </c>
      <c r="I412" s="39">
        <f>IF(My_Payment[[#This Row],[Payment_Code]]="S",My_Payment[[#This Row],[Total AMT]]/2,IF(My_Payment[[#This Row],[Payment_Code]]="P",My_Payment[[#This Row],[Total AMT]],0))</f>
        <v>557.79</v>
      </c>
      <c r="J412" s="39">
        <f>IF(My_Payment[[#This Row],[Payment_Code]]="S",My_Payment[[#This Row],[Total AMT]]/2,IF(My_Payment[[#This Row],[Payment_Code]]="N",My_Payment[[#This Row],[Total AMT]],0))</f>
        <v>0</v>
      </c>
    </row>
    <row r="413" spans="1:10">
      <c r="A413" s="38">
        <v>44707</v>
      </c>
      <c r="B413" s="37" t="s">
        <v>357</v>
      </c>
      <c r="C413" s="37" t="s">
        <v>248</v>
      </c>
      <c r="D413" s="37" t="s">
        <v>125</v>
      </c>
      <c r="E413" s="37" t="s">
        <v>144</v>
      </c>
      <c r="F413" s="38">
        <v>44778</v>
      </c>
      <c r="G413" s="37" t="s">
        <v>215</v>
      </c>
      <c r="H413" s="40">
        <v>562.63</v>
      </c>
      <c r="I413" s="39">
        <f>IF(My_Payment[[#This Row],[Payment_Code]]="S",My_Payment[[#This Row],[Total AMT]]/2,IF(My_Payment[[#This Row],[Payment_Code]]="P",My_Payment[[#This Row],[Total AMT]],0))</f>
        <v>562.63</v>
      </c>
      <c r="J413" s="39">
        <f>IF(My_Payment[[#This Row],[Payment_Code]]="S",My_Payment[[#This Row],[Total AMT]]/2,IF(My_Payment[[#This Row],[Payment_Code]]="N",My_Payment[[#This Row],[Total AMT]],0))</f>
        <v>0</v>
      </c>
    </row>
    <row r="414" spans="1:10">
      <c r="A414" s="38">
        <v>44752</v>
      </c>
      <c r="B414" s="37" t="s">
        <v>357</v>
      </c>
      <c r="C414" s="37" t="s">
        <v>248</v>
      </c>
      <c r="D414" s="37" t="s">
        <v>145</v>
      </c>
      <c r="E414" s="37" t="s">
        <v>211</v>
      </c>
      <c r="F414" s="38">
        <v>44778</v>
      </c>
      <c r="G414" s="37" t="s">
        <v>215</v>
      </c>
      <c r="H414" s="40">
        <v>269</v>
      </c>
      <c r="I414" s="39">
        <f>IF(My_Payment[[#This Row],[Payment_Code]]="S",My_Payment[[#This Row],[Total AMT]]/2,IF(My_Payment[[#This Row],[Payment_Code]]="P",My_Payment[[#This Row],[Total AMT]],0))</f>
        <v>269</v>
      </c>
      <c r="J414" s="39">
        <f>IF(My_Payment[[#This Row],[Payment_Code]]="S",My_Payment[[#This Row],[Total AMT]]/2,IF(My_Payment[[#This Row],[Payment_Code]]="N",My_Payment[[#This Row],[Total AMT]],0))</f>
        <v>0</v>
      </c>
    </row>
    <row r="415" spans="1:10">
      <c r="A415" s="38">
        <v>44763</v>
      </c>
      <c r="B415" s="37" t="s">
        <v>357</v>
      </c>
      <c r="C415" s="37" t="s">
        <v>248</v>
      </c>
      <c r="D415" s="37" t="s">
        <v>146</v>
      </c>
      <c r="E415" s="37" t="s">
        <v>211</v>
      </c>
      <c r="F415" s="38">
        <v>44778</v>
      </c>
      <c r="G415" s="37" t="s">
        <v>215</v>
      </c>
      <c r="H415" s="40">
        <v>60</v>
      </c>
      <c r="I415" s="39">
        <f>IF(My_Payment[[#This Row],[Payment_Code]]="S",My_Payment[[#This Row],[Total AMT]]/2,IF(My_Payment[[#This Row],[Payment_Code]]="P",My_Payment[[#This Row],[Total AMT]],0))</f>
        <v>60</v>
      </c>
      <c r="J415" s="39">
        <f>IF(My_Payment[[#This Row],[Payment_Code]]="S",My_Payment[[#This Row],[Total AMT]]/2,IF(My_Payment[[#This Row],[Payment_Code]]="N",My_Payment[[#This Row],[Total AMT]],0))</f>
        <v>0</v>
      </c>
    </row>
    <row r="416" spans="1:10">
      <c r="A416" s="38">
        <v>44781</v>
      </c>
      <c r="B416" s="37" t="s">
        <v>357</v>
      </c>
      <c r="C416" s="37" t="s">
        <v>248</v>
      </c>
      <c r="D416" s="37" t="s">
        <v>159</v>
      </c>
      <c r="E416" s="37" t="s">
        <v>211</v>
      </c>
      <c r="F416" s="38">
        <v>44809</v>
      </c>
      <c r="G416" s="37" t="s">
        <v>215</v>
      </c>
      <c r="H416" s="40">
        <v>228</v>
      </c>
      <c r="I416" s="39">
        <f>IF(My_Payment[[#This Row],[Payment_Code]]="S",My_Payment[[#This Row],[Total AMT]]/2,IF(My_Payment[[#This Row],[Payment_Code]]="P",My_Payment[[#This Row],[Total AMT]],0))</f>
        <v>228</v>
      </c>
      <c r="J416" s="39">
        <f>IF(My_Payment[[#This Row],[Payment_Code]]="S",My_Payment[[#This Row],[Total AMT]]/2,IF(My_Payment[[#This Row],[Payment_Code]]="N",My_Payment[[#This Row],[Total AMT]],0))</f>
        <v>0</v>
      </c>
    </row>
    <row r="417" spans="1:10">
      <c r="A417" s="38">
        <v>44798</v>
      </c>
      <c r="B417" s="37" t="s">
        <v>357</v>
      </c>
      <c r="C417" s="37" t="s">
        <v>248</v>
      </c>
      <c r="D417" s="37" t="s">
        <v>157</v>
      </c>
      <c r="E417" s="37" t="s">
        <v>317</v>
      </c>
      <c r="F417" s="38">
        <v>44809</v>
      </c>
      <c r="G417" s="37" t="s">
        <v>215</v>
      </c>
      <c r="H417" s="40">
        <v>214.67</v>
      </c>
      <c r="I417" s="39">
        <f>IF(My_Payment[[#This Row],[Payment_Code]]="S",My_Payment[[#This Row],[Total AMT]]/2,IF(My_Payment[[#This Row],[Payment_Code]]="P",My_Payment[[#This Row],[Total AMT]],0))</f>
        <v>214.67</v>
      </c>
      <c r="J417" s="39">
        <f>IF(My_Payment[[#This Row],[Payment_Code]]="S",My_Payment[[#This Row],[Total AMT]]/2,IF(My_Payment[[#This Row],[Payment_Code]]="N",My_Payment[[#This Row],[Total AMT]],0))</f>
        <v>0</v>
      </c>
    </row>
    <row r="418" spans="1:10">
      <c r="A418" s="38">
        <v>44829</v>
      </c>
      <c r="B418" s="37" t="s">
        <v>357</v>
      </c>
      <c r="C418" s="37" t="s">
        <v>248</v>
      </c>
      <c r="D418" s="37" t="s">
        <v>157</v>
      </c>
      <c r="E418" s="37" t="s">
        <v>318</v>
      </c>
      <c r="F418" s="38">
        <v>44839</v>
      </c>
      <c r="G418" s="37" t="s">
        <v>215</v>
      </c>
      <c r="H418" s="40">
        <v>214.67</v>
      </c>
      <c r="I418" s="39">
        <f>IF(My_Payment[[#This Row],[Payment_Code]]="S",My_Payment[[#This Row],[Total AMT]]/2,IF(My_Payment[[#This Row],[Payment_Code]]="P",My_Payment[[#This Row],[Total AMT]],0))</f>
        <v>214.67</v>
      </c>
      <c r="J418" s="39">
        <f>IF(My_Payment[[#This Row],[Payment_Code]]="S",My_Payment[[#This Row],[Total AMT]]/2,IF(My_Payment[[#This Row],[Payment_Code]]="N",My_Payment[[#This Row],[Total AMT]],0))</f>
        <v>0</v>
      </c>
    </row>
    <row r="419" spans="1:10">
      <c r="A419" s="38">
        <v>44859</v>
      </c>
      <c r="B419" s="37" t="s">
        <v>357</v>
      </c>
      <c r="C419" s="37" t="s">
        <v>248</v>
      </c>
      <c r="D419" s="37" t="s">
        <v>157</v>
      </c>
      <c r="E419" s="37" t="s">
        <v>319</v>
      </c>
      <c r="F419" s="38">
        <v>44870</v>
      </c>
      <c r="G419" s="37" t="s">
        <v>215</v>
      </c>
      <c r="H419" s="40">
        <v>214.67</v>
      </c>
      <c r="I419" s="39">
        <f>IF(My_Payment[[#This Row],[Payment_Code]]="S",My_Payment[[#This Row],[Total AMT]]/2,IF(My_Payment[[#This Row],[Payment_Code]]="P",My_Payment[[#This Row],[Total AMT]],0))</f>
        <v>214.67</v>
      </c>
      <c r="J419" s="39">
        <f>IF(My_Payment[[#This Row],[Payment_Code]]="S",My_Payment[[#This Row],[Total AMT]]/2,IF(My_Payment[[#This Row],[Payment_Code]]="N",My_Payment[[#This Row],[Total AMT]],0))</f>
        <v>0</v>
      </c>
    </row>
    <row r="420" spans="1:10">
      <c r="A420" s="38">
        <v>44890</v>
      </c>
      <c r="B420" s="37" t="s">
        <v>357</v>
      </c>
      <c r="C420" s="37" t="s">
        <v>248</v>
      </c>
      <c r="D420" s="37" t="s">
        <v>157</v>
      </c>
      <c r="E420" s="37" t="s">
        <v>320</v>
      </c>
      <c r="F420" s="38">
        <v>44900</v>
      </c>
      <c r="G420" s="37" t="s">
        <v>215</v>
      </c>
      <c r="H420" s="40">
        <v>214.67</v>
      </c>
      <c r="I420" s="39">
        <f>IF(My_Payment[[#This Row],[Payment_Code]]="S",My_Payment[[#This Row],[Total AMT]]/2,IF(My_Payment[[#This Row],[Payment_Code]]="P",My_Payment[[#This Row],[Total AMT]],0))</f>
        <v>214.67</v>
      </c>
      <c r="J420" s="39">
        <f>IF(My_Payment[[#This Row],[Payment_Code]]="S",My_Payment[[#This Row],[Total AMT]]/2,IF(My_Payment[[#This Row],[Payment_Code]]="N",My_Payment[[#This Row],[Total AMT]],0))</f>
        <v>0</v>
      </c>
    </row>
    <row r="421" spans="1:10">
      <c r="A421" s="38">
        <v>44920</v>
      </c>
      <c r="B421" s="37" t="s">
        <v>357</v>
      </c>
      <c r="C421" s="37" t="s">
        <v>248</v>
      </c>
      <c r="D421" s="37" t="s">
        <v>157</v>
      </c>
      <c r="E421" s="37" t="s">
        <v>321</v>
      </c>
      <c r="F421" s="38">
        <v>44931</v>
      </c>
      <c r="G421" s="37" t="s">
        <v>215</v>
      </c>
      <c r="H421" s="40">
        <v>214.67</v>
      </c>
      <c r="I421" s="39">
        <f>IF(My_Payment[[#This Row],[Payment_Code]]="S",My_Payment[[#This Row],[Total AMT]]/2,IF(My_Payment[[#This Row],[Payment_Code]]="P",My_Payment[[#This Row],[Total AMT]],0))</f>
        <v>214.67</v>
      </c>
      <c r="J421" s="39">
        <f>IF(My_Payment[[#This Row],[Payment_Code]]="S",My_Payment[[#This Row],[Total AMT]]/2,IF(My_Payment[[#This Row],[Payment_Code]]="N",My_Payment[[#This Row],[Total AMT]],0))</f>
        <v>0</v>
      </c>
    </row>
    <row r="422" spans="1:10">
      <c r="A422" s="38">
        <v>44951</v>
      </c>
      <c r="B422" s="37" t="s">
        <v>357</v>
      </c>
      <c r="C422" s="37" t="s">
        <v>248</v>
      </c>
      <c r="D422" s="37" t="s">
        <v>157</v>
      </c>
      <c r="E422" s="37" t="s">
        <v>25</v>
      </c>
      <c r="F422" s="38">
        <v>44962</v>
      </c>
      <c r="G422" s="37" t="s">
        <v>215</v>
      </c>
      <c r="H422" s="40">
        <v>214.65</v>
      </c>
      <c r="I422" s="39">
        <f>IF(My_Payment[[#This Row],[Payment_Code]]="S",My_Payment[[#This Row],[Total AMT]]/2,IF(My_Payment[[#This Row],[Payment_Code]]="P",My_Payment[[#This Row],[Total AMT]],0))</f>
        <v>214.65</v>
      </c>
      <c r="J422" s="39">
        <f>IF(My_Payment[[#This Row],[Payment_Code]]="S",My_Payment[[#This Row],[Total AMT]]/2,IF(My_Payment[[#This Row],[Payment_Code]]="N",My_Payment[[#This Row],[Total AMT]],0))</f>
        <v>0</v>
      </c>
    </row>
    <row r="423" spans="1:10">
      <c r="A423" s="38">
        <v>44817</v>
      </c>
      <c r="B423" s="37" t="s">
        <v>357</v>
      </c>
      <c r="C423" s="37" t="s">
        <v>248</v>
      </c>
      <c r="D423" s="37" t="s">
        <v>366</v>
      </c>
      <c r="E423" s="37" t="s">
        <v>211</v>
      </c>
      <c r="F423" s="38">
        <v>44839</v>
      </c>
      <c r="G423" s="37" t="s">
        <v>215</v>
      </c>
      <c r="H423" s="40">
        <v>144</v>
      </c>
      <c r="I423" s="39">
        <f>IF(My_Payment[[#This Row],[Payment_Code]]="S",My_Payment[[#This Row],[Total AMT]]/2,IF(My_Payment[[#This Row],[Payment_Code]]="P",My_Payment[[#This Row],[Total AMT]],0))</f>
        <v>144</v>
      </c>
      <c r="J423" s="39">
        <f>IF(My_Payment[[#This Row],[Payment_Code]]="S",My_Payment[[#This Row],[Total AMT]]/2,IF(My_Payment[[#This Row],[Payment_Code]]="N",My_Payment[[#This Row],[Total AMT]],0))</f>
        <v>0</v>
      </c>
    </row>
    <row r="424" spans="1:10">
      <c r="A424" s="38">
        <v>44846</v>
      </c>
      <c r="B424" s="37" t="s">
        <v>357</v>
      </c>
      <c r="C424" s="37" t="s">
        <v>248</v>
      </c>
      <c r="D424" s="37" t="s">
        <v>180</v>
      </c>
      <c r="E424" s="37" t="s">
        <v>211</v>
      </c>
      <c r="F424" s="38">
        <v>44870</v>
      </c>
      <c r="G424" s="37" t="s">
        <v>215</v>
      </c>
      <c r="H424" s="40">
        <v>248</v>
      </c>
      <c r="I424" s="39">
        <f>IF(My_Payment[[#This Row],[Payment_Code]]="S",My_Payment[[#This Row],[Total AMT]]/2,IF(My_Payment[[#This Row],[Payment_Code]]="P",My_Payment[[#This Row],[Total AMT]],0))</f>
        <v>248</v>
      </c>
      <c r="J424" s="39">
        <f>IF(My_Payment[[#This Row],[Payment_Code]]="S",My_Payment[[#This Row],[Total AMT]]/2,IF(My_Payment[[#This Row],[Payment_Code]]="N",My_Payment[[#This Row],[Total AMT]],0))</f>
        <v>0</v>
      </c>
    </row>
    <row r="425" spans="1:10">
      <c r="A425" s="38">
        <v>44840</v>
      </c>
      <c r="B425" s="37" t="s">
        <v>357</v>
      </c>
      <c r="C425" s="37" t="s">
        <v>248</v>
      </c>
      <c r="D425" s="37" t="s">
        <v>181</v>
      </c>
      <c r="E425" s="37" t="s">
        <v>211</v>
      </c>
      <c r="F425" s="38">
        <v>44870</v>
      </c>
      <c r="G425" s="37" t="s">
        <v>215</v>
      </c>
      <c r="H425" s="40">
        <v>201</v>
      </c>
      <c r="I425" s="39">
        <f>IF(My_Payment[[#This Row],[Payment_Code]]="S",My_Payment[[#This Row],[Total AMT]]/2,IF(My_Payment[[#This Row],[Payment_Code]]="P",My_Payment[[#This Row],[Total AMT]],0))</f>
        <v>201</v>
      </c>
      <c r="J425" s="39">
        <f>IF(My_Payment[[#This Row],[Payment_Code]]="S",My_Payment[[#This Row],[Total AMT]]/2,IF(My_Payment[[#This Row],[Payment_Code]]="N",My_Payment[[#This Row],[Total AMT]],0))</f>
        <v>0</v>
      </c>
    </row>
    <row r="426" spans="1:10">
      <c r="A426" s="38">
        <v>44832</v>
      </c>
      <c r="B426" s="37" t="s">
        <v>357</v>
      </c>
      <c r="C426" s="37" t="s">
        <v>248</v>
      </c>
      <c r="D426" s="37" t="s">
        <v>182</v>
      </c>
      <c r="E426" s="37" t="s">
        <v>211</v>
      </c>
      <c r="F426" s="38">
        <v>44870</v>
      </c>
      <c r="G426" s="37" t="s">
        <v>215</v>
      </c>
      <c r="H426" s="40">
        <v>197</v>
      </c>
      <c r="I426" s="39">
        <f>IF(My_Payment[[#This Row],[Payment_Code]]="S",My_Payment[[#This Row],[Total AMT]]/2,IF(My_Payment[[#This Row],[Payment_Code]]="P",My_Payment[[#This Row],[Total AMT]],0))</f>
        <v>197</v>
      </c>
      <c r="J426" s="39">
        <f>IF(My_Payment[[#This Row],[Payment_Code]]="S",My_Payment[[#This Row],[Total AMT]]/2,IF(My_Payment[[#This Row],[Payment_Code]]="N",My_Payment[[#This Row],[Total AMT]],0))</f>
        <v>0</v>
      </c>
    </row>
    <row r="427" spans="1:10">
      <c r="A427" s="38">
        <v>44890</v>
      </c>
      <c r="B427" s="37" t="s">
        <v>357</v>
      </c>
      <c r="C427" s="37" t="s">
        <v>248</v>
      </c>
      <c r="D427" s="37" t="s">
        <v>191</v>
      </c>
      <c r="E427" s="37" t="s">
        <v>317</v>
      </c>
      <c r="F427" s="38">
        <v>44900</v>
      </c>
      <c r="G427" s="37" t="s">
        <v>215</v>
      </c>
      <c r="H427" s="40">
        <v>619.33000000000004</v>
      </c>
      <c r="I427" s="39">
        <f>IF(My_Payment[[#This Row],[Payment_Code]]="S",My_Payment[[#This Row],[Total AMT]]/2,IF(My_Payment[[#This Row],[Payment_Code]]="P",My_Payment[[#This Row],[Total AMT]],0))</f>
        <v>619.33000000000004</v>
      </c>
      <c r="J427" s="39">
        <f>IF(My_Payment[[#This Row],[Payment_Code]]="S",My_Payment[[#This Row],[Total AMT]]/2,IF(My_Payment[[#This Row],[Payment_Code]]="N",My_Payment[[#This Row],[Total AMT]],0))</f>
        <v>0</v>
      </c>
    </row>
    <row r="428" spans="1:10">
      <c r="A428" s="38">
        <v>44920</v>
      </c>
      <c r="B428" s="37" t="s">
        <v>357</v>
      </c>
      <c r="C428" s="37" t="s">
        <v>248</v>
      </c>
      <c r="D428" s="37" t="s">
        <v>191</v>
      </c>
      <c r="E428" s="37" t="s">
        <v>318</v>
      </c>
      <c r="F428" s="38">
        <v>44931</v>
      </c>
      <c r="G428" s="37" t="s">
        <v>215</v>
      </c>
      <c r="H428" s="40">
        <v>619.33000000000004</v>
      </c>
      <c r="I428" s="39">
        <f>IF(My_Payment[[#This Row],[Payment_Code]]="S",My_Payment[[#This Row],[Total AMT]]/2,IF(My_Payment[[#This Row],[Payment_Code]]="P",My_Payment[[#This Row],[Total AMT]],0))</f>
        <v>619.33000000000004</v>
      </c>
      <c r="J428" s="39">
        <f>IF(My_Payment[[#This Row],[Payment_Code]]="S",My_Payment[[#This Row],[Total AMT]]/2,IF(My_Payment[[#This Row],[Payment_Code]]="N",My_Payment[[#This Row],[Total AMT]],0))</f>
        <v>0</v>
      </c>
    </row>
    <row r="429" spans="1:10">
      <c r="A429" s="38">
        <v>44951</v>
      </c>
      <c r="B429" s="37" t="s">
        <v>357</v>
      </c>
      <c r="C429" s="37" t="s">
        <v>248</v>
      </c>
      <c r="D429" s="37" t="s">
        <v>191</v>
      </c>
      <c r="E429" s="37" t="s">
        <v>319</v>
      </c>
      <c r="F429" s="38">
        <v>44962</v>
      </c>
      <c r="G429" s="37" t="s">
        <v>215</v>
      </c>
      <c r="H429" s="40">
        <v>619.33000000000004</v>
      </c>
      <c r="I429" s="39">
        <f>IF(My_Payment[[#This Row],[Payment_Code]]="S",My_Payment[[#This Row],[Total AMT]]/2,IF(My_Payment[[#This Row],[Payment_Code]]="P",My_Payment[[#This Row],[Total AMT]],0))</f>
        <v>619.33000000000004</v>
      </c>
      <c r="J429" s="39">
        <f>IF(My_Payment[[#This Row],[Payment_Code]]="S",My_Payment[[#This Row],[Total AMT]]/2,IF(My_Payment[[#This Row],[Payment_Code]]="N",My_Payment[[#This Row],[Total AMT]],0))</f>
        <v>0</v>
      </c>
    </row>
    <row r="430" spans="1:10">
      <c r="A430" s="38">
        <v>44982</v>
      </c>
      <c r="B430" s="37" t="s">
        <v>357</v>
      </c>
      <c r="C430" s="37" t="s">
        <v>248</v>
      </c>
      <c r="D430" s="37" t="s">
        <v>191</v>
      </c>
      <c r="E430" s="37" t="s">
        <v>320</v>
      </c>
      <c r="F430" s="38">
        <v>44990</v>
      </c>
      <c r="G430" s="37" t="s">
        <v>215</v>
      </c>
      <c r="H430" s="40">
        <v>619.33000000000004</v>
      </c>
      <c r="I430" s="39">
        <f>IF(My_Payment[[#This Row],[Payment_Code]]="S",My_Payment[[#This Row],[Total AMT]]/2,IF(My_Payment[[#This Row],[Payment_Code]]="P",My_Payment[[#This Row],[Total AMT]],0))</f>
        <v>619.33000000000004</v>
      </c>
      <c r="J430" s="39">
        <f>IF(My_Payment[[#This Row],[Payment_Code]]="S",My_Payment[[#This Row],[Total AMT]]/2,IF(My_Payment[[#This Row],[Payment_Code]]="N",My_Payment[[#This Row],[Total AMT]],0))</f>
        <v>0</v>
      </c>
    </row>
    <row r="431" spans="1:10">
      <c r="A431" s="38">
        <v>45010</v>
      </c>
      <c r="B431" s="37" t="s">
        <v>357</v>
      </c>
      <c r="C431" s="37" t="s">
        <v>248</v>
      </c>
      <c r="D431" s="37" t="s">
        <v>191</v>
      </c>
      <c r="E431" s="37" t="s">
        <v>321</v>
      </c>
      <c r="F431" s="38">
        <v>45021</v>
      </c>
      <c r="G431" s="37" t="s">
        <v>215</v>
      </c>
      <c r="H431" s="40">
        <v>619.33000000000004</v>
      </c>
      <c r="I431" s="39">
        <f>IF(My_Payment[[#This Row],[Payment_Code]]="S",My_Payment[[#This Row],[Total AMT]]/2,IF(My_Payment[[#This Row],[Payment_Code]]="P",My_Payment[[#This Row],[Total AMT]],0))</f>
        <v>619.33000000000004</v>
      </c>
      <c r="J431" s="39">
        <f>IF(My_Payment[[#This Row],[Payment_Code]]="S",My_Payment[[#This Row],[Total AMT]]/2,IF(My_Payment[[#This Row],[Payment_Code]]="N",My_Payment[[#This Row],[Total AMT]],0))</f>
        <v>0</v>
      </c>
    </row>
    <row r="432" spans="1:10">
      <c r="A432" s="38">
        <v>45041</v>
      </c>
      <c r="B432" s="37" t="s">
        <v>357</v>
      </c>
      <c r="C432" s="37" t="s">
        <v>248</v>
      </c>
      <c r="D432" s="37" t="s">
        <v>191</v>
      </c>
      <c r="E432" s="37" t="s">
        <v>25</v>
      </c>
      <c r="F432" s="38">
        <v>45051</v>
      </c>
      <c r="G432" s="37" t="s">
        <v>215</v>
      </c>
      <c r="H432" s="40">
        <v>619.35</v>
      </c>
      <c r="I432" s="39">
        <f>IF(My_Payment[[#This Row],[Payment_Code]]="S",My_Payment[[#This Row],[Total AMT]]/2,IF(My_Payment[[#This Row],[Payment_Code]]="P",My_Payment[[#This Row],[Total AMT]],0))</f>
        <v>619.35</v>
      </c>
      <c r="J432" s="39">
        <f>IF(My_Payment[[#This Row],[Payment_Code]]="S",My_Payment[[#This Row],[Total AMT]]/2,IF(My_Payment[[#This Row],[Payment_Code]]="N",My_Payment[[#This Row],[Total AMT]],0))</f>
        <v>0</v>
      </c>
    </row>
    <row r="433" spans="1:10">
      <c r="A433" s="38">
        <v>44868</v>
      </c>
      <c r="B433" s="37" t="s">
        <v>225</v>
      </c>
      <c r="C433" s="37" t="s">
        <v>226</v>
      </c>
      <c r="D433" s="37" t="s">
        <v>227</v>
      </c>
      <c r="E433" s="37" t="s">
        <v>211</v>
      </c>
      <c r="F433" s="38">
        <v>44917</v>
      </c>
      <c r="G433" s="37" t="s">
        <v>215</v>
      </c>
      <c r="H433" s="40">
        <v>419</v>
      </c>
      <c r="I433" s="39">
        <f>IF(My_Payment[[#This Row],[Payment_Code]]="S",My_Payment[[#This Row],[Total AMT]]/2,IF(My_Payment[[#This Row],[Payment_Code]]="P",My_Payment[[#This Row],[Total AMT]],0))</f>
        <v>419</v>
      </c>
      <c r="J433" s="39">
        <f>IF(My_Payment[[#This Row],[Payment_Code]]="S",My_Payment[[#This Row],[Total AMT]]/2,IF(My_Payment[[#This Row],[Payment_Code]]="N",My_Payment[[#This Row],[Total AMT]],0))</f>
        <v>0</v>
      </c>
    </row>
    <row r="434" spans="1:10">
      <c r="A434" s="38">
        <v>44871</v>
      </c>
      <c r="B434" s="37" t="s">
        <v>225</v>
      </c>
      <c r="C434" s="37" t="s">
        <v>226</v>
      </c>
      <c r="D434" s="37" t="s">
        <v>341</v>
      </c>
      <c r="E434" s="37" t="s">
        <v>211</v>
      </c>
      <c r="F434" s="38">
        <v>44917</v>
      </c>
      <c r="G434" s="37" t="s">
        <v>212</v>
      </c>
      <c r="H434" s="40">
        <v>1119.22</v>
      </c>
      <c r="I434" s="39">
        <f>IF(My_Payment[[#This Row],[Payment_Code]]="S",My_Payment[[#This Row],[Total AMT]]/2,IF(My_Payment[[#This Row],[Payment_Code]]="P",My_Payment[[#This Row],[Total AMT]],0))</f>
        <v>559.61</v>
      </c>
      <c r="J434" s="39">
        <f>IF(My_Payment[[#This Row],[Payment_Code]]="S",My_Payment[[#This Row],[Total AMT]]/2,IF(My_Payment[[#This Row],[Payment_Code]]="N",My_Payment[[#This Row],[Total AMT]],0))</f>
        <v>559.61</v>
      </c>
    </row>
    <row r="435" spans="1:10">
      <c r="A435" s="38">
        <v>44898</v>
      </c>
      <c r="B435" s="37" t="s">
        <v>225</v>
      </c>
      <c r="C435" s="37" t="s">
        <v>226</v>
      </c>
      <c r="D435" s="37" t="s">
        <v>227</v>
      </c>
      <c r="E435" s="37" t="s">
        <v>211</v>
      </c>
      <c r="F435" s="38">
        <v>44948</v>
      </c>
      <c r="G435" s="37" t="s">
        <v>215</v>
      </c>
      <c r="H435" s="40">
        <v>419</v>
      </c>
      <c r="I435" s="39">
        <f>My_Payment[[#This Row],[Total AMT]]-My_Payment[[#This Row],[NC_AMT]]</f>
        <v>419</v>
      </c>
      <c r="J435" s="39">
        <f>IF(My_Payment[[#This Row],[Payment_Code]]="S",My_Payment[[#This Row],[Total AMT]]/2,IF(My_Payment[[#This Row],[Payment_Code]]="N",My_Payment[[#This Row],[Total AMT]],0))</f>
        <v>0</v>
      </c>
    </row>
    <row r="436" spans="1:10">
      <c r="A436" s="38">
        <v>44893</v>
      </c>
      <c r="B436" s="37" t="s">
        <v>354</v>
      </c>
      <c r="C436" s="37" t="s">
        <v>248</v>
      </c>
      <c r="D436" s="37" t="s">
        <v>367</v>
      </c>
      <c r="E436" s="37" t="s">
        <v>211</v>
      </c>
      <c r="F436" s="38">
        <v>44927</v>
      </c>
      <c r="G436" s="37" t="s">
        <v>215</v>
      </c>
      <c r="H436" s="40">
        <v>240</v>
      </c>
      <c r="I436" s="39">
        <f>IF(My_Payment[[#This Row],[Payment_Code]]="S",My_Payment[[#This Row],[Total AMT]]/2,IF(My_Payment[[#This Row],[Payment_Code]]="P",My_Payment[[#This Row],[Total AMT]],0))</f>
        <v>240</v>
      </c>
      <c r="J436" s="39">
        <f>IF(My_Payment[[#This Row],[Payment_Code]]="S",My_Payment[[#This Row],[Total AMT]]/2,IF(My_Payment[[#This Row],[Payment_Code]]="N",My_Payment[[#This Row],[Total AMT]],0))</f>
        <v>0</v>
      </c>
    </row>
    <row r="437" spans="1:10">
      <c r="A437" s="38">
        <v>44878</v>
      </c>
      <c r="B437" s="37" t="s">
        <v>208</v>
      </c>
      <c r="C437" s="37" t="s">
        <v>209</v>
      </c>
      <c r="D437" s="37" t="s">
        <v>234</v>
      </c>
      <c r="E437" s="37" t="s">
        <v>211</v>
      </c>
      <c r="F437" s="38">
        <v>44928</v>
      </c>
      <c r="G437" s="37" t="s">
        <v>212</v>
      </c>
      <c r="H437" s="40">
        <v>907.75</v>
      </c>
      <c r="I437" s="39">
        <f>IF(My_Payment[[#This Row],[Payment_Code]]="S",My_Payment[[#This Row],[Total AMT]]/2,IF(My_Payment[[#This Row],[Payment_Code]]="P",My_Payment[[#This Row],[Total AMT]],0))</f>
        <v>453.875</v>
      </c>
      <c r="J437" s="39">
        <f>IF(My_Payment[[#This Row],[Payment_Code]]="S",My_Payment[[#This Row],[Total AMT]]/2,IF(My_Payment[[#This Row],[Payment_Code]]="N",My_Payment[[#This Row],[Total AMT]],0))</f>
        <v>453.875</v>
      </c>
    </row>
    <row r="438" spans="1:10">
      <c r="A438" s="38">
        <v>44899</v>
      </c>
      <c r="B438" s="37" t="s">
        <v>208</v>
      </c>
      <c r="C438" s="37" t="s">
        <v>209</v>
      </c>
      <c r="D438" s="37" t="s">
        <v>140</v>
      </c>
      <c r="E438" s="37" t="s">
        <v>211</v>
      </c>
      <c r="F438" s="38">
        <v>44928</v>
      </c>
      <c r="G438" s="37" t="s">
        <v>212</v>
      </c>
      <c r="H438" s="40">
        <v>353</v>
      </c>
      <c r="I438" s="39">
        <f>IF(My_Payment[[#This Row],[Payment_Code]]="S",My_Payment[[#This Row],[Total AMT]]/2,IF(My_Payment[[#This Row],[Payment_Code]]="P",My_Payment[[#This Row],[Total AMT]],0))</f>
        <v>176.5</v>
      </c>
      <c r="J438" s="39">
        <f>IF(My_Payment[[#This Row],[Payment_Code]]="S",My_Payment[[#This Row],[Total AMT]]/2,IF(My_Payment[[#This Row],[Payment_Code]]="N",My_Payment[[#This Row],[Total AMT]],0))</f>
        <v>176.5</v>
      </c>
    </row>
    <row r="439" spans="1:10">
      <c r="A439" s="38">
        <v>44886</v>
      </c>
      <c r="B439" s="37" t="s">
        <v>222</v>
      </c>
      <c r="C439" s="37" t="s">
        <v>209</v>
      </c>
      <c r="D439" s="37" t="s">
        <v>368</v>
      </c>
      <c r="E439" s="37" t="s">
        <v>211</v>
      </c>
      <c r="F439" s="38">
        <v>44928</v>
      </c>
      <c r="G439" s="37" t="s">
        <v>215</v>
      </c>
      <c r="H439" s="40">
        <v>269</v>
      </c>
      <c r="I439" s="39">
        <f>IF(My_Payment[[#This Row],[Payment_Code]]="S",My_Payment[[#This Row],[Total AMT]]/2,IF(My_Payment[[#This Row],[Payment_Code]]="P",My_Payment[[#This Row],[Total AMT]],0))</f>
        <v>269</v>
      </c>
      <c r="J439" s="39">
        <f>IF(My_Payment[[#This Row],[Payment_Code]]="S",My_Payment[[#This Row],[Total AMT]]/2,IF(My_Payment[[#This Row],[Payment_Code]]="N",My_Payment[[#This Row],[Total AMT]],0))</f>
        <v>0</v>
      </c>
    </row>
    <row r="440" spans="1:10">
      <c r="A440" s="38">
        <v>44900</v>
      </c>
      <c r="B440" s="37" t="s">
        <v>225</v>
      </c>
      <c r="C440" s="37" t="s">
        <v>226</v>
      </c>
      <c r="D440" s="37" t="s">
        <v>369</v>
      </c>
      <c r="E440" s="37" t="s">
        <v>211</v>
      </c>
      <c r="F440" s="38">
        <v>44948</v>
      </c>
      <c r="G440" s="37" t="s">
        <v>212</v>
      </c>
      <c r="H440" s="40">
        <v>939.25</v>
      </c>
      <c r="I440" s="39">
        <f>IF(My_Payment[[#This Row],[Payment_Code]]="S",My_Payment[[#This Row],[Total AMT]]/2,IF(My_Payment[[#This Row],[Payment_Code]]="P",My_Payment[[#This Row],[Total AMT]],0))</f>
        <v>469.625</v>
      </c>
      <c r="J440" s="39">
        <f>IF(My_Payment[[#This Row],[Payment_Code]]="S",My_Payment[[#This Row],[Total AMT]]/2,IF(My_Payment[[#This Row],[Payment_Code]]="N",My_Payment[[#This Row],[Total AMT]],0))</f>
        <v>469.625</v>
      </c>
    </row>
    <row r="441" spans="1:10">
      <c r="A441" s="38">
        <v>44892</v>
      </c>
      <c r="B441" s="37" t="s">
        <v>305</v>
      </c>
      <c r="C441" s="37" t="s">
        <v>226</v>
      </c>
      <c r="D441" s="37" t="s">
        <v>370</v>
      </c>
      <c r="E441" s="37" t="s">
        <v>211</v>
      </c>
      <c r="F441" s="38">
        <v>44933</v>
      </c>
      <c r="G441" s="37" t="s">
        <v>212</v>
      </c>
      <c r="H441" s="40">
        <v>1119.22</v>
      </c>
      <c r="I441" s="39">
        <f>IF(My_Payment[[#This Row],[Payment_Code]]="S",My_Payment[[#This Row],[Total AMT]]/2,IF(My_Payment[[#This Row],[Payment_Code]]="P",My_Payment[[#This Row],[Total AMT]],0))</f>
        <v>559.61</v>
      </c>
      <c r="J441" s="39">
        <f>IF(My_Payment[[#This Row],[Payment_Code]]="S",My_Payment[[#This Row],[Total AMT]]/2,IF(My_Payment[[#This Row],[Payment_Code]]="N",My_Payment[[#This Row],[Total AMT]],0))</f>
        <v>559.61</v>
      </c>
    </row>
    <row r="442" spans="1:10">
      <c r="A442" s="38">
        <v>44892</v>
      </c>
      <c r="B442" s="37" t="s">
        <v>305</v>
      </c>
      <c r="C442" s="37" t="s">
        <v>226</v>
      </c>
      <c r="D442" s="37" t="s">
        <v>371</v>
      </c>
      <c r="E442" s="37" t="s">
        <v>211</v>
      </c>
      <c r="F442" s="38">
        <v>44933</v>
      </c>
      <c r="G442" s="37" t="s">
        <v>212</v>
      </c>
      <c r="H442" s="40">
        <v>550</v>
      </c>
      <c r="I442" s="39">
        <f>IF(My_Payment[[#This Row],[Payment_Code]]="S",My_Payment[[#This Row],[Total AMT]]/2,IF(My_Payment[[#This Row],[Payment_Code]]="P",My_Payment[[#This Row],[Total AMT]],0))</f>
        <v>275</v>
      </c>
      <c r="J442" s="39">
        <f>IF(My_Payment[[#This Row],[Payment_Code]]="S",My_Payment[[#This Row],[Total AMT]]/2,IF(My_Payment[[#This Row],[Payment_Code]]="N",My_Payment[[#This Row],[Total AMT]],0))</f>
        <v>275</v>
      </c>
    </row>
    <row r="443" spans="1:10">
      <c r="A443" s="38">
        <v>44899</v>
      </c>
      <c r="B443" s="37" t="s">
        <v>305</v>
      </c>
      <c r="C443" s="37" t="s">
        <v>226</v>
      </c>
      <c r="D443" s="37" t="s">
        <v>33</v>
      </c>
      <c r="E443" s="37" t="s">
        <v>211</v>
      </c>
      <c r="F443" s="38">
        <v>44933</v>
      </c>
      <c r="G443" s="37" t="s">
        <v>215</v>
      </c>
      <c r="H443" s="40">
        <v>198.6</v>
      </c>
      <c r="I443" s="39">
        <f>IF(My_Payment[[#This Row],[Payment_Code]]="S",My_Payment[[#This Row],[Total AMT]]/2,IF(My_Payment[[#This Row],[Payment_Code]]="P",My_Payment[[#This Row],[Total AMT]],0))</f>
        <v>198.6</v>
      </c>
      <c r="J443" s="39">
        <f>IF(My_Payment[[#This Row],[Payment_Code]]="S",My_Payment[[#This Row],[Total AMT]]/2,IF(My_Payment[[#This Row],[Payment_Code]]="N",My_Payment[[#This Row],[Total AMT]],0))</f>
        <v>0</v>
      </c>
    </row>
    <row r="444" spans="1:10">
      <c r="A444" s="38">
        <v>44900</v>
      </c>
      <c r="B444" s="37" t="s">
        <v>305</v>
      </c>
      <c r="C444" s="37" t="s">
        <v>226</v>
      </c>
      <c r="D444" s="37" t="s">
        <v>372</v>
      </c>
      <c r="E444" s="37" t="s">
        <v>211</v>
      </c>
      <c r="F444" s="38">
        <v>44933</v>
      </c>
      <c r="G444" s="37" t="s">
        <v>212</v>
      </c>
      <c r="H444" s="40">
        <v>470</v>
      </c>
      <c r="I444" s="39">
        <f>IF(My_Payment[[#This Row],[Payment_Code]]="S",My_Payment[[#This Row],[Total AMT]]/2,IF(My_Payment[[#This Row],[Payment_Code]]="P",My_Payment[[#This Row],[Total AMT]],0))</f>
        <v>235</v>
      </c>
      <c r="J444" s="39">
        <f>IF(My_Payment[[#This Row],[Payment_Code]]="S",My_Payment[[#This Row],[Total AMT]]/2,IF(My_Payment[[#This Row],[Payment_Code]]="N",My_Payment[[#This Row],[Total AMT]],0))</f>
        <v>235</v>
      </c>
    </row>
    <row r="445" spans="1:10">
      <c r="A445" s="38">
        <v>44915</v>
      </c>
      <c r="B445" s="37" t="s">
        <v>348</v>
      </c>
      <c r="C445" s="37" t="s">
        <v>209</v>
      </c>
      <c r="D445" s="37" t="s">
        <v>48</v>
      </c>
      <c r="E445" s="37" t="s">
        <v>211</v>
      </c>
      <c r="F445" s="38">
        <v>44958</v>
      </c>
      <c r="G445" s="37" t="s">
        <v>215</v>
      </c>
      <c r="H445" s="40">
        <v>854.93</v>
      </c>
      <c r="I445" s="39">
        <f>IF(My_Payment[[#This Row],[Payment_Code]]="S",My_Payment[[#This Row],[Total AMT]]/2,IF(My_Payment[[#This Row],[Payment_Code]]="P",My_Payment[[#This Row],[Total AMT]],0))</f>
        <v>854.93</v>
      </c>
      <c r="J445" s="39">
        <f>IF(My_Payment[[#This Row],[Payment_Code]]="S",My_Payment[[#This Row],[Total AMT]]/2,IF(My_Payment[[#This Row],[Payment_Code]]="N",My_Payment[[#This Row],[Total AMT]],0))</f>
        <v>0</v>
      </c>
    </row>
    <row r="446" spans="1:10">
      <c r="A446" s="38">
        <v>44915</v>
      </c>
      <c r="B446" s="37" t="s">
        <v>348</v>
      </c>
      <c r="C446" s="37" t="s">
        <v>209</v>
      </c>
      <c r="D446" s="37" t="s">
        <v>49</v>
      </c>
      <c r="E446" s="37" t="s">
        <v>211</v>
      </c>
      <c r="F446" s="38">
        <v>44958</v>
      </c>
      <c r="G446" s="37" t="s">
        <v>215</v>
      </c>
      <c r="H446" s="40">
        <v>1603.93</v>
      </c>
      <c r="I446" s="39">
        <f>IF(My_Payment[[#This Row],[Payment_Code]]="S",My_Payment[[#This Row],[Total AMT]]/2,IF(My_Payment[[#This Row],[Payment_Code]]="P",My_Payment[[#This Row],[Total AMT]],0))</f>
        <v>1603.93</v>
      </c>
      <c r="J446" s="39">
        <f>IF(My_Payment[[#This Row],[Payment_Code]]="S",My_Payment[[#This Row],[Total AMT]]/2,IF(My_Payment[[#This Row],[Payment_Code]]="N",My_Payment[[#This Row],[Total AMT]],0))</f>
        <v>0</v>
      </c>
    </row>
    <row r="447" spans="1:10">
      <c r="A447" s="38">
        <v>44913</v>
      </c>
      <c r="B447" s="37" t="s">
        <v>348</v>
      </c>
      <c r="C447" s="37" t="s">
        <v>209</v>
      </c>
      <c r="D447" s="37" t="s">
        <v>81</v>
      </c>
      <c r="E447" s="37" t="s">
        <v>211</v>
      </c>
      <c r="F447" s="38">
        <v>44958</v>
      </c>
      <c r="G447" s="37" t="s">
        <v>215</v>
      </c>
      <c r="H447" s="40">
        <v>373.43</v>
      </c>
      <c r="I447" s="39">
        <f>IF(My_Payment[[#This Row],[Payment_Code]]="S",My_Payment[[#This Row],[Total AMT]]/2,IF(My_Payment[[#This Row],[Payment_Code]]="P",My_Payment[[#This Row],[Total AMT]],0))</f>
        <v>373.43</v>
      </c>
      <c r="J447" s="39">
        <f>IF(My_Payment[[#This Row],[Payment_Code]]="S",My_Payment[[#This Row],[Total AMT]]/2,IF(My_Payment[[#This Row],[Payment_Code]]="N",My_Payment[[#This Row],[Total AMT]],0))</f>
        <v>0</v>
      </c>
    </row>
    <row r="448" spans="1:10">
      <c r="A448" s="38">
        <v>44578</v>
      </c>
      <c r="B448" s="37" t="s">
        <v>348</v>
      </c>
      <c r="C448" s="37" t="s">
        <v>209</v>
      </c>
      <c r="D448" s="37" t="s">
        <v>20</v>
      </c>
      <c r="E448" s="37" t="s">
        <v>211</v>
      </c>
      <c r="F448" s="38">
        <v>44958</v>
      </c>
      <c r="G448" s="37" t="s">
        <v>215</v>
      </c>
      <c r="H448" s="40">
        <v>-7.08</v>
      </c>
      <c r="I448" s="39">
        <f>IF(My_Payment[[#This Row],[Payment_Code]]="S",My_Payment[[#This Row],[Total AMT]]/2,IF(My_Payment[[#This Row],[Payment_Code]]="P",My_Payment[[#This Row],[Total AMT]],0))</f>
        <v>-7.08</v>
      </c>
      <c r="J448" s="39">
        <f>IF(My_Payment[[#This Row],[Payment_Code]]="S",My_Payment[[#This Row],[Total AMT]]/2,IF(My_Payment[[#This Row],[Payment_Code]]="N",My_Payment[[#This Row],[Total AMT]],0))</f>
        <v>0</v>
      </c>
    </row>
    <row r="449" spans="1:10">
      <c r="A449" s="38">
        <v>44901</v>
      </c>
      <c r="B449" s="37" t="s">
        <v>373</v>
      </c>
      <c r="C449" s="37" t="s">
        <v>209</v>
      </c>
      <c r="D449" s="37" t="s">
        <v>374</v>
      </c>
      <c r="E449" s="37" t="s">
        <v>211</v>
      </c>
      <c r="F449" s="38">
        <v>44927</v>
      </c>
      <c r="G449" s="37" t="s">
        <v>215</v>
      </c>
      <c r="H449" s="40">
        <v>62</v>
      </c>
      <c r="I449" s="39">
        <f>IF(My_Payment[[#This Row],[Payment_Code]]="S",My_Payment[[#This Row],[Total AMT]]/2,IF(My_Payment[[#This Row],[Payment_Code]]="P",My_Payment[[#This Row],[Total AMT]],0))</f>
        <v>62</v>
      </c>
      <c r="J449" s="39">
        <f>IF(My_Payment[[#This Row],[Payment_Code]]="S",My_Payment[[#This Row],[Total AMT]]/2,IF(My_Payment[[#This Row],[Payment_Code]]="N",My_Payment[[#This Row],[Total AMT]],0))</f>
        <v>0</v>
      </c>
    </row>
    <row r="450" spans="1:10">
      <c r="A450" s="38">
        <v>44892</v>
      </c>
      <c r="B450" s="37" t="s">
        <v>357</v>
      </c>
      <c r="C450" s="37" t="s">
        <v>248</v>
      </c>
      <c r="D450" s="37" t="s">
        <v>375</v>
      </c>
      <c r="E450" s="37" t="s">
        <v>211</v>
      </c>
      <c r="F450" s="38">
        <v>44931</v>
      </c>
      <c r="G450" s="37" t="s">
        <v>215</v>
      </c>
      <c r="H450" s="40">
        <v>150</v>
      </c>
      <c r="I450" s="39">
        <f>IF(My_Payment[[#This Row],[Payment_Code]]="S",My_Payment[[#This Row],[Total AMT]]/2,IF(My_Payment[[#This Row],[Payment_Code]]="P",My_Payment[[#This Row],[Total AMT]],0))</f>
        <v>150</v>
      </c>
      <c r="J450" s="39">
        <f>IF(My_Payment[[#This Row],[Payment_Code]]="S",My_Payment[[#This Row],[Total AMT]]/2,IF(My_Payment[[#This Row],[Payment_Code]]="N",My_Payment[[#This Row],[Total AMT]],0))</f>
        <v>0</v>
      </c>
    </row>
    <row r="451" spans="1:10">
      <c r="A451" s="38">
        <v>44892</v>
      </c>
      <c r="B451" s="37" t="s">
        <v>357</v>
      </c>
      <c r="C451" s="37" t="s">
        <v>248</v>
      </c>
      <c r="D451" s="37" t="s">
        <v>376</v>
      </c>
      <c r="E451" s="37" t="s">
        <v>211</v>
      </c>
      <c r="F451" s="38">
        <v>44931</v>
      </c>
      <c r="G451" s="37" t="s">
        <v>215</v>
      </c>
      <c r="H451" s="40">
        <v>243</v>
      </c>
      <c r="I451" s="39">
        <f>IF(My_Payment[[#This Row],[Payment_Code]]="S",My_Payment[[#This Row],[Total AMT]]/2,IF(My_Payment[[#This Row],[Payment_Code]]="P",My_Payment[[#This Row],[Total AMT]],0))</f>
        <v>243</v>
      </c>
      <c r="J451" s="39">
        <f>IF(My_Payment[[#This Row],[Payment_Code]]="S",My_Payment[[#This Row],[Total AMT]]/2,IF(My_Payment[[#This Row],[Payment_Code]]="N",My_Payment[[#This Row],[Total AMT]],0))</f>
        <v>0</v>
      </c>
    </row>
    <row r="452" spans="1:10">
      <c r="A452" s="38">
        <v>44896</v>
      </c>
      <c r="B452" s="37" t="s">
        <v>357</v>
      </c>
      <c r="C452" s="37" t="s">
        <v>248</v>
      </c>
      <c r="D452" s="37" t="s">
        <v>375</v>
      </c>
      <c r="E452" s="37" t="s">
        <v>211</v>
      </c>
      <c r="F452" s="38">
        <v>44931</v>
      </c>
      <c r="G452" s="37" t="s">
        <v>215</v>
      </c>
      <c r="H452" s="40">
        <v>179</v>
      </c>
      <c r="I452" s="39">
        <f>IF(My_Payment[[#This Row],[Payment_Code]]="S",My_Payment[[#This Row],[Total AMT]]/2,IF(My_Payment[[#This Row],[Payment_Code]]="P",My_Payment[[#This Row],[Total AMT]],0))</f>
        <v>179</v>
      </c>
      <c r="J452" s="39">
        <f>IF(My_Payment[[#This Row],[Payment_Code]]="S",My_Payment[[#This Row],[Total AMT]]/2,IF(My_Payment[[#This Row],[Payment_Code]]="N",My_Payment[[#This Row],[Total AMT]],0))</f>
        <v>0</v>
      </c>
    </row>
    <row r="453" spans="1:10">
      <c r="A453" s="38">
        <v>44907</v>
      </c>
      <c r="B453" s="37" t="s">
        <v>208</v>
      </c>
      <c r="C453" s="37" t="s">
        <v>209</v>
      </c>
      <c r="D453" s="37" t="s">
        <v>377</v>
      </c>
      <c r="E453" s="37" t="s">
        <v>211</v>
      </c>
      <c r="F453" s="38">
        <v>44959</v>
      </c>
      <c r="G453" s="37" t="s">
        <v>212</v>
      </c>
      <c r="H453" s="40">
        <v>302</v>
      </c>
      <c r="I453" s="39">
        <f>IF(My_Payment[[#This Row],[Payment_Code]]="S",My_Payment[[#This Row],[Total AMT]]/2,IF(My_Payment[[#This Row],[Payment_Code]]="P",My_Payment[[#This Row],[Total AMT]],0))</f>
        <v>151</v>
      </c>
      <c r="J453" s="39">
        <f>IF(My_Payment[[#This Row],[Payment_Code]]="S",My_Payment[[#This Row],[Total AMT]]/2,IF(My_Payment[[#This Row],[Payment_Code]]="N",My_Payment[[#This Row],[Total AMT]],0))</f>
        <v>151</v>
      </c>
    </row>
    <row r="454" spans="1:10">
      <c r="A454" s="38">
        <v>44907</v>
      </c>
      <c r="B454" s="37" t="s">
        <v>208</v>
      </c>
      <c r="C454" s="37" t="s">
        <v>209</v>
      </c>
      <c r="D454" s="37" t="s">
        <v>378</v>
      </c>
      <c r="E454" s="37" t="s">
        <v>211</v>
      </c>
      <c r="F454" s="38">
        <v>44959</v>
      </c>
      <c r="G454" s="37" t="s">
        <v>212</v>
      </c>
      <c r="H454" s="40">
        <v>553</v>
      </c>
      <c r="I454" s="39">
        <f>IF(My_Payment[[#This Row],[Payment_Code]]="S",My_Payment[[#This Row],[Total AMT]]/2,IF(My_Payment[[#This Row],[Payment_Code]]="P",My_Payment[[#This Row],[Total AMT]],0))</f>
        <v>276.5</v>
      </c>
      <c r="J454" s="39">
        <f>IF(My_Payment[[#This Row],[Payment_Code]]="S",My_Payment[[#This Row],[Total AMT]]/2,IF(My_Payment[[#This Row],[Payment_Code]]="N",My_Payment[[#This Row],[Total AMT]],0))</f>
        <v>276.5</v>
      </c>
    </row>
    <row r="455" spans="1:10">
      <c r="A455" s="38">
        <v>44907</v>
      </c>
      <c r="B455" s="37" t="s">
        <v>208</v>
      </c>
      <c r="C455" s="37" t="s">
        <v>209</v>
      </c>
      <c r="D455" s="37" t="s">
        <v>217</v>
      </c>
      <c r="E455" s="37" t="s">
        <v>211</v>
      </c>
      <c r="F455" s="38">
        <v>44959</v>
      </c>
      <c r="G455" s="37" t="s">
        <v>212</v>
      </c>
      <c r="H455" s="40">
        <v>1205.5</v>
      </c>
      <c r="I455" s="39">
        <v>526.75</v>
      </c>
      <c r="J455" s="39">
        <v>678.75</v>
      </c>
    </row>
    <row r="456" spans="1:10">
      <c r="A456" s="38">
        <v>44913</v>
      </c>
      <c r="B456" s="37" t="s">
        <v>305</v>
      </c>
      <c r="C456" s="37" t="s">
        <v>226</v>
      </c>
      <c r="D456" s="37" t="s">
        <v>379</v>
      </c>
      <c r="E456" s="37" t="s">
        <v>211</v>
      </c>
      <c r="F456" s="38">
        <v>44964</v>
      </c>
      <c r="G456" s="37" t="s">
        <v>215</v>
      </c>
      <c r="H456" s="40">
        <v>116</v>
      </c>
      <c r="I456" s="39">
        <f>IF(My_Payment[[#This Row],[Payment_Code]]="S",My_Payment[[#This Row],[Total AMT]]/2,IF(My_Payment[[#This Row],[Payment_Code]]="P",My_Payment[[#This Row],[Total AMT]],0))</f>
        <v>116</v>
      </c>
      <c r="J456" s="39">
        <f>IF(My_Payment[[#This Row],[Payment_Code]]="S",My_Payment[[#This Row],[Total AMT]]/2,IF(My_Payment[[#This Row],[Payment_Code]]="N",My_Payment[[#This Row],[Total AMT]],0))</f>
        <v>0</v>
      </c>
    </row>
    <row r="457" spans="1:10">
      <c r="A457" s="38">
        <v>44913</v>
      </c>
      <c r="B457" s="37" t="s">
        <v>305</v>
      </c>
      <c r="C457" s="37" t="s">
        <v>226</v>
      </c>
      <c r="D457" s="37" t="s">
        <v>214</v>
      </c>
      <c r="E457" s="37" t="s">
        <v>211</v>
      </c>
      <c r="F457" s="38">
        <v>44964</v>
      </c>
      <c r="G457" s="37" t="s">
        <v>215</v>
      </c>
      <c r="H457" s="40">
        <v>1330</v>
      </c>
      <c r="I457" s="39">
        <f>IF(My_Payment[[#This Row],[Payment_Code]]="S",My_Payment[[#This Row],[Total AMT]]/2,IF(My_Payment[[#This Row],[Payment_Code]]="P",My_Payment[[#This Row],[Total AMT]],0))</f>
        <v>1330</v>
      </c>
      <c r="J457" s="39">
        <f>IF(My_Payment[[#This Row],[Payment_Code]]="S",My_Payment[[#This Row],[Total AMT]]/2,IF(My_Payment[[#This Row],[Payment_Code]]="N",My_Payment[[#This Row],[Total AMT]],0))</f>
        <v>0</v>
      </c>
    </row>
    <row r="458" spans="1:10">
      <c r="A458" s="38">
        <v>44913</v>
      </c>
      <c r="B458" s="37" t="s">
        <v>305</v>
      </c>
      <c r="C458" s="37" t="s">
        <v>226</v>
      </c>
      <c r="D458" s="37" t="s">
        <v>380</v>
      </c>
      <c r="E458" s="37" t="s">
        <v>211</v>
      </c>
      <c r="F458" s="38">
        <v>44964</v>
      </c>
      <c r="G458" s="37" t="s">
        <v>212</v>
      </c>
      <c r="H458" s="40">
        <v>598</v>
      </c>
      <c r="I458" s="39">
        <v>229.5</v>
      </c>
      <c r="J458" s="39">
        <f>139+229.5</f>
        <v>368.5</v>
      </c>
    </row>
    <row r="459" spans="1:10">
      <c r="A459" s="38">
        <v>44907</v>
      </c>
      <c r="B459" s="37" t="s">
        <v>373</v>
      </c>
      <c r="C459" s="37" t="s">
        <v>209</v>
      </c>
      <c r="D459" s="37" t="s">
        <v>381</v>
      </c>
      <c r="E459" s="37" t="s">
        <v>211</v>
      </c>
      <c r="F459" s="38">
        <v>44927</v>
      </c>
      <c r="G459" s="37" t="s">
        <v>215</v>
      </c>
      <c r="H459" s="40">
        <v>1072</v>
      </c>
      <c r="I459" s="39">
        <f>IF(My_Payment[[#This Row],[Payment_Code]]="S",My_Payment[[#This Row],[Total AMT]]/2,IF(My_Payment[[#This Row],[Payment_Code]]="P",My_Payment[[#This Row],[Total AMT]],0))</f>
        <v>1072</v>
      </c>
      <c r="J459" s="39">
        <f>IF(My_Payment[[#This Row],[Payment_Code]]="S",My_Payment[[#This Row],[Total AMT]]/2,IF(My_Payment[[#This Row],[Payment_Code]]="N",My_Payment[[#This Row],[Total AMT]],0))</f>
        <v>0</v>
      </c>
    </row>
    <row r="460" spans="1:10">
      <c r="A460" s="38">
        <v>44913</v>
      </c>
      <c r="B460" s="37" t="s">
        <v>354</v>
      </c>
      <c r="C460" s="37" t="s">
        <v>248</v>
      </c>
      <c r="D460" s="37" t="s">
        <v>355</v>
      </c>
      <c r="E460" s="37" t="s">
        <v>211</v>
      </c>
      <c r="F460" s="38">
        <v>44958</v>
      </c>
      <c r="G460" s="37" t="s">
        <v>215</v>
      </c>
      <c r="H460" s="40">
        <v>200</v>
      </c>
      <c r="I460" s="39">
        <f>IF(My_Payment[[#This Row],[Payment_Code]]="S",My_Payment[[#This Row],[Total AMT]]/2,IF(My_Payment[[#This Row],[Payment_Code]]="P",My_Payment[[#This Row],[Total AMT]],0))</f>
        <v>200</v>
      </c>
      <c r="J460" s="39">
        <f>IF(My_Payment[[#This Row],[Payment_Code]]="S",My_Payment[[#This Row],[Total AMT]]/2,IF(My_Payment[[#This Row],[Payment_Code]]="N",My_Payment[[#This Row],[Total AMT]],0))</f>
        <v>0</v>
      </c>
    </row>
    <row r="461" spans="1:10">
      <c r="A461" s="38">
        <v>45311</v>
      </c>
      <c r="B461" s="37" t="s">
        <v>345</v>
      </c>
      <c r="C461" s="37" t="s">
        <v>248</v>
      </c>
      <c r="D461" s="37" t="s">
        <v>346</v>
      </c>
      <c r="E461" s="37" t="s">
        <v>211</v>
      </c>
      <c r="F461" s="38">
        <v>45353</v>
      </c>
      <c r="G461" s="37" t="s">
        <v>215</v>
      </c>
      <c r="H461" s="40">
        <v>1191.8699999999999</v>
      </c>
      <c r="I461" s="39">
        <f>IF(My_Payment[[#This Row],[Payment_Code]]="S",My_Payment[[#This Row],[Total AMT]]/2,IF(My_Payment[[#This Row],[Payment_Code]]="P",My_Payment[[#This Row],[Total AMT]],0))</f>
        <v>1191.8699999999999</v>
      </c>
      <c r="J461" s="39">
        <f>IF(My_Payment[[#This Row],[Payment_Code]]="S",My_Payment[[#This Row],[Total AMT]]/2,IF(My_Payment[[#This Row],[Payment_Code]]="N",My_Payment[[#This Row],[Total AMT]],0))</f>
        <v>0</v>
      </c>
    </row>
    <row r="462" spans="1:10">
      <c r="A462" s="38">
        <v>45342</v>
      </c>
      <c r="B462" s="37" t="s">
        <v>345</v>
      </c>
      <c r="C462" s="37" t="s">
        <v>248</v>
      </c>
      <c r="D462" s="37" t="s">
        <v>346</v>
      </c>
      <c r="E462" s="37" t="s">
        <v>211</v>
      </c>
      <c r="F462" s="38">
        <v>45384</v>
      </c>
      <c r="G462" s="37" t="s">
        <v>215</v>
      </c>
      <c r="H462" s="40">
        <v>1191.8699999999999</v>
      </c>
      <c r="I462" s="39">
        <f>IF(My_Payment[[#This Row],[Payment_Code]]="S",My_Payment[[#This Row],[Total AMT]]/2,IF(My_Payment[[#This Row],[Payment_Code]]="P",My_Payment[[#This Row],[Total AMT]],0))</f>
        <v>1191.8699999999999</v>
      </c>
      <c r="J462" s="39">
        <f>IF(My_Payment[[#This Row],[Payment_Code]]="S",My_Payment[[#This Row],[Total AMT]]/2,IF(My_Payment[[#This Row],[Payment_Code]]="N",My_Payment[[#This Row],[Total AMT]],0))</f>
        <v>0</v>
      </c>
    </row>
    <row r="463" spans="1:10">
      <c r="A463" s="38">
        <v>45371</v>
      </c>
      <c r="B463" s="37" t="s">
        <v>345</v>
      </c>
      <c r="C463" s="37" t="s">
        <v>248</v>
      </c>
      <c r="D463" s="37" t="s">
        <v>346</v>
      </c>
      <c r="E463" s="37" t="s">
        <v>211</v>
      </c>
      <c r="F463" s="38">
        <v>45414</v>
      </c>
      <c r="G463" s="37" t="s">
        <v>215</v>
      </c>
      <c r="H463" s="40">
        <v>1191.8699999999999</v>
      </c>
      <c r="I463" s="39">
        <f>IF(My_Payment[[#This Row],[Payment_Code]]="S",My_Payment[[#This Row],[Total AMT]]/2,IF(My_Payment[[#This Row],[Payment_Code]]="P",My_Payment[[#This Row],[Total AMT]],0))</f>
        <v>1191.8699999999999</v>
      </c>
      <c r="J463" s="39">
        <f>IF(My_Payment[[#This Row],[Payment_Code]]="S",My_Payment[[#This Row],[Total AMT]]/2,IF(My_Payment[[#This Row],[Payment_Code]]="N",My_Payment[[#This Row],[Total AMT]],0))</f>
        <v>0</v>
      </c>
    </row>
    <row r="464" spans="1:10">
      <c r="A464" s="38">
        <v>45402</v>
      </c>
      <c r="B464" s="37" t="s">
        <v>345</v>
      </c>
      <c r="C464" s="37" t="s">
        <v>248</v>
      </c>
      <c r="D464" s="37" t="s">
        <v>346</v>
      </c>
      <c r="E464" s="37" t="s">
        <v>211</v>
      </c>
      <c r="F464" s="38">
        <v>45445</v>
      </c>
      <c r="G464" s="37" t="s">
        <v>215</v>
      </c>
      <c r="H464" s="40">
        <v>1191.8699999999999</v>
      </c>
      <c r="I464" s="39">
        <f>IF(My_Payment[[#This Row],[Payment_Code]]="S",My_Payment[[#This Row],[Total AMT]]/2,IF(My_Payment[[#This Row],[Payment_Code]]="P",My_Payment[[#This Row],[Total AMT]],0))</f>
        <v>1191.8699999999999</v>
      </c>
      <c r="J464" s="39">
        <f>IF(My_Payment[[#This Row],[Payment_Code]]="S",My_Payment[[#This Row],[Total AMT]]/2,IF(My_Payment[[#This Row],[Payment_Code]]="N",My_Payment[[#This Row],[Total AMT]],0))</f>
        <v>0</v>
      </c>
    </row>
    <row r="465" spans="1:10">
      <c r="A465" s="38">
        <v>44920</v>
      </c>
      <c r="B465" s="37" t="s">
        <v>225</v>
      </c>
      <c r="C465" s="37" t="s">
        <v>226</v>
      </c>
      <c r="D465" s="37" t="s">
        <v>238</v>
      </c>
      <c r="E465" s="37" t="s">
        <v>211</v>
      </c>
      <c r="F465" s="38">
        <v>44948</v>
      </c>
      <c r="G465" s="37" t="s">
        <v>212</v>
      </c>
      <c r="H465" s="40">
        <v>592</v>
      </c>
      <c r="I465" s="39">
        <f>99+(69/2)</f>
        <v>133.5</v>
      </c>
      <c r="J465" s="39">
        <f>My_Payment[[#This Row],[Total AMT]]-My_Payment[[#This Row],[PK_AMT]]</f>
        <v>458.5</v>
      </c>
    </row>
    <row r="466" spans="1:10">
      <c r="A466" s="38">
        <v>44920</v>
      </c>
      <c r="B466" s="37" t="s">
        <v>373</v>
      </c>
      <c r="C466" s="37" t="s">
        <v>209</v>
      </c>
      <c r="D466" s="37" t="s">
        <v>382</v>
      </c>
      <c r="E466" s="37" t="s">
        <v>211</v>
      </c>
      <c r="F466" s="38">
        <v>44958</v>
      </c>
      <c r="G466" s="37" t="s">
        <v>215</v>
      </c>
      <c r="H466" s="40">
        <v>154</v>
      </c>
      <c r="I466" s="39">
        <f>IF(My_Payment[[#This Row],[Payment_Code]]="S",My_Payment[[#This Row],[Total AMT]]/2,IF(My_Payment[[#This Row],[Payment_Code]]="P",My_Payment[[#This Row],[Total AMT]],0))</f>
        <v>154</v>
      </c>
      <c r="J466" s="39">
        <f>IF(My_Payment[[#This Row],[Payment_Code]]="S",My_Payment[[#This Row],[Total AMT]]/2,IF(My_Payment[[#This Row],[Payment_Code]]="N",My_Payment[[#This Row],[Total AMT]],0))</f>
        <v>0</v>
      </c>
    </row>
    <row r="467" spans="1:10">
      <c r="A467" s="38">
        <v>44920</v>
      </c>
      <c r="B467" s="37" t="s">
        <v>373</v>
      </c>
      <c r="C467" s="37" t="s">
        <v>209</v>
      </c>
      <c r="D467" s="37" t="s">
        <v>383</v>
      </c>
      <c r="E467" s="37" t="s">
        <v>211</v>
      </c>
      <c r="F467" s="38">
        <v>44958</v>
      </c>
      <c r="G467" s="37" t="s">
        <v>215</v>
      </c>
      <c r="H467" s="40">
        <v>165</v>
      </c>
      <c r="I467" s="39">
        <f>IF(My_Payment[[#This Row],[Payment_Code]]="S",My_Payment[[#This Row],[Total AMT]]/2,IF(My_Payment[[#This Row],[Payment_Code]]="P",My_Payment[[#This Row],[Total AMT]],0))</f>
        <v>165</v>
      </c>
      <c r="J467" s="39">
        <f>IF(My_Payment[[#This Row],[Payment_Code]]="S",My_Payment[[#This Row],[Total AMT]]/2,IF(My_Payment[[#This Row],[Payment_Code]]="N",My_Payment[[#This Row],[Total AMT]],0))</f>
        <v>0</v>
      </c>
    </row>
    <row r="468" spans="1:10">
      <c r="A468" s="38">
        <v>44921</v>
      </c>
      <c r="B468" s="37" t="s">
        <v>373</v>
      </c>
      <c r="C468" s="37" t="s">
        <v>209</v>
      </c>
      <c r="D468" s="37" t="s">
        <v>384</v>
      </c>
      <c r="E468" s="37" t="s">
        <v>211</v>
      </c>
      <c r="F468" s="38">
        <v>44958</v>
      </c>
      <c r="G468" s="37" t="s">
        <v>215</v>
      </c>
      <c r="H468" s="40">
        <v>165</v>
      </c>
      <c r="I468" s="39">
        <f>IF(My_Payment[[#This Row],[Payment_Code]]="S",My_Payment[[#This Row],[Total AMT]]/2,IF(My_Payment[[#This Row],[Payment_Code]]="P",My_Payment[[#This Row],[Total AMT]],0))</f>
        <v>165</v>
      </c>
      <c r="J468" s="39">
        <f>IF(My_Payment[[#This Row],[Payment_Code]]="S",My_Payment[[#This Row],[Total AMT]]/2,IF(My_Payment[[#This Row],[Payment_Code]]="N",My_Payment[[#This Row],[Total AMT]],0))</f>
        <v>0</v>
      </c>
    </row>
    <row r="469" spans="1:10">
      <c r="A469" s="38">
        <v>44921</v>
      </c>
      <c r="B469" s="37" t="s">
        <v>373</v>
      </c>
      <c r="C469" s="37" t="s">
        <v>209</v>
      </c>
      <c r="D469" s="37" t="s">
        <v>385</v>
      </c>
      <c r="E469" s="37" t="s">
        <v>211</v>
      </c>
      <c r="F469" s="38">
        <v>44958</v>
      </c>
      <c r="G469" s="37" t="s">
        <v>215</v>
      </c>
      <c r="H469" s="40">
        <v>286</v>
      </c>
      <c r="I469" s="39">
        <f>IF(My_Payment[[#This Row],[Payment_Code]]="S",My_Payment[[#This Row],[Total AMT]]/2,IF(My_Payment[[#This Row],[Payment_Code]]="P",My_Payment[[#This Row],[Total AMT]],0))</f>
        <v>286</v>
      </c>
      <c r="J469" s="39">
        <f>IF(My_Payment[[#This Row],[Payment_Code]]="S",My_Payment[[#This Row],[Total AMT]]/2,IF(My_Payment[[#This Row],[Payment_Code]]="N",My_Payment[[#This Row],[Total AMT]],0))</f>
        <v>0</v>
      </c>
    </row>
    <row r="470" spans="1:10">
      <c r="A470" s="38">
        <v>44919</v>
      </c>
      <c r="B470" s="37" t="s">
        <v>354</v>
      </c>
      <c r="C470" s="37" t="s">
        <v>248</v>
      </c>
      <c r="D470" s="37" t="s">
        <v>356</v>
      </c>
      <c r="E470" s="37" t="s">
        <v>211</v>
      </c>
      <c r="F470" s="38">
        <v>44958</v>
      </c>
      <c r="G470" s="37" t="s">
        <v>215</v>
      </c>
      <c r="H470" s="40">
        <v>304</v>
      </c>
      <c r="I470" s="39">
        <f>IF(My_Payment[[#This Row],[Payment_Code]]="S",My_Payment[[#This Row],[Total AMT]]/2,IF(My_Payment[[#This Row],[Payment_Code]]="P",My_Payment[[#This Row],[Total AMT]],0))</f>
        <v>304</v>
      </c>
      <c r="J470" s="39">
        <f>IF(My_Payment[[#This Row],[Payment_Code]]="S",My_Payment[[#This Row],[Total AMT]]/2,IF(My_Payment[[#This Row],[Payment_Code]]="N",My_Payment[[#This Row],[Total AMT]],0))</f>
        <v>0</v>
      </c>
    </row>
    <row r="471" spans="1:10">
      <c r="A471" s="38">
        <v>44921</v>
      </c>
      <c r="B471" s="37" t="s">
        <v>354</v>
      </c>
      <c r="C471" s="37" t="s">
        <v>248</v>
      </c>
      <c r="D471" s="37" t="s">
        <v>356</v>
      </c>
      <c r="E471" s="37" t="s">
        <v>211</v>
      </c>
      <c r="F471" s="38">
        <v>44958</v>
      </c>
      <c r="G471" s="37" t="s">
        <v>215</v>
      </c>
      <c r="H471" s="40">
        <v>223</v>
      </c>
      <c r="I471" s="39">
        <f>IF(My_Payment[[#This Row],[Payment_Code]]="S",My_Payment[[#This Row],[Total AMT]]/2,IF(My_Payment[[#This Row],[Payment_Code]]="P",My_Payment[[#This Row],[Total AMT]],0))</f>
        <v>223</v>
      </c>
      <c r="J471" s="39">
        <f>IF(My_Payment[[#This Row],[Payment_Code]]="S",My_Payment[[#This Row],[Total AMT]]/2,IF(My_Payment[[#This Row],[Payment_Code]]="N",My_Payment[[#This Row],[Total AMT]],0))</f>
        <v>0</v>
      </c>
    </row>
    <row r="472" spans="1:10">
      <c r="A472" s="38">
        <v>44920</v>
      </c>
      <c r="B472" s="37" t="s">
        <v>357</v>
      </c>
      <c r="C472" s="37" t="s">
        <v>248</v>
      </c>
      <c r="D472" s="37" t="s">
        <v>386</v>
      </c>
      <c r="E472" s="37" t="s">
        <v>211</v>
      </c>
      <c r="F472" s="38">
        <v>44962</v>
      </c>
      <c r="G472" s="37" t="s">
        <v>215</v>
      </c>
      <c r="H472" s="40">
        <v>166</v>
      </c>
      <c r="I472" s="39">
        <f>IF(My_Payment[[#This Row],[Payment_Code]]="S",My_Payment[[#This Row],[Total AMT]]/2,IF(My_Payment[[#This Row],[Payment_Code]]="P",My_Payment[[#This Row],[Total AMT]],0))</f>
        <v>166</v>
      </c>
      <c r="J472" s="39">
        <f>IF(My_Payment[[#This Row],[Payment_Code]]="S",My_Payment[[#This Row],[Total AMT]]/2,IF(My_Payment[[#This Row],[Payment_Code]]="N",My_Payment[[#This Row],[Total AMT]],0))</f>
        <v>0</v>
      </c>
    </row>
    <row r="473" spans="1:10">
      <c r="A473" s="38">
        <v>44927</v>
      </c>
      <c r="B473" s="37" t="s">
        <v>225</v>
      </c>
      <c r="C473" s="37" t="s">
        <v>226</v>
      </c>
      <c r="D473" s="37" t="s">
        <v>387</v>
      </c>
      <c r="E473" s="37" t="s">
        <v>211</v>
      </c>
      <c r="F473" s="38">
        <v>44948</v>
      </c>
      <c r="G473" s="37" t="s">
        <v>212</v>
      </c>
      <c r="H473" s="40">
        <v>1227</v>
      </c>
      <c r="I473" s="39">
        <f>(My_Payment[[#This Row],[Total AMT]]-190)/2</f>
        <v>518.5</v>
      </c>
      <c r="J473" s="39">
        <f>My_Payment[[#This Row],[Total AMT]]-My_Payment[[#This Row],[PK_AMT]]</f>
        <v>708.5</v>
      </c>
    </row>
    <row r="474" spans="1:10">
      <c r="A474" s="38">
        <v>44926</v>
      </c>
      <c r="B474" s="37" t="s">
        <v>208</v>
      </c>
      <c r="C474" s="37" t="s">
        <v>209</v>
      </c>
      <c r="D474" s="37" t="s">
        <v>217</v>
      </c>
      <c r="E474" s="37" t="s">
        <v>211</v>
      </c>
      <c r="F474" s="38">
        <v>44959</v>
      </c>
      <c r="G474" s="37" t="s">
        <v>212</v>
      </c>
      <c r="H474" s="40">
        <v>1137.75</v>
      </c>
      <c r="I474" s="39">
        <v>679.88</v>
      </c>
      <c r="J474" s="39">
        <v>457.87</v>
      </c>
    </row>
    <row r="475" spans="1:10">
      <c r="A475" s="38">
        <v>44929</v>
      </c>
      <c r="B475" s="37" t="s">
        <v>225</v>
      </c>
      <c r="C475" s="37" t="s">
        <v>226</v>
      </c>
      <c r="D475" s="37" t="s">
        <v>227</v>
      </c>
      <c r="E475" s="37" t="s">
        <v>211</v>
      </c>
      <c r="F475" s="38">
        <v>44979</v>
      </c>
      <c r="G475" s="37" t="s">
        <v>215</v>
      </c>
      <c r="H475" s="40">
        <v>419</v>
      </c>
      <c r="I475" s="39">
        <f>My_Payment[[#This Row],[Total AMT]]-My_Payment[[#This Row],[NC_AMT]]</f>
        <v>419</v>
      </c>
      <c r="J475" s="39">
        <f>IF(My_Payment[[#This Row],[Payment_Code]]="S",My_Payment[[#This Row],[Total AMT]]/2,IF(My_Payment[[#This Row],[Payment_Code]]="N",My_Payment[[#This Row],[Total AMT]],0))</f>
        <v>0</v>
      </c>
    </row>
    <row r="476" spans="1:10">
      <c r="A476" s="38">
        <v>44927</v>
      </c>
      <c r="B476" s="37" t="s">
        <v>305</v>
      </c>
      <c r="C476" s="37" t="s">
        <v>226</v>
      </c>
      <c r="D476" s="37" t="s">
        <v>33</v>
      </c>
      <c r="E476" s="37" t="s">
        <v>211</v>
      </c>
      <c r="F476" s="38">
        <v>44964</v>
      </c>
      <c r="G476" s="37" t="s">
        <v>215</v>
      </c>
      <c r="H476" s="40">
        <v>1396.5</v>
      </c>
      <c r="I476" s="39">
        <f>IF(My_Payment[[#This Row],[Payment_Code]]="S",My_Payment[[#This Row],[Total AMT]]/2,IF(My_Payment[[#This Row],[Payment_Code]]="P",My_Payment[[#This Row],[Total AMT]],0))</f>
        <v>1396.5</v>
      </c>
      <c r="J476" s="39">
        <f>IF(My_Payment[[#This Row],[Payment_Code]]="S",My_Payment[[#This Row],[Total AMT]]/2,IF(My_Payment[[#This Row],[Payment_Code]]="N",My_Payment[[#This Row],[Total AMT]],0))</f>
        <v>0</v>
      </c>
    </row>
    <row r="477" spans="1:10">
      <c r="A477" s="38">
        <v>44946</v>
      </c>
      <c r="B477" s="37" t="s">
        <v>305</v>
      </c>
      <c r="C477" s="37" t="s">
        <v>226</v>
      </c>
      <c r="D477" s="37" t="s">
        <v>388</v>
      </c>
      <c r="E477" s="37" t="s">
        <v>306</v>
      </c>
      <c r="F477" s="38">
        <v>44992</v>
      </c>
      <c r="G477" s="37" t="s">
        <v>215</v>
      </c>
      <c r="H477" s="40">
        <v>1684.74</v>
      </c>
      <c r="I477" s="39">
        <f>IF(My_Payment[[#This Row],[Payment_Code]]="S",My_Payment[[#This Row],[Total AMT]]/2,IF(My_Payment[[#This Row],[Payment_Code]]="P",My_Payment[[#This Row],[Total AMT]],0))</f>
        <v>1684.74</v>
      </c>
      <c r="J477" s="39">
        <f>IF(My_Payment[[#This Row],[Payment_Code]]="S",My_Payment[[#This Row],[Total AMT]]/2,IF(My_Payment[[#This Row],[Payment_Code]]="N",My_Payment[[#This Row],[Total AMT]],0))</f>
        <v>0</v>
      </c>
    </row>
    <row r="478" spans="1:10">
      <c r="A478" s="38">
        <v>44977</v>
      </c>
      <c r="B478" s="37" t="s">
        <v>305</v>
      </c>
      <c r="C478" s="37" t="s">
        <v>226</v>
      </c>
      <c r="D478" s="37" t="s">
        <v>388</v>
      </c>
      <c r="E478" s="37" t="s">
        <v>307</v>
      </c>
      <c r="F478" s="38">
        <v>45023</v>
      </c>
      <c r="G478" s="37" t="s">
        <v>215</v>
      </c>
      <c r="H478" s="40">
        <v>1684.74</v>
      </c>
      <c r="I478" s="39">
        <f>IF(My_Payment[[#This Row],[Payment_Code]]="S",My_Payment[[#This Row],[Total AMT]]/2,IF(My_Payment[[#This Row],[Payment_Code]]="P",My_Payment[[#This Row],[Total AMT]],0))</f>
        <v>1684.74</v>
      </c>
      <c r="J478" s="39">
        <f>IF(My_Payment[[#This Row],[Payment_Code]]="S",My_Payment[[#This Row],[Total AMT]]/2,IF(My_Payment[[#This Row],[Payment_Code]]="N",My_Payment[[#This Row],[Total AMT]],0))</f>
        <v>0</v>
      </c>
    </row>
    <row r="479" spans="1:10">
      <c r="A479" s="38">
        <v>45005</v>
      </c>
      <c r="B479" s="37" t="s">
        <v>305</v>
      </c>
      <c r="C479" s="37" t="s">
        <v>226</v>
      </c>
      <c r="D479" s="37" t="s">
        <v>388</v>
      </c>
      <c r="E479" s="37" t="s">
        <v>308</v>
      </c>
      <c r="F479" s="38">
        <v>45053</v>
      </c>
      <c r="G479" s="37" t="s">
        <v>215</v>
      </c>
      <c r="H479" s="40">
        <v>1684.74</v>
      </c>
      <c r="I479" s="39">
        <f>IF(My_Payment[[#This Row],[Payment_Code]]="S",My_Payment[[#This Row],[Total AMT]]/2,IF(My_Payment[[#This Row],[Payment_Code]]="P",My_Payment[[#This Row],[Total AMT]],0))</f>
        <v>1684.74</v>
      </c>
      <c r="J479" s="39">
        <f>IF(My_Payment[[#This Row],[Payment_Code]]="S",My_Payment[[#This Row],[Total AMT]]/2,IF(My_Payment[[#This Row],[Payment_Code]]="N",My_Payment[[#This Row],[Total AMT]],0))</f>
        <v>0</v>
      </c>
    </row>
    <row r="480" spans="1:10">
      <c r="A480" s="38">
        <v>45036</v>
      </c>
      <c r="B480" s="37" t="s">
        <v>305</v>
      </c>
      <c r="C480" s="37" t="s">
        <v>226</v>
      </c>
      <c r="D480" s="37" t="s">
        <v>388</v>
      </c>
      <c r="E480" s="37" t="s">
        <v>309</v>
      </c>
      <c r="F480" s="38">
        <v>45084</v>
      </c>
      <c r="G480" s="37" t="s">
        <v>215</v>
      </c>
      <c r="H480" s="40">
        <v>1684.74</v>
      </c>
      <c r="I480" s="39">
        <f>IF(My_Payment[[#This Row],[Payment_Code]]="S",My_Payment[[#This Row],[Total AMT]]/2,IF(My_Payment[[#This Row],[Payment_Code]]="P",My_Payment[[#This Row],[Total AMT]],0))</f>
        <v>1684.74</v>
      </c>
      <c r="J480" s="39">
        <f>IF(My_Payment[[#This Row],[Payment_Code]]="S",My_Payment[[#This Row],[Total AMT]]/2,IF(My_Payment[[#This Row],[Payment_Code]]="N",My_Payment[[#This Row],[Total AMT]],0))</f>
        <v>0</v>
      </c>
    </row>
    <row r="481" spans="1:10">
      <c r="A481" s="38">
        <v>45066</v>
      </c>
      <c r="B481" s="37" t="s">
        <v>305</v>
      </c>
      <c r="C481" s="37" t="s">
        <v>226</v>
      </c>
      <c r="D481" s="37" t="s">
        <v>388</v>
      </c>
      <c r="E481" s="37" t="s">
        <v>310</v>
      </c>
      <c r="F481" s="38">
        <v>45114</v>
      </c>
      <c r="G481" s="37" t="s">
        <v>215</v>
      </c>
      <c r="H481" s="40">
        <v>1684.74</v>
      </c>
      <c r="I481" s="39">
        <f>IF(My_Payment[[#This Row],[Payment_Code]]="S",My_Payment[[#This Row],[Total AMT]]/2,IF(My_Payment[[#This Row],[Payment_Code]]="P",My_Payment[[#This Row],[Total AMT]],0))</f>
        <v>1684.74</v>
      </c>
      <c r="J481" s="39">
        <f>IF(My_Payment[[#This Row],[Payment_Code]]="S",My_Payment[[#This Row],[Total AMT]]/2,IF(My_Payment[[#This Row],[Payment_Code]]="N",My_Payment[[#This Row],[Total AMT]],0))</f>
        <v>0</v>
      </c>
    </row>
    <row r="482" spans="1:10">
      <c r="A482" s="38">
        <v>45097</v>
      </c>
      <c r="B482" s="37" t="s">
        <v>305</v>
      </c>
      <c r="C482" s="37" t="s">
        <v>226</v>
      </c>
      <c r="D482" s="37" t="s">
        <v>388</v>
      </c>
      <c r="E482" s="37" t="s">
        <v>311</v>
      </c>
      <c r="F482" s="38">
        <v>45145</v>
      </c>
      <c r="G482" s="37" t="s">
        <v>215</v>
      </c>
      <c r="H482" s="40">
        <v>1684.74</v>
      </c>
      <c r="I482" s="39">
        <f>IF(My_Payment[[#This Row],[Payment_Code]]="S",My_Payment[[#This Row],[Total AMT]]/2,IF(My_Payment[[#This Row],[Payment_Code]]="P",My_Payment[[#This Row],[Total AMT]],0))</f>
        <v>1684.74</v>
      </c>
      <c r="J482" s="39">
        <f>IF(My_Payment[[#This Row],[Payment_Code]]="S",My_Payment[[#This Row],[Total AMT]]/2,IF(My_Payment[[#This Row],[Payment_Code]]="N",My_Payment[[#This Row],[Total AMT]],0))</f>
        <v>0</v>
      </c>
    </row>
    <row r="483" spans="1:10">
      <c r="A483" s="38">
        <v>45127</v>
      </c>
      <c r="B483" s="37" t="s">
        <v>305</v>
      </c>
      <c r="C483" s="37" t="s">
        <v>226</v>
      </c>
      <c r="D483" s="37" t="s">
        <v>388</v>
      </c>
      <c r="E483" s="37" t="s">
        <v>312</v>
      </c>
      <c r="F483" s="38">
        <v>45176</v>
      </c>
      <c r="G483" s="37" t="s">
        <v>215</v>
      </c>
      <c r="H483" s="40">
        <v>1684.74</v>
      </c>
      <c r="I483" s="39">
        <f>IF(My_Payment[[#This Row],[Payment_Code]]="S",My_Payment[[#This Row],[Total AMT]]/2,IF(My_Payment[[#This Row],[Payment_Code]]="P",My_Payment[[#This Row],[Total AMT]],0))</f>
        <v>1684.74</v>
      </c>
      <c r="J483" s="39">
        <f>IF(My_Payment[[#This Row],[Payment_Code]]="S",My_Payment[[#This Row],[Total AMT]]/2,IF(My_Payment[[#This Row],[Payment_Code]]="N",My_Payment[[#This Row],[Total AMT]],0))</f>
        <v>0</v>
      </c>
    </row>
    <row r="484" spans="1:10">
      <c r="A484" s="38">
        <v>45158</v>
      </c>
      <c r="B484" s="37" t="s">
        <v>305</v>
      </c>
      <c r="C484" s="37" t="s">
        <v>226</v>
      </c>
      <c r="D484" s="37" t="s">
        <v>388</v>
      </c>
      <c r="E484" s="37" t="s">
        <v>313</v>
      </c>
      <c r="F484" s="38">
        <v>45206</v>
      </c>
      <c r="G484" s="37" t="s">
        <v>215</v>
      </c>
      <c r="H484" s="40">
        <v>1684.74</v>
      </c>
      <c r="I484" s="39">
        <f>IF(My_Payment[[#This Row],[Payment_Code]]="S",My_Payment[[#This Row],[Total AMT]]/2,IF(My_Payment[[#This Row],[Payment_Code]]="P",My_Payment[[#This Row],[Total AMT]],0))</f>
        <v>1684.74</v>
      </c>
      <c r="J484" s="39">
        <f>IF(My_Payment[[#This Row],[Payment_Code]]="S",My_Payment[[#This Row],[Total AMT]]/2,IF(My_Payment[[#This Row],[Payment_Code]]="N",My_Payment[[#This Row],[Total AMT]],0))</f>
        <v>0</v>
      </c>
    </row>
    <row r="485" spans="1:10">
      <c r="A485" s="38">
        <v>45189</v>
      </c>
      <c r="B485" s="37" t="s">
        <v>305</v>
      </c>
      <c r="C485" s="37" t="s">
        <v>226</v>
      </c>
      <c r="D485" s="37" t="s">
        <v>388</v>
      </c>
      <c r="E485" s="37" t="s">
        <v>314</v>
      </c>
      <c r="F485" s="38">
        <v>45237</v>
      </c>
      <c r="G485" s="37" t="s">
        <v>215</v>
      </c>
      <c r="H485" s="40">
        <v>1684.74</v>
      </c>
      <c r="I485" s="39">
        <f>IF(My_Payment[[#This Row],[Payment_Code]]="S",My_Payment[[#This Row],[Total AMT]]/2,IF(My_Payment[[#This Row],[Payment_Code]]="P",My_Payment[[#This Row],[Total AMT]],0))</f>
        <v>1684.74</v>
      </c>
      <c r="J485" s="39">
        <f>IF(My_Payment[[#This Row],[Payment_Code]]="S",My_Payment[[#This Row],[Total AMT]]/2,IF(My_Payment[[#This Row],[Payment_Code]]="N",My_Payment[[#This Row],[Total AMT]],0))</f>
        <v>0</v>
      </c>
    </row>
    <row r="486" spans="1:10">
      <c r="A486" s="38">
        <v>45219</v>
      </c>
      <c r="B486" s="37" t="s">
        <v>305</v>
      </c>
      <c r="C486" s="37" t="s">
        <v>226</v>
      </c>
      <c r="D486" s="37" t="s">
        <v>388</v>
      </c>
      <c r="E486" s="37" t="s">
        <v>112</v>
      </c>
      <c r="F486" s="38">
        <v>45267</v>
      </c>
      <c r="G486" s="37" t="s">
        <v>215</v>
      </c>
      <c r="H486" s="40">
        <v>1755.4</v>
      </c>
      <c r="I486" s="39">
        <f>IF(My_Payment[[#This Row],[Payment_Code]]="S",My_Payment[[#This Row],[Total AMT]]/2,IF(My_Payment[[#This Row],[Payment_Code]]="P",My_Payment[[#This Row],[Total AMT]],0))</f>
        <v>1755.4</v>
      </c>
      <c r="J486" s="39">
        <f>IF(My_Payment[[#This Row],[Payment_Code]]="S",My_Payment[[#This Row],[Total AMT]]/2,IF(My_Payment[[#This Row],[Payment_Code]]="N",My_Payment[[#This Row],[Total AMT]],0))</f>
        <v>0</v>
      </c>
    </row>
    <row r="487" spans="1:10">
      <c r="A487" s="38">
        <v>44946</v>
      </c>
      <c r="B487" s="37" t="s">
        <v>348</v>
      </c>
      <c r="C487" s="37" t="s">
        <v>209</v>
      </c>
      <c r="D487" s="37" t="s">
        <v>48</v>
      </c>
      <c r="E487" s="37" t="s">
        <v>211</v>
      </c>
      <c r="F487" s="38">
        <v>44986</v>
      </c>
      <c r="G487" s="37" t="s">
        <v>215</v>
      </c>
      <c r="H487" s="40">
        <v>854.93</v>
      </c>
      <c r="I487" s="39">
        <f>IF(My_Payment[[#This Row],[Payment_Code]]="S",My_Payment[[#This Row],[Total AMT]]/2,IF(My_Payment[[#This Row],[Payment_Code]]="P",My_Payment[[#This Row],[Total AMT]],0))</f>
        <v>854.93</v>
      </c>
      <c r="J487" s="39">
        <f>IF(My_Payment[[#This Row],[Payment_Code]]="S",My_Payment[[#This Row],[Total AMT]]/2,IF(My_Payment[[#This Row],[Payment_Code]]="N",My_Payment[[#This Row],[Total AMT]],0))</f>
        <v>0</v>
      </c>
    </row>
    <row r="488" spans="1:10">
      <c r="A488" s="38">
        <v>44946</v>
      </c>
      <c r="B488" s="37" t="s">
        <v>348</v>
      </c>
      <c r="C488" s="37" t="s">
        <v>209</v>
      </c>
      <c r="D488" s="37" t="s">
        <v>49</v>
      </c>
      <c r="E488" s="37" t="s">
        <v>211</v>
      </c>
      <c r="F488" s="38">
        <v>44986</v>
      </c>
      <c r="G488" s="37" t="s">
        <v>215</v>
      </c>
      <c r="H488" s="40">
        <v>1603.93</v>
      </c>
      <c r="I488" s="39">
        <f>IF(My_Payment[[#This Row],[Payment_Code]]="S",My_Payment[[#This Row],[Total AMT]]/2,IF(My_Payment[[#This Row],[Payment_Code]]="P",My_Payment[[#This Row],[Total AMT]],0))</f>
        <v>1603.93</v>
      </c>
      <c r="J488" s="39">
        <f>IF(My_Payment[[#This Row],[Payment_Code]]="S",My_Payment[[#This Row],[Total AMT]]/2,IF(My_Payment[[#This Row],[Payment_Code]]="N",My_Payment[[#This Row],[Total AMT]],0))</f>
        <v>0</v>
      </c>
    </row>
    <row r="489" spans="1:10">
      <c r="A489" s="38">
        <v>44944</v>
      </c>
      <c r="B489" s="37" t="s">
        <v>348</v>
      </c>
      <c r="C489" s="37" t="s">
        <v>209</v>
      </c>
      <c r="D489" s="37" t="s">
        <v>81</v>
      </c>
      <c r="E489" s="37" t="s">
        <v>211</v>
      </c>
      <c r="F489" s="38">
        <v>44986</v>
      </c>
      <c r="G489" s="37" t="s">
        <v>215</v>
      </c>
      <c r="H489" s="40">
        <v>373.43</v>
      </c>
      <c r="I489" s="39">
        <f>IF(My_Payment[[#This Row],[Payment_Code]]="S",My_Payment[[#This Row],[Total AMT]]/2,IF(My_Payment[[#This Row],[Payment_Code]]="P",My_Payment[[#This Row],[Total AMT]],0))</f>
        <v>373.43</v>
      </c>
      <c r="J489" s="39">
        <f>IF(My_Payment[[#This Row],[Payment_Code]]="S",My_Payment[[#This Row],[Total AMT]]/2,IF(My_Payment[[#This Row],[Payment_Code]]="N",My_Payment[[#This Row],[Total AMT]],0))</f>
        <v>0</v>
      </c>
    </row>
    <row r="490" spans="1:10">
      <c r="A490" s="38">
        <v>44974</v>
      </c>
      <c r="B490" s="37" t="s">
        <v>348</v>
      </c>
      <c r="C490" s="37" t="s">
        <v>209</v>
      </c>
      <c r="D490" s="37" t="s">
        <v>20</v>
      </c>
      <c r="E490" s="37" t="s">
        <v>211</v>
      </c>
      <c r="F490" s="38">
        <v>44986</v>
      </c>
      <c r="G490" s="37" t="s">
        <v>215</v>
      </c>
      <c r="H490" s="40">
        <v>-7.08</v>
      </c>
      <c r="I490" s="39">
        <f>IF(My_Payment[[#This Row],[Payment_Code]]="S",My_Payment[[#This Row],[Total AMT]]/2,IF(My_Payment[[#This Row],[Payment_Code]]="P",My_Payment[[#This Row],[Total AMT]],0))</f>
        <v>-7.08</v>
      </c>
      <c r="J490" s="39">
        <f>IF(My_Payment[[#This Row],[Payment_Code]]="S",My_Payment[[#This Row],[Total AMT]]/2,IF(My_Payment[[#This Row],[Payment_Code]]="N",My_Payment[[#This Row],[Total AMT]],0))</f>
        <v>0</v>
      </c>
    </row>
    <row r="491" spans="1:10">
      <c r="A491" s="38">
        <v>44934</v>
      </c>
      <c r="B491" s="37" t="s">
        <v>354</v>
      </c>
      <c r="C491" s="37" t="s">
        <v>248</v>
      </c>
      <c r="D491" s="37" t="s">
        <v>389</v>
      </c>
      <c r="E491" s="37" t="s">
        <v>211</v>
      </c>
      <c r="F491" s="38">
        <v>44958</v>
      </c>
      <c r="G491" s="37" t="s">
        <v>215</v>
      </c>
      <c r="H491" s="40">
        <v>94</v>
      </c>
      <c r="I491" s="39">
        <f>IF(My_Payment[[#This Row],[Payment_Code]]="S",My_Payment[[#This Row],[Total AMT]]/2,IF(My_Payment[[#This Row],[Payment_Code]]="P",My_Payment[[#This Row],[Total AMT]],0))</f>
        <v>94</v>
      </c>
      <c r="J491" s="39">
        <f>IF(My_Payment[[#This Row],[Payment_Code]]="S",My_Payment[[#This Row],[Total AMT]]/2,IF(My_Payment[[#This Row],[Payment_Code]]="N",My_Payment[[#This Row],[Total AMT]],0))</f>
        <v>0</v>
      </c>
    </row>
    <row r="492" spans="1:10">
      <c r="A492" s="38">
        <v>44944</v>
      </c>
      <c r="B492" s="37" t="s">
        <v>354</v>
      </c>
      <c r="C492" s="37" t="s">
        <v>248</v>
      </c>
      <c r="D492" s="37" t="s">
        <v>355</v>
      </c>
      <c r="E492" s="37" t="s">
        <v>211</v>
      </c>
      <c r="F492" s="38">
        <v>44986</v>
      </c>
      <c r="G492" s="37" t="s">
        <v>215</v>
      </c>
      <c r="H492" s="40">
        <v>200</v>
      </c>
      <c r="I492" s="39">
        <f>IF(My_Payment[[#This Row],[Payment_Code]]="S",My_Payment[[#This Row],[Total AMT]]/2,IF(My_Payment[[#This Row],[Payment_Code]]="P",My_Payment[[#This Row],[Total AMT]],0))</f>
        <v>200</v>
      </c>
      <c r="J492" s="39">
        <f>IF(My_Payment[[#This Row],[Payment_Code]]="S",My_Payment[[#This Row],[Total AMT]]/2,IF(My_Payment[[#This Row],[Payment_Code]]="N",My_Payment[[#This Row],[Total AMT]],0))</f>
        <v>0</v>
      </c>
    </row>
    <row r="493" spans="1:10">
      <c r="A493" s="38">
        <v>44951</v>
      </c>
      <c r="B493" s="37" t="s">
        <v>373</v>
      </c>
      <c r="C493" s="37" t="s">
        <v>209</v>
      </c>
      <c r="D493" s="37" t="s">
        <v>390</v>
      </c>
      <c r="E493" s="37" t="s">
        <v>306</v>
      </c>
      <c r="F493" s="38">
        <v>44986</v>
      </c>
      <c r="G493" s="37" t="s">
        <v>215</v>
      </c>
      <c r="H493" s="40">
        <v>890.1</v>
      </c>
      <c r="I493" s="39">
        <f>IF(My_Payment[[#This Row],[Payment_Code]]="S",My_Payment[[#This Row],[Total AMT]]/2,IF(My_Payment[[#This Row],[Payment_Code]]="P",My_Payment[[#This Row],[Total AMT]],0))</f>
        <v>890.1</v>
      </c>
      <c r="J493" s="39">
        <f>IF(My_Payment[[#This Row],[Payment_Code]]="S",My_Payment[[#This Row],[Total AMT]]/2,IF(My_Payment[[#This Row],[Payment_Code]]="N",My_Payment[[#This Row],[Total AMT]],0))</f>
        <v>0</v>
      </c>
    </row>
    <row r="494" spans="1:10">
      <c r="A494" s="38">
        <v>44982</v>
      </c>
      <c r="B494" s="37" t="s">
        <v>373</v>
      </c>
      <c r="C494" s="37" t="s">
        <v>209</v>
      </c>
      <c r="D494" s="37" t="s">
        <v>390</v>
      </c>
      <c r="E494" s="37" t="s">
        <v>307</v>
      </c>
      <c r="F494" s="38">
        <v>45017</v>
      </c>
      <c r="G494" s="37" t="s">
        <v>215</v>
      </c>
      <c r="H494" s="40">
        <v>890.1</v>
      </c>
      <c r="I494" s="39">
        <f>IF(My_Payment[[#This Row],[Payment_Code]]="S",My_Payment[[#This Row],[Total AMT]]/2,IF(My_Payment[[#This Row],[Payment_Code]]="P",My_Payment[[#This Row],[Total AMT]],0))</f>
        <v>890.1</v>
      </c>
      <c r="J494" s="39">
        <f>IF(My_Payment[[#This Row],[Payment_Code]]="S",My_Payment[[#This Row],[Total AMT]]/2,IF(My_Payment[[#This Row],[Payment_Code]]="N",My_Payment[[#This Row],[Total AMT]],0))</f>
        <v>0</v>
      </c>
    </row>
    <row r="495" spans="1:10">
      <c r="A495" s="38">
        <v>45010</v>
      </c>
      <c r="B495" s="37" t="s">
        <v>373</v>
      </c>
      <c r="C495" s="37" t="s">
        <v>209</v>
      </c>
      <c r="D495" s="37" t="s">
        <v>390</v>
      </c>
      <c r="E495" s="37" t="s">
        <v>308</v>
      </c>
      <c r="F495" s="38">
        <v>45047</v>
      </c>
      <c r="G495" s="37" t="s">
        <v>215</v>
      </c>
      <c r="H495" s="40">
        <v>890.1</v>
      </c>
      <c r="I495" s="39">
        <f>IF(My_Payment[[#This Row],[Payment_Code]]="S",My_Payment[[#This Row],[Total AMT]]/2,IF(My_Payment[[#This Row],[Payment_Code]]="P",My_Payment[[#This Row],[Total AMT]],0))</f>
        <v>890.1</v>
      </c>
      <c r="J495" s="39">
        <f>IF(My_Payment[[#This Row],[Payment_Code]]="S",My_Payment[[#This Row],[Total AMT]]/2,IF(My_Payment[[#This Row],[Payment_Code]]="N",My_Payment[[#This Row],[Total AMT]],0))</f>
        <v>0</v>
      </c>
    </row>
    <row r="496" spans="1:10">
      <c r="A496" s="38">
        <v>45041</v>
      </c>
      <c r="B496" s="37" t="s">
        <v>373</v>
      </c>
      <c r="C496" s="37" t="s">
        <v>209</v>
      </c>
      <c r="D496" s="37" t="s">
        <v>390</v>
      </c>
      <c r="E496" s="37" t="s">
        <v>309</v>
      </c>
      <c r="F496" s="38">
        <v>45078</v>
      </c>
      <c r="G496" s="37" t="s">
        <v>215</v>
      </c>
      <c r="H496" s="40">
        <v>890.1</v>
      </c>
      <c r="I496" s="39">
        <f>IF(My_Payment[[#This Row],[Payment_Code]]="S",My_Payment[[#This Row],[Total AMT]]/2,IF(My_Payment[[#This Row],[Payment_Code]]="P",My_Payment[[#This Row],[Total AMT]],0))</f>
        <v>890.1</v>
      </c>
      <c r="J496" s="39">
        <f>IF(My_Payment[[#This Row],[Payment_Code]]="S",My_Payment[[#This Row],[Total AMT]]/2,IF(My_Payment[[#This Row],[Payment_Code]]="N",My_Payment[[#This Row],[Total AMT]],0))</f>
        <v>0</v>
      </c>
    </row>
    <row r="497" spans="1:10">
      <c r="A497" s="38">
        <v>45071</v>
      </c>
      <c r="B497" s="37" t="s">
        <v>373</v>
      </c>
      <c r="C497" s="37" t="s">
        <v>209</v>
      </c>
      <c r="D497" s="37" t="s">
        <v>390</v>
      </c>
      <c r="E497" s="37" t="s">
        <v>310</v>
      </c>
      <c r="F497" s="38">
        <v>45108</v>
      </c>
      <c r="G497" s="37" t="s">
        <v>215</v>
      </c>
      <c r="H497" s="40">
        <v>890.1</v>
      </c>
      <c r="I497" s="39">
        <f>IF(My_Payment[[#This Row],[Payment_Code]]="S",My_Payment[[#This Row],[Total AMT]]/2,IF(My_Payment[[#This Row],[Payment_Code]]="P",My_Payment[[#This Row],[Total AMT]],0))</f>
        <v>890.1</v>
      </c>
      <c r="J497" s="39">
        <f>IF(My_Payment[[#This Row],[Payment_Code]]="S",My_Payment[[#This Row],[Total AMT]]/2,IF(My_Payment[[#This Row],[Payment_Code]]="N",My_Payment[[#This Row],[Total AMT]],0))</f>
        <v>0</v>
      </c>
    </row>
    <row r="498" spans="1:10">
      <c r="A498" s="38">
        <v>45102</v>
      </c>
      <c r="B498" s="37" t="s">
        <v>373</v>
      </c>
      <c r="C498" s="37" t="s">
        <v>209</v>
      </c>
      <c r="D498" s="37" t="s">
        <v>390</v>
      </c>
      <c r="E498" s="37" t="s">
        <v>311</v>
      </c>
      <c r="F498" s="38">
        <v>45139</v>
      </c>
      <c r="G498" s="37" t="s">
        <v>215</v>
      </c>
      <c r="H498" s="40">
        <v>890.1</v>
      </c>
      <c r="I498" s="39">
        <f>IF(My_Payment[[#This Row],[Payment_Code]]="S",My_Payment[[#This Row],[Total AMT]]/2,IF(My_Payment[[#This Row],[Payment_Code]]="P",My_Payment[[#This Row],[Total AMT]],0))</f>
        <v>890.1</v>
      </c>
      <c r="J498" s="39">
        <f>IF(My_Payment[[#This Row],[Payment_Code]]="S",My_Payment[[#This Row],[Total AMT]]/2,IF(My_Payment[[#This Row],[Payment_Code]]="N",My_Payment[[#This Row],[Total AMT]],0))</f>
        <v>0</v>
      </c>
    </row>
    <row r="499" spans="1:10">
      <c r="A499" s="38">
        <v>45132</v>
      </c>
      <c r="B499" s="37" t="s">
        <v>373</v>
      </c>
      <c r="C499" s="37" t="s">
        <v>209</v>
      </c>
      <c r="D499" s="37" t="s">
        <v>390</v>
      </c>
      <c r="E499" s="37" t="s">
        <v>312</v>
      </c>
      <c r="F499" s="38">
        <v>45170</v>
      </c>
      <c r="G499" s="37" t="s">
        <v>215</v>
      </c>
      <c r="H499" s="40">
        <v>890.1</v>
      </c>
      <c r="I499" s="39">
        <f>IF(My_Payment[[#This Row],[Payment_Code]]="S",My_Payment[[#This Row],[Total AMT]]/2,IF(My_Payment[[#This Row],[Payment_Code]]="P",My_Payment[[#This Row],[Total AMT]],0))</f>
        <v>890.1</v>
      </c>
      <c r="J499" s="39">
        <f>IF(My_Payment[[#This Row],[Payment_Code]]="S",My_Payment[[#This Row],[Total AMT]]/2,IF(My_Payment[[#This Row],[Payment_Code]]="N",My_Payment[[#This Row],[Total AMT]],0))</f>
        <v>0</v>
      </c>
    </row>
    <row r="500" spans="1:10">
      <c r="A500" s="38">
        <v>45163</v>
      </c>
      <c r="B500" s="37" t="s">
        <v>373</v>
      </c>
      <c r="C500" s="37" t="s">
        <v>209</v>
      </c>
      <c r="D500" s="37" t="s">
        <v>390</v>
      </c>
      <c r="E500" s="37" t="s">
        <v>313</v>
      </c>
      <c r="F500" s="38">
        <v>45200</v>
      </c>
      <c r="G500" s="37" t="s">
        <v>215</v>
      </c>
      <c r="H500" s="40">
        <v>890.1</v>
      </c>
      <c r="I500" s="39">
        <f>IF(My_Payment[[#This Row],[Payment_Code]]="S",My_Payment[[#This Row],[Total AMT]]/2,IF(My_Payment[[#This Row],[Payment_Code]]="P",My_Payment[[#This Row],[Total AMT]],0))</f>
        <v>890.1</v>
      </c>
      <c r="J500" s="39">
        <f>IF(My_Payment[[#This Row],[Payment_Code]]="S",My_Payment[[#This Row],[Total AMT]]/2,IF(My_Payment[[#This Row],[Payment_Code]]="N",My_Payment[[#This Row],[Total AMT]],0))</f>
        <v>0</v>
      </c>
    </row>
    <row r="501" spans="1:10">
      <c r="A501" s="38">
        <v>45194</v>
      </c>
      <c r="B501" s="37" t="s">
        <v>373</v>
      </c>
      <c r="C501" s="37" t="s">
        <v>209</v>
      </c>
      <c r="D501" s="37" t="s">
        <v>390</v>
      </c>
      <c r="E501" s="37" t="s">
        <v>314</v>
      </c>
      <c r="F501" s="38">
        <v>45231</v>
      </c>
      <c r="G501" s="37" t="s">
        <v>215</v>
      </c>
      <c r="H501" s="40">
        <v>890.1</v>
      </c>
      <c r="I501" s="39">
        <f>IF(My_Payment[[#This Row],[Payment_Code]]="S",My_Payment[[#This Row],[Total AMT]]/2,IF(My_Payment[[#This Row],[Payment_Code]]="P",My_Payment[[#This Row],[Total AMT]],0))</f>
        <v>890.1</v>
      </c>
      <c r="J501" s="39">
        <f>IF(My_Payment[[#This Row],[Payment_Code]]="S",My_Payment[[#This Row],[Total AMT]]/2,IF(My_Payment[[#This Row],[Payment_Code]]="N",My_Payment[[#This Row],[Total AMT]],0))</f>
        <v>0</v>
      </c>
    </row>
    <row r="502" spans="1:10">
      <c r="A502" s="38">
        <v>45224</v>
      </c>
      <c r="B502" s="37" t="s">
        <v>373</v>
      </c>
      <c r="C502" s="37" t="s">
        <v>209</v>
      </c>
      <c r="D502" s="37" t="s">
        <v>390</v>
      </c>
      <c r="E502" s="37" t="s">
        <v>112</v>
      </c>
      <c r="F502" s="38">
        <v>45261</v>
      </c>
      <c r="G502" s="37" t="s">
        <v>215</v>
      </c>
      <c r="H502" s="40">
        <v>890.1</v>
      </c>
      <c r="I502" s="39">
        <f>IF(My_Payment[[#This Row],[Payment_Code]]="S",My_Payment[[#This Row],[Total AMT]]/2,IF(My_Payment[[#This Row],[Payment_Code]]="P",My_Payment[[#This Row],[Total AMT]],0))</f>
        <v>890.1</v>
      </c>
      <c r="J502" s="39">
        <f>IF(My_Payment[[#This Row],[Payment_Code]]="S",My_Payment[[#This Row],[Total AMT]]/2,IF(My_Payment[[#This Row],[Payment_Code]]="N",My_Payment[[#This Row],[Total AMT]],0))</f>
        <v>0</v>
      </c>
    </row>
    <row r="503" spans="1:10">
      <c r="A503" s="38">
        <v>44960</v>
      </c>
      <c r="B503" s="37" t="s">
        <v>225</v>
      </c>
      <c r="C503" s="37" t="s">
        <v>226</v>
      </c>
      <c r="D503" s="37" t="s">
        <v>227</v>
      </c>
      <c r="E503" s="37" t="s">
        <v>211</v>
      </c>
      <c r="F503" s="38">
        <v>45007</v>
      </c>
      <c r="G503" s="37" t="s">
        <v>215</v>
      </c>
      <c r="H503" s="40">
        <v>419</v>
      </c>
      <c r="I503" s="39">
        <f>My_Payment[[#This Row],[Total AMT]]-My_Payment[[#This Row],[NC_AMT]]</f>
        <v>419</v>
      </c>
      <c r="J503" s="39">
        <f>IF(My_Payment[[#This Row],[Payment_Code]]="S",My_Payment[[#This Row],[Total AMT]]/2,IF(My_Payment[[#This Row],[Payment_Code]]="N",My_Payment[[#This Row],[Total AMT]],0))</f>
        <v>0</v>
      </c>
    </row>
    <row r="504" spans="1:10">
      <c r="A504" s="38">
        <v>44988</v>
      </c>
      <c r="B504" s="37" t="s">
        <v>225</v>
      </c>
      <c r="C504" s="37" t="s">
        <v>226</v>
      </c>
      <c r="D504" s="37" t="s">
        <v>227</v>
      </c>
      <c r="E504" s="37" t="s">
        <v>211</v>
      </c>
      <c r="F504" s="38">
        <v>45038</v>
      </c>
      <c r="G504" s="37" t="s">
        <v>215</v>
      </c>
      <c r="H504" s="40">
        <v>419</v>
      </c>
      <c r="I504" s="39">
        <f>My_Payment[[#This Row],[Total AMT]]-My_Payment[[#This Row],[NC_AMT]]</f>
        <v>419</v>
      </c>
      <c r="J504" s="39">
        <f>IF(My_Payment[[#This Row],[Payment_Code]]="S",My_Payment[[#This Row],[Total AMT]]/2,IF(My_Payment[[#This Row],[Payment_Code]]="N",My_Payment[[#This Row],[Total AMT]],0))</f>
        <v>0</v>
      </c>
    </row>
    <row r="505" spans="1:10">
      <c r="A505" s="38">
        <v>45019</v>
      </c>
      <c r="B505" s="37" t="s">
        <v>225</v>
      </c>
      <c r="C505" s="37" t="s">
        <v>226</v>
      </c>
      <c r="D505" s="37" t="s">
        <v>227</v>
      </c>
      <c r="E505" s="37" t="s">
        <v>211</v>
      </c>
      <c r="F505" s="38">
        <v>45068</v>
      </c>
      <c r="G505" s="37" t="s">
        <v>215</v>
      </c>
      <c r="H505" s="40">
        <v>419</v>
      </c>
      <c r="I505" s="39">
        <f>My_Payment[[#This Row],[Total AMT]]-My_Payment[[#This Row],[NC_AMT]]</f>
        <v>419</v>
      </c>
      <c r="J505" s="39">
        <f>IF(My_Payment[[#This Row],[Payment_Code]]="S",My_Payment[[#This Row],[Total AMT]]/2,IF(My_Payment[[#This Row],[Payment_Code]]="N",My_Payment[[#This Row],[Total AMT]],0))</f>
        <v>0</v>
      </c>
    </row>
    <row r="506" spans="1:10">
      <c r="A506" s="38">
        <v>45049</v>
      </c>
      <c r="B506" s="37" t="s">
        <v>225</v>
      </c>
      <c r="C506" s="37" t="s">
        <v>226</v>
      </c>
      <c r="D506" s="37" t="s">
        <v>227</v>
      </c>
      <c r="E506" s="37" t="s">
        <v>211</v>
      </c>
      <c r="F506" s="38">
        <v>45099</v>
      </c>
      <c r="G506" s="37" t="s">
        <v>215</v>
      </c>
      <c r="H506" s="40">
        <v>419</v>
      </c>
      <c r="I506" s="39">
        <f>IF(My_Payment[[#This Row],[Payment_Code]]="S",My_Payment[[#This Row],[Total AMT]]/2,IF(My_Payment[[#This Row],[Payment_Code]]="P",My_Payment[[#This Row],[Total AMT]],0))</f>
        <v>419</v>
      </c>
      <c r="J506" s="39">
        <f>IF(My_Payment[[#This Row],[Payment_Code]]="S",My_Payment[[#This Row],[Total AMT]]/2,IF(My_Payment[[#This Row],[Payment_Code]]="N",My_Payment[[#This Row],[Total AMT]],0))</f>
        <v>0</v>
      </c>
    </row>
    <row r="507" spans="1:10">
      <c r="A507" s="38">
        <v>45080</v>
      </c>
      <c r="B507" s="37" t="s">
        <v>225</v>
      </c>
      <c r="C507" s="37" t="s">
        <v>226</v>
      </c>
      <c r="D507" s="37" t="s">
        <v>227</v>
      </c>
      <c r="E507" s="37" t="s">
        <v>211</v>
      </c>
      <c r="F507" s="38">
        <v>45129</v>
      </c>
      <c r="G507" s="37" t="s">
        <v>215</v>
      </c>
      <c r="H507" s="40">
        <v>419</v>
      </c>
      <c r="I507" s="39">
        <f>IF(My_Payment[[#This Row],[Payment_Code]]="S",My_Payment[[#This Row],[Total AMT]]/2,IF(My_Payment[[#This Row],[Payment_Code]]="P",My_Payment[[#This Row],[Total AMT]],0))</f>
        <v>419</v>
      </c>
      <c r="J507" s="39">
        <f>IF(My_Payment[[#This Row],[Payment_Code]]="S",My_Payment[[#This Row],[Total AMT]]/2,IF(My_Payment[[#This Row],[Payment_Code]]="N",My_Payment[[#This Row],[Total AMT]],0))</f>
        <v>0</v>
      </c>
    </row>
    <row r="508" spans="1:10">
      <c r="A508" s="38">
        <v>45110</v>
      </c>
      <c r="B508" s="37" t="s">
        <v>225</v>
      </c>
      <c r="C508" s="37" t="s">
        <v>226</v>
      </c>
      <c r="D508" s="37" t="s">
        <v>227</v>
      </c>
      <c r="E508" s="37" t="s">
        <v>211</v>
      </c>
      <c r="F508" s="38">
        <v>45160</v>
      </c>
      <c r="G508" s="37" t="s">
        <v>215</v>
      </c>
      <c r="H508" s="40">
        <v>419</v>
      </c>
      <c r="I508" s="39">
        <f>IF(My_Payment[[#This Row],[Payment_Code]]="S",My_Payment[[#This Row],[Total AMT]]/2,IF(My_Payment[[#This Row],[Payment_Code]]="P",My_Payment[[#This Row],[Total AMT]],0))</f>
        <v>419</v>
      </c>
      <c r="J508" s="39">
        <f>IF(My_Payment[[#This Row],[Payment_Code]]="S",My_Payment[[#This Row],[Total AMT]]/2,IF(My_Payment[[#This Row],[Payment_Code]]="N",My_Payment[[#This Row],[Total AMT]],0))</f>
        <v>0</v>
      </c>
    </row>
    <row r="509" spans="1:10">
      <c r="A509" s="38">
        <v>45141</v>
      </c>
      <c r="B509" s="37" t="s">
        <v>225</v>
      </c>
      <c r="C509" s="37" t="s">
        <v>226</v>
      </c>
      <c r="D509" s="37" t="s">
        <v>227</v>
      </c>
      <c r="E509" s="37" t="s">
        <v>211</v>
      </c>
      <c r="F509" s="38">
        <v>45191</v>
      </c>
      <c r="G509" s="37" t="s">
        <v>215</v>
      </c>
      <c r="H509" s="40">
        <v>419</v>
      </c>
      <c r="I509" s="39">
        <f>IF(My_Payment[[#This Row],[Payment_Code]]="S",My_Payment[[#This Row],[Total AMT]]/2,IF(My_Payment[[#This Row],[Payment_Code]]="P",My_Payment[[#This Row],[Total AMT]],0))</f>
        <v>419</v>
      </c>
      <c r="J509" s="39">
        <f>IF(My_Payment[[#This Row],[Payment_Code]]="S",My_Payment[[#This Row],[Total AMT]]/2,IF(My_Payment[[#This Row],[Payment_Code]]="N",My_Payment[[#This Row],[Total AMT]],0))</f>
        <v>0</v>
      </c>
    </row>
    <row r="510" spans="1:10">
      <c r="A510" s="38">
        <v>45172</v>
      </c>
      <c r="B510" s="37" t="s">
        <v>225</v>
      </c>
      <c r="C510" s="37" t="s">
        <v>226</v>
      </c>
      <c r="D510" s="37" t="s">
        <v>227</v>
      </c>
      <c r="E510" s="37" t="s">
        <v>211</v>
      </c>
      <c r="F510" s="38">
        <v>45221</v>
      </c>
      <c r="G510" s="37" t="s">
        <v>215</v>
      </c>
      <c r="H510" s="40">
        <v>419</v>
      </c>
      <c r="I510" s="39">
        <f>IF(My_Payment[[#This Row],[Payment_Code]]="S",My_Payment[[#This Row],[Total AMT]]/2,IF(My_Payment[[#This Row],[Payment_Code]]="P",My_Payment[[#This Row],[Total AMT]],0))</f>
        <v>419</v>
      </c>
      <c r="J510" s="39">
        <f>IF(My_Payment[[#This Row],[Payment_Code]]="S",My_Payment[[#This Row],[Total AMT]]/2,IF(My_Payment[[#This Row],[Payment_Code]]="N",My_Payment[[#This Row],[Total AMT]],0))</f>
        <v>0</v>
      </c>
    </row>
    <row r="511" spans="1:10">
      <c r="A511" s="38">
        <v>45202</v>
      </c>
      <c r="B511" s="37" t="s">
        <v>225</v>
      </c>
      <c r="C511" s="37" t="s">
        <v>226</v>
      </c>
      <c r="D511" s="37" t="s">
        <v>227</v>
      </c>
      <c r="E511" s="37" t="s">
        <v>211</v>
      </c>
      <c r="F511" s="38">
        <v>45252</v>
      </c>
      <c r="G511" s="37" t="s">
        <v>215</v>
      </c>
      <c r="H511" s="40">
        <v>419</v>
      </c>
      <c r="I511" s="39">
        <f>IF(My_Payment[[#This Row],[Payment_Code]]="S",My_Payment[[#This Row],[Total AMT]]/2,IF(My_Payment[[#This Row],[Payment_Code]]="P",My_Payment[[#This Row],[Total AMT]],0))</f>
        <v>419</v>
      </c>
      <c r="J511" s="39">
        <f>IF(My_Payment[[#This Row],[Payment_Code]]="S",My_Payment[[#This Row],[Total AMT]]/2,IF(My_Payment[[#This Row],[Payment_Code]]="N",My_Payment[[#This Row],[Total AMT]],0))</f>
        <v>0</v>
      </c>
    </row>
    <row r="512" spans="1:10">
      <c r="A512" s="38">
        <v>45233</v>
      </c>
      <c r="B512" s="37" t="s">
        <v>225</v>
      </c>
      <c r="C512" s="37" t="s">
        <v>226</v>
      </c>
      <c r="D512" s="37" t="s">
        <v>227</v>
      </c>
      <c r="E512" s="37" t="s">
        <v>211</v>
      </c>
      <c r="F512" s="38">
        <v>45282</v>
      </c>
      <c r="G512" s="37" t="s">
        <v>215</v>
      </c>
      <c r="H512" s="40">
        <v>419</v>
      </c>
      <c r="I512" s="39">
        <f>IF(My_Payment[[#This Row],[Payment_Code]]="S",My_Payment[[#This Row],[Total AMT]]/2,IF(My_Payment[[#This Row],[Payment_Code]]="P",My_Payment[[#This Row],[Total AMT]],0))</f>
        <v>419</v>
      </c>
      <c r="J512" s="39">
        <f>IF(My_Payment[[#This Row],[Payment_Code]]="S",My_Payment[[#This Row],[Total AMT]]/2,IF(My_Payment[[#This Row],[Payment_Code]]="N",My_Payment[[#This Row],[Total AMT]],0))</f>
        <v>0</v>
      </c>
    </row>
    <row r="513" spans="1:10">
      <c r="A513" s="38">
        <v>45263</v>
      </c>
      <c r="B513" s="37" t="s">
        <v>225</v>
      </c>
      <c r="C513" s="37" t="s">
        <v>226</v>
      </c>
      <c r="D513" s="37" t="s">
        <v>227</v>
      </c>
      <c r="E513" s="37" t="s">
        <v>211</v>
      </c>
      <c r="F513" s="38">
        <v>45313</v>
      </c>
      <c r="G513" s="37" t="s">
        <v>215</v>
      </c>
      <c r="H513" s="40">
        <v>419</v>
      </c>
      <c r="I513" s="39">
        <f>IF(My_Payment[[#This Row],[Payment_Code]]="S",My_Payment[[#This Row],[Total AMT]]/2,IF(My_Payment[[#This Row],[Payment_Code]]="P",My_Payment[[#This Row],[Total AMT]],0))</f>
        <v>419</v>
      </c>
      <c r="J513" s="39">
        <f>IF(My_Payment[[#This Row],[Payment_Code]]="S",My_Payment[[#This Row],[Total AMT]]/2,IF(My_Payment[[#This Row],[Payment_Code]]="N",My_Payment[[#This Row],[Total AMT]],0))</f>
        <v>0</v>
      </c>
    </row>
    <row r="514" spans="1:10">
      <c r="A514" s="38">
        <v>44943</v>
      </c>
      <c r="B514" s="37" t="s">
        <v>208</v>
      </c>
      <c r="C514" s="37" t="s">
        <v>209</v>
      </c>
      <c r="D514" s="37" t="s">
        <v>391</v>
      </c>
      <c r="E514" s="37" t="s">
        <v>211</v>
      </c>
      <c r="F514" s="38">
        <v>44987</v>
      </c>
      <c r="G514" s="37" t="s">
        <v>212</v>
      </c>
      <c r="H514" s="40">
        <v>1178.5</v>
      </c>
      <c r="I514" s="39">
        <f>My_Payment[[#This Row],[Total AMT]]-My_Payment[[#This Row],[NC_AMT]]</f>
        <v>976.5</v>
      </c>
      <c r="J514" s="39">
        <v>202</v>
      </c>
    </row>
    <row r="515" spans="1:10">
      <c r="A515" s="38">
        <v>44957</v>
      </c>
      <c r="B515" s="37" t="s">
        <v>208</v>
      </c>
      <c r="C515" s="37" t="s">
        <v>209</v>
      </c>
      <c r="D515" s="37" t="s">
        <v>391</v>
      </c>
      <c r="E515" s="37" t="s">
        <v>211</v>
      </c>
      <c r="F515" s="38">
        <v>44987</v>
      </c>
      <c r="G515" s="37" t="s">
        <v>212</v>
      </c>
      <c r="H515" s="40">
        <v>1134.75</v>
      </c>
      <c r="I515" s="39">
        <f>IF(My_Payment[[#This Row],[Payment_Code]]="S",My_Payment[[#This Row],[Total AMT]]/2,IF(My_Payment[[#This Row],[Payment_Code]]="P",My_Payment[[#This Row],[Total AMT]],0))</f>
        <v>567.375</v>
      </c>
      <c r="J515" s="39">
        <f>IF(My_Payment[[#This Row],[Payment_Code]]="S",My_Payment[[#This Row],[Total AMT]]/2,IF(My_Payment[[#This Row],[Payment_Code]]="N",My_Payment[[#This Row],[Total AMT]],0))</f>
        <v>567.375</v>
      </c>
    </row>
    <row r="516" spans="1:10">
      <c r="A516" s="38">
        <v>44965</v>
      </c>
      <c r="B516" s="37" t="s">
        <v>225</v>
      </c>
      <c r="C516" s="37" t="s">
        <v>226</v>
      </c>
      <c r="D516" s="37" t="s">
        <v>392</v>
      </c>
      <c r="E516" s="37" t="s">
        <v>211</v>
      </c>
      <c r="F516" s="38">
        <v>45007</v>
      </c>
      <c r="G516" s="37" t="s">
        <v>215</v>
      </c>
      <c r="H516" s="40">
        <v>129</v>
      </c>
      <c r="I516" s="39">
        <f>IF(My_Payment[[#This Row],[Payment_Code]]="S",My_Payment[[#This Row],[Total AMT]]/2,IF(My_Payment[[#This Row],[Payment_Code]]="P",My_Payment[[#This Row],[Total AMT]],0))</f>
        <v>129</v>
      </c>
      <c r="J516" s="39">
        <f>IF(My_Payment[[#This Row],[Payment_Code]]="S",My_Payment[[#This Row],[Total AMT]]/2,IF(My_Payment[[#This Row],[Payment_Code]]="N",My_Payment[[#This Row],[Total AMT]],0))</f>
        <v>0</v>
      </c>
    </row>
    <row r="517" spans="1:10">
      <c r="A517" s="38">
        <v>44949</v>
      </c>
      <c r="B517" s="37" t="s">
        <v>305</v>
      </c>
      <c r="C517" s="37" t="s">
        <v>226</v>
      </c>
      <c r="D517" s="37" t="s">
        <v>372</v>
      </c>
      <c r="E517" s="37" t="s">
        <v>211</v>
      </c>
      <c r="F517" s="38">
        <v>44992</v>
      </c>
      <c r="G517" s="37" t="s">
        <v>212</v>
      </c>
      <c r="H517" s="40">
        <v>920</v>
      </c>
      <c r="I517" s="39">
        <f>IF(My_Payment[[#This Row],[Payment_Code]]="S",My_Payment[[#This Row],[Total AMT]]/2,IF(My_Payment[[#This Row],[Payment_Code]]="P",My_Payment[[#This Row],[Total AMT]],0))</f>
        <v>460</v>
      </c>
      <c r="J517" s="39">
        <f>IF(My_Payment[[#This Row],[Payment_Code]]="S",My_Payment[[#This Row],[Total AMT]]/2,IF(My_Payment[[#This Row],[Payment_Code]]="N",My_Payment[[#This Row],[Total AMT]],0))</f>
        <v>460</v>
      </c>
    </row>
    <row r="518" spans="1:10">
      <c r="A518" s="38">
        <v>44953</v>
      </c>
      <c r="B518" s="37" t="s">
        <v>305</v>
      </c>
      <c r="C518" s="37" t="s">
        <v>226</v>
      </c>
      <c r="D518" s="37" t="s">
        <v>33</v>
      </c>
      <c r="E518" s="37" t="s">
        <v>211</v>
      </c>
      <c r="F518" s="38">
        <v>44992</v>
      </c>
      <c r="G518" s="37" t="s">
        <v>215</v>
      </c>
      <c r="H518" s="40">
        <v>198.6</v>
      </c>
      <c r="I518" s="39">
        <f>IF(My_Payment[[#This Row],[Payment_Code]]="S",My_Payment[[#This Row],[Total AMT]]/2,IF(My_Payment[[#This Row],[Payment_Code]]="P",My_Payment[[#This Row],[Total AMT]],0))</f>
        <v>198.6</v>
      </c>
      <c r="J518" s="39">
        <f>IF(My_Payment[[#This Row],[Payment_Code]]="S",My_Payment[[#This Row],[Total AMT]]/2,IF(My_Payment[[#This Row],[Payment_Code]]="N",My_Payment[[#This Row],[Total AMT]],0))</f>
        <v>0</v>
      </c>
    </row>
    <row r="519" spans="1:10">
      <c r="A519" s="38">
        <v>44963</v>
      </c>
      <c r="B519" s="37" t="s">
        <v>305</v>
      </c>
      <c r="C519" s="37" t="s">
        <v>226</v>
      </c>
      <c r="D519" s="37" t="s">
        <v>378</v>
      </c>
      <c r="E519" s="37" t="s">
        <v>211</v>
      </c>
      <c r="F519" s="38">
        <v>44992</v>
      </c>
      <c r="G519" s="37" t="s">
        <v>215</v>
      </c>
      <c r="H519" s="40">
        <v>676</v>
      </c>
      <c r="I519" s="39">
        <f>IF(My_Payment[[#This Row],[Payment_Code]]="S",My_Payment[[#This Row],[Total AMT]]/2,IF(My_Payment[[#This Row],[Payment_Code]]="P",My_Payment[[#This Row],[Total AMT]],0))</f>
        <v>676</v>
      </c>
      <c r="J519" s="39">
        <f>IF(My_Payment[[#This Row],[Payment_Code]]="S",My_Payment[[#This Row],[Total AMT]]/2,IF(My_Payment[[#This Row],[Payment_Code]]="N",My_Payment[[#This Row],[Total AMT]],0))</f>
        <v>0</v>
      </c>
    </row>
    <row r="520" spans="1:10">
      <c r="A520" s="38">
        <v>44973</v>
      </c>
      <c r="B520" s="37" t="s">
        <v>305</v>
      </c>
      <c r="C520" s="37" t="s">
        <v>226</v>
      </c>
      <c r="D520" s="37" t="s">
        <v>332</v>
      </c>
      <c r="E520" s="37" t="s">
        <v>211</v>
      </c>
      <c r="F520" s="38">
        <v>44992</v>
      </c>
      <c r="G520" s="37" t="s">
        <v>212</v>
      </c>
      <c r="H520" s="40">
        <v>791</v>
      </c>
      <c r="I520" s="39">
        <f>IF(My_Payment[[#This Row],[Payment_Code]]="S",My_Payment[[#This Row],[Total AMT]]/2,IF(My_Payment[[#This Row],[Payment_Code]]="P",My_Payment[[#This Row],[Total AMT]],0))</f>
        <v>395.5</v>
      </c>
      <c r="J520" s="39">
        <f>IF(My_Payment[[#This Row],[Payment_Code]]="S",My_Payment[[#This Row],[Total AMT]]/2,IF(My_Payment[[#This Row],[Payment_Code]]="N",My_Payment[[#This Row],[Total AMT]],0))</f>
        <v>395.5</v>
      </c>
    </row>
    <row r="521" spans="1:10">
      <c r="A521" s="38">
        <v>44977</v>
      </c>
      <c r="B521" s="37" t="s">
        <v>348</v>
      </c>
      <c r="C521" s="37" t="s">
        <v>209</v>
      </c>
      <c r="D521" s="37" t="s">
        <v>48</v>
      </c>
      <c r="E521" s="37" t="s">
        <v>211</v>
      </c>
      <c r="F521" s="38">
        <v>45017</v>
      </c>
      <c r="G521" s="37" t="s">
        <v>215</v>
      </c>
      <c r="H521" s="40">
        <v>854.93</v>
      </c>
      <c r="I521" s="39">
        <f>IF(My_Payment[[#This Row],[Payment_Code]]="S",My_Payment[[#This Row],[Total AMT]]/2,IF(My_Payment[[#This Row],[Payment_Code]]="P",My_Payment[[#This Row],[Total AMT]],0))</f>
        <v>854.93</v>
      </c>
      <c r="J521" s="39">
        <f>IF(My_Payment[[#This Row],[Payment_Code]]="S",My_Payment[[#This Row],[Total AMT]]/2,IF(My_Payment[[#This Row],[Payment_Code]]="N",My_Payment[[#This Row],[Total AMT]],0))</f>
        <v>0</v>
      </c>
    </row>
    <row r="522" spans="1:10">
      <c r="A522" s="38">
        <v>44977</v>
      </c>
      <c r="B522" s="37" t="s">
        <v>348</v>
      </c>
      <c r="C522" s="37" t="s">
        <v>209</v>
      </c>
      <c r="D522" s="37" t="s">
        <v>49</v>
      </c>
      <c r="E522" s="37" t="s">
        <v>211</v>
      </c>
      <c r="F522" s="38">
        <v>45017</v>
      </c>
      <c r="G522" s="37" t="s">
        <v>215</v>
      </c>
      <c r="H522" s="40">
        <v>1603.93</v>
      </c>
      <c r="I522" s="39">
        <f>IF(My_Payment[[#This Row],[Payment_Code]]="S",My_Payment[[#This Row],[Total AMT]]/2,IF(My_Payment[[#This Row],[Payment_Code]]="P",My_Payment[[#This Row],[Total AMT]],0))</f>
        <v>1603.93</v>
      </c>
      <c r="J522" s="39">
        <f>IF(My_Payment[[#This Row],[Payment_Code]]="S",My_Payment[[#This Row],[Total AMT]]/2,IF(My_Payment[[#This Row],[Payment_Code]]="N",My_Payment[[#This Row],[Total AMT]],0))</f>
        <v>0</v>
      </c>
    </row>
    <row r="523" spans="1:10">
      <c r="A523" s="38">
        <v>44975</v>
      </c>
      <c r="B523" s="37" t="s">
        <v>348</v>
      </c>
      <c r="C523" s="37" t="s">
        <v>209</v>
      </c>
      <c r="D523" s="37" t="s">
        <v>81</v>
      </c>
      <c r="E523" s="37" t="s">
        <v>211</v>
      </c>
      <c r="F523" s="38">
        <v>45017</v>
      </c>
      <c r="G523" s="37" t="s">
        <v>215</v>
      </c>
      <c r="H523" s="40">
        <v>373.43</v>
      </c>
      <c r="I523" s="39">
        <f>IF(My_Payment[[#This Row],[Payment_Code]]="S",My_Payment[[#This Row],[Total AMT]]/2,IF(My_Payment[[#This Row],[Payment_Code]]="P",My_Payment[[#This Row],[Total AMT]],0))</f>
        <v>373.43</v>
      </c>
      <c r="J523" s="39">
        <f>IF(My_Payment[[#This Row],[Payment_Code]]="S",My_Payment[[#This Row],[Total AMT]]/2,IF(My_Payment[[#This Row],[Payment_Code]]="N",My_Payment[[#This Row],[Total AMT]],0))</f>
        <v>0</v>
      </c>
    </row>
    <row r="524" spans="1:10">
      <c r="A524" s="38">
        <v>45002</v>
      </c>
      <c r="B524" s="37" t="s">
        <v>348</v>
      </c>
      <c r="C524" s="37" t="s">
        <v>209</v>
      </c>
      <c r="D524" s="37" t="s">
        <v>20</v>
      </c>
      <c r="E524" s="37" t="s">
        <v>211</v>
      </c>
      <c r="F524" s="38">
        <v>45017</v>
      </c>
      <c r="G524" s="37" t="s">
        <v>215</v>
      </c>
      <c r="H524" s="40">
        <v>-7.08</v>
      </c>
      <c r="I524" s="39">
        <f>IF(My_Payment[[#This Row],[Payment_Code]]="S",My_Payment[[#This Row],[Total AMT]]/2,IF(My_Payment[[#This Row],[Payment_Code]]="P",My_Payment[[#This Row],[Total AMT]],0))</f>
        <v>-7.08</v>
      </c>
      <c r="J524" s="39">
        <f>IF(My_Payment[[#This Row],[Payment_Code]]="S",My_Payment[[#This Row],[Total AMT]]/2,IF(My_Payment[[#This Row],[Payment_Code]]="N",My_Payment[[#This Row],[Total AMT]],0))</f>
        <v>0</v>
      </c>
    </row>
    <row r="525" spans="1:10">
      <c r="A525" s="38">
        <v>44975</v>
      </c>
      <c r="B525" s="37" t="s">
        <v>354</v>
      </c>
      <c r="C525" s="37" t="s">
        <v>248</v>
      </c>
      <c r="D525" s="37" t="s">
        <v>355</v>
      </c>
      <c r="E525" s="37" t="s">
        <v>211</v>
      </c>
      <c r="F525" s="38">
        <v>45017</v>
      </c>
      <c r="G525" s="37" t="s">
        <v>215</v>
      </c>
      <c r="H525" s="40">
        <v>200</v>
      </c>
      <c r="I525" s="39">
        <f>IF(My_Payment[[#This Row],[Payment_Code]]="S",My_Payment[[#This Row],[Total AMT]]/2,IF(My_Payment[[#This Row],[Payment_Code]]="P",My_Payment[[#This Row],[Total AMT]],0))</f>
        <v>200</v>
      </c>
      <c r="J525" s="39">
        <f>IF(My_Payment[[#This Row],[Payment_Code]]="S",My_Payment[[#This Row],[Total AMT]]/2,IF(My_Payment[[#This Row],[Payment_Code]]="N",My_Payment[[#This Row],[Total AMT]],0))</f>
        <v>0</v>
      </c>
    </row>
    <row r="526" spans="1:10">
      <c r="A526" s="38">
        <v>45003</v>
      </c>
      <c r="B526" s="37" t="s">
        <v>354</v>
      </c>
      <c r="C526" s="37" t="s">
        <v>248</v>
      </c>
      <c r="D526" s="37" t="s">
        <v>355</v>
      </c>
      <c r="E526" s="37" t="s">
        <v>211</v>
      </c>
      <c r="F526" s="38">
        <v>45047</v>
      </c>
      <c r="G526" s="37" t="s">
        <v>215</v>
      </c>
      <c r="H526" s="40">
        <v>0</v>
      </c>
      <c r="I526" s="39">
        <f>IF(My_Payment[[#This Row],[Payment_Code]]="S",My_Payment[[#This Row],[Total AMT]]/2,IF(My_Payment[[#This Row],[Payment_Code]]="P",My_Payment[[#This Row],[Total AMT]],0))</f>
        <v>0</v>
      </c>
      <c r="J526" s="39">
        <f>IF(My_Payment[[#This Row],[Payment_Code]]="S",My_Payment[[#This Row],[Total AMT]]/2,IF(My_Payment[[#This Row],[Payment_Code]]="N",My_Payment[[#This Row],[Total AMT]],0))</f>
        <v>0</v>
      </c>
    </row>
    <row r="527" spans="1:10">
      <c r="A527" s="38">
        <v>45034</v>
      </c>
      <c r="B527" s="37" t="s">
        <v>354</v>
      </c>
      <c r="C527" s="37" t="s">
        <v>248</v>
      </c>
      <c r="D527" s="37" t="s">
        <v>355</v>
      </c>
      <c r="E527" s="37" t="s">
        <v>211</v>
      </c>
      <c r="F527" s="38">
        <v>45078</v>
      </c>
      <c r="G527" s="37" t="s">
        <v>215</v>
      </c>
      <c r="H527" s="40">
        <v>0</v>
      </c>
      <c r="I527" s="39">
        <f>IF(My_Payment[[#This Row],[Payment_Code]]="S",My_Payment[[#This Row],[Total AMT]]/2,IF(My_Payment[[#This Row],[Payment_Code]]="P",My_Payment[[#This Row],[Total AMT]],0))</f>
        <v>0</v>
      </c>
      <c r="J527" s="39">
        <f>IF(My_Payment[[#This Row],[Payment_Code]]="S",My_Payment[[#This Row],[Total AMT]]/2,IF(My_Payment[[#This Row],[Payment_Code]]="N",My_Payment[[#This Row],[Total AMT]],0))</f>
        <v>0</v>
      </c>
    </row>
    <row r="528" spans="1:10">
      <c r="A528" s="38">
        <v>45064</v>
      </c>
      <c r="B528" s="37" t="s">
        <v>354</v>
      </c>
      <c r="C528" s="37" t="s">
        <v>248</v>
      </c>
      <c r="D528" s="37" t="s">
        <v>355</v>
      </c>
      <c r="E528" s="37" t="s">
        <v>211</v>
      </c>
      <c r="F528" s="38">
        <v>45108</v>
      </c>
      <c r="G528" s="37" t="s">
        <v>215</v>
      </c>
      <c r="H528" s="40">
        <v>0</v>
      </c>
      <c r="I528" s="39">
        <f>IF(My_Payment[[#This Row],[Payment_Code]]="S",My_Payment[[#This Row],[Total AMT]]/2,IF(My_Payment[[#This Row],[Payment_Code]]="P",My_Payment[[#This Row],[Total AMT]],0))</f>
        <v>0</v>
      </c>
      <c r="J528" s="39">
        <f>IF(My_Payment[[#This Row],[Payment_Code]]="S",My_Payment[[#This Row],[Total AMT]]/2,IF(My_Payment[[#This Row],[Payment_Code]]="N",My_Payment[[#This Row],[Total AMT]],0))</f>
        <v>0</v>
      </c>
    </row>
    <row r="529" spans="1:10">
      <c r="A529" s="38">
        <v>45095</v>
      </c>
      <c r="B529" s="37" t="s">
        <v>354</v>
      </c>
      <c r="C529" s="37" t="s">
        <v>248</v>
      </c>
      <c r="D529" s="37" t="s">
        <v>355</v>
      </c>
      <c r="E529" s="37" t="s">
        <v>211</v>
      </c>
      <c r="F529" s="38">
        <v>45139</v>
      </c>
      <c r="G529" s="37" t="s">
        <v>215</v>
      </c>
      <c r="H529" s="40">
        <v>0</v>
      </c>
      <c r="I529" s="39">
        <f>IF(My_Payment[[#This Row],[Payment_Code]]="S",My_Payment[[#This Row],[Total AMT]]/2,IF(My_Payment[[#This Row],[Payment_Code]]="P",My_Payment[[#This Row],[Total AMT]],0))</f>
        <v>0</v>
      </c>
      <c r="J529" s="39">
        <f>IF(My_Payment[[#This Row],[Payment_Code]]="S",My_Payment[[#This Row],[Total AMT]]/2,IF(My_Payment[[#This Row],[Payment_Code]]="N",My_Payment[[#This Row],[Total AMT]],0))</f>
        <v>0</v>
      </c>
    </row>
    <row r="530" spans="1:10">
      <c r="A530" s="38">
        <v>45125</v>
      </c>
      <c r="B530" s="37" t="s">
        <v>354</v>
      </c>
      <c r="C530" s="37" t="s">
        <v>248</v>
      </c>
      <c r="D530" s="37" t="s">
        <v>355</v>
      </c>
      <c r="E530" s="37" t="s">
        <v>211</v>
      </c>
      <c r="F530" s="38">
        <v>45170</v>
      </c>
      <c r="G530" s="37" t="s">
        <v>215</v>
      </c>
      <c r="H530" s="40">
        <v>0</v>
      </c>
      <c r="I530" s="39">
        <f>IF(My_Payment[[#This Row],[Payment_Code]]="S",My_Payment[[#This Row],[Total AMT]]/2,IF(My_Payment[[#This Row],[Payment_Code]]="P",My_Payment[[#This Row],[Total AMT]],0))</f>
        <v>0</v>
      </c>
      <c r="J530" s="39">
        <f>IF(My_Payment[[#This Row],[Payment_Code]]="S",My_Payment[[#This Row],[Total AMT]]/2,IF(My_Payment[[#This Row],[Payment_Code]]="N",My_Payment[[#This Row],[Total AMT]],0))</f>
        <v>0</v>
      </c>
    </row>
    <row r="531" spans="1:10">
      <c r="A531" s="38">
        <v>45156</v>
      </c>
      <c r="B531" s="37" t="s">
        <v>354</v>
      </c>
      <c r="C531" s="37" t="s">
        <v>248</v>
      </c>
      <c r="D531" s="37" t="s">
        <v>355</v>
      </c>
      <c r="E531" s="37" t="s">
        <v>211</v>
      </c>
      <c r="F531" s="38">
        <v>45200</v>
      </c>
      <c r="G531" s="37" t="s">
        <v>215</v>
      </c>
      <c r="H531" s="40">
        <v>0</v>
      </c>
      <c r="I531" s="39">
        <f>IF(My_Payment[[#This Row],[Payment_Code]]="S",My_Payment[[#This Row],[Total AMT]]/2,IF(My_Payment[[#This Row],[Payment_Code]]="P",My_Payment[[#This Row],[Total AMT]],0))</f>
        <v>0</v>
      </c>
      <c r="J531" s="39">
        <f>IF(My_Payment[[#This Row],[Payment_Code]]="S",My_Payment[[#This Row],[Total AMT]]/2,IF(My_Payment[[#This Row],[Payment_Code]]="N",My_Payment[[#This Row],[Total AMT]],0))</f>
        <v>0</v>
      </c>
    </row>
    <row r="532" spans="1:10">
      <c r="A532" s="38">
        <v>45187</v>
      </c>
      <c r="B532" s="37" t="s">
        <v>354</v>
      </c>
      <c r="C532" s="37" t="s">
        <v>248</v>
      </c>
      <c r="D532" s="37" t="s">
        <v>355</v>
      </c>
      <c r="E532" s="37" t="s">
        <v>211</v>
      </c>
      <c r="F532" s="38">
        <v>45231</v>
      </c>
      <c r="G532" s="37" t="s">
        <v>215</v>
      </c>
      <c r="H532" s="40">
        <v>0</v>
      </c>
      <c r="I532" s="39">
        <f>IF(My_Payment[[#This Row],[Payment_Code]]="S",My_Payment[[#This Row],[Total AMT]]/2,IF(My_Payment[[#This Row],[Payment_Code]]="P",My_Payment[[#This Row],[Total AMT]],0))</f>
        <v>0</v>
      </c>
      <c r="J532" s="39">
        <f>IF(My_Payment[[#This Row],[Payment_Code]]="S",My_Payment[[#This Row],[Total AMT]]/2,IF(My_Payment[[#This Row],[Payment_Code]]="N",My_Payment[[#This Row],[Total AMT]],0))</f>
        <v>0</v>
      </c>
    </row>
    <row r="533" spans="1:10">
      <c r="A533" s="38">
        <v>45217</v>
      </c>
      <c r="B533" s="37" t="s">
        <v>354</v>
      </c>
      <c r="C533" s="37" t="s">
        <v>248</v>
      </c>
      <c r="D533" s="37" t="s">
        <v>355</v>
      </c>
      <c r="E533" s="37" t="s">
        <v>211</v>
      </c>
      <c r="F533" s="38">
        <v>45261</v>
      </c>
      <c r="G533" s="37" t="s">
        <v>215</v>
      </c>
      <c r="H533" s="40">
        <v>0</v>
      </c>
      <c r="I533" s="39">
        <f>IF(My_Payment[[#This Row],[Payment_Code]]="S",My_Payment[[#This Row],[Total AMT]]/2,IF(My_Payment[[#This Row],[Payment_Code]]="P",My_Payment[[#This Row],[Total AMT]],0))</f>
        <v>0</v>
      </c>
      <c r="J533" s="39">
        <f>IF(My_Payment[[#This Row],[Payment_Code]]="S",My_Payment[[#This Row],[Total AMT]]/2,IF(My_Payment[[#This Row],[Payment_Code]]="N",My_Payment[[#This Row],[Total AMT]],0))</f>
        <v>0</v>
      </c>
    </row>
    <row r="534" spans="1:10">
      <c r="A534" s="38">
        <v>45248</v>
      </c>
      <c r="B534" s="37" t="s">
        <v>354</v>
      </c>
      <c r="C534" s="37" t="s">
        <v>248</v>
      </c>
      <c r="D534" s="37" t="s">
        <v>355</v>
      </c>
      <c r="E534" s="37" t="s">
        <v>211</v>
      </c>
      <c r="F534" s="38">
        <v>45292</v>
      </c>
      <c r="G534" s="37" t="s">
        <v>215</v>
      </c>
      <c r="H534" s="40">
        <v>0</v>
      </c>
      <c r="I534" s="39">
        <f>IF(My_Payment[[#This Row],[Payment_Code]]="S",My_Payment[[#This Row],[Total AMT]]/2,IF(My_Payment[[#This Row],[Payment_Code]]="P",My_Payment[[#This Row],[Total AMT]],0))</f>
        <v>0</v>
      </c>
      <c r="J534" s="39">
        <f>IF(My_Payment[[#This Row],[Payment_Code]]="S",My_Payment[[#This Row],[Total AMT]]/2,IF(My_Payment[[#This Row],[Payment_Code]]="N",My_Payment[[#This Row],[Total AMT]],0))</f>
        <v>0</v>
      </c>
    </row>
    <row r="535" spans="1:10">
      <c r="A535" s="38">
        <v>45278</v>
      </c>
      <c r="B535" s="37" t="s">
        <v>354</v>
      </c>
      <c r="C535" s="37" t="s">
        <v>248</v>
      </c>
      <c r="D535" s="37" t="s">
        <v>355</v>
      </c>
      <c r="E535" s="37" t="s">
        <v>211</v>
      </c>
      <c r="F535" s="38">
        <v>45323</v>
      </c>
      <c r="G535" s="37" t="s">
        <v>215</v>
      </c>
      <c r="H535" s="40">
        <v>0</v>
      </c>
      <c r="I535" s="39">
        <f>IF(My_Payment[[#This Row],[Payment_Code]]="S",My_Payment[[#This Row],[Total AMT]]/2,IF(My_Payment[[#This Row],[Payment_Code]]="P",My_Payment[[#This Row],[Total AMT]],0))</f>
        <v>0</v>
      </c>
      <c r="J535" s="39">
        <f>IF(My_Payment[[#This Row],[Payment_Code]]="S",My_Payment[[#This Row],[Total AMT]]/2,IF(My_Payment[[#This Row],[Payment_Code]]="N",My_Payment[[#This Row],[Total AMT]],0))</f>
        <v>0</v>
      </c>
    </row>
    <row r="536" spans="1:10">
      <c r="A536" s="38">
        <v>44953</v>
      </c>
      <c r="B536" s="37" t="s">
        <v>357</v>
      </c>
      <c r="C536" s="37" t="s">
        <v>248</v>
      </c>
      <c r="D536" s="37" t="s">
        <v>393</v>
      </c>
      <c r="E536" s="37" t="s">
        <v>211</v>
      </c>
      <c r="F536" s="38">
        <v>44990</v>
      </c>
      <c r="G536" s="37" t="s">
        <v>215</v>
      </c>
      <c r="H536" s="40">
        <v>338</v>
      </c>
      <c r="I536" s="39">
        <f>IF(My_Payment[[#This Row],[Payment_Code]]="S",My_Payment[[#This Row],[Total AMT]]/2,IF(My_Payment[[#This Row],[Payment_Code]]="P",My_Payment[[#This Row],[Total AMT]],0))</f>
        <v>338</v>
      </c>
      <c r="J536" s="39">
        <f>IF(My_Payment[[#This Row],[Payment_Code]]="S",My_Payment[[#This Row],[Total AMT]]/2,IF(My_Payment[[#This Row],[Payment_Code]]="N",My_Payment[[#This Row],[Total AMT]],0))</f>
        <v>0</v>
      </c>
    </row>
    <row r="537" spans="1:10">
      <c r="A537" s="38">
        <v>44961</v>
      </c>
      <c r="B537" s="37" t="s">
        <v>357</v>
      </c>
      <c r="C537" s="37" t="s">
        <v>248</v>
      </c>
      <c r="D537" s="37" t="s">
        <v>394</v>
      </c>
      <c r="E537" s="37" t="s">
        <v>211</v>
      </c>
      <c r="F537" s="38">
        <v>44990</v>
      </c>
      <c r="G537" s="37" t="s">
        <v>215</v>
      </c>
      <c r="H537" s="40">
        <v>1315</v>
      </c>
      <c r="I537" s="39">
        <f>IF(My_Payment[[#This Row],[Payment_Code]]="S",My_Payment[[#This Row],[Total AMT]]/2,IF(My_Payment[[#This Row],[Payment_Code]]="P",My_Payment[[#This Row],[Total AMT]],0))</f>
        <v>1315</v>
      </c>
      <c r="J537" s="39">
        <f>IF(My_Payment[[#This Row],[Payment_Code]]="S",My_Payment[[#This Row],[Total AMT]]/2,IF(My_Payment[[#This Row],[Payment_Code]]="N",My_Payment[[#This Row],[Total AMT]],0))</f>
        <v>0</v>
      </c>
    </row>
    <row r="538" spans="1:10">
      <c r="A538" s="38">
        <v>44965</v>
      </c>
      <c r="B538" s="37" t="s">
        <v>357</v>
      </c>
      <c r="C538" s="37" t="s">
        <v>248</v>
      </c>
      <c r="D538" s="37" t="s">
        <v>395</v>
      </c>
      <c r="E538" s="37" t="s">
        <v>211</v>
      </c>
      <c r="F538" s="38">
        <v>44990</v>
      </c>
      <c r="G538" s="37" t="s">
        <v>215</v>
      </c>
      <c r="H538" s="40">
        <v>313</v>
      </c>
      <c r="I538" s="39">
        <f>IF(My_Payment[[#This Row],[Payment_Code]]="S",My_Payment[[#This Row],[Total AMT]]/2,IF(My_Payment[[#This Row],[Payment_Code]]="P",My_Payment[[#This Row],[Total AMT]],0))</f>
        <v>313</v>
      </c>
      <c r="J538" s="39">
        <f>IF(My_Payment[[#This Row],[Payment_Code]]="S",My_Payment[[#This Row],[Total AMT]]/2,IF(My_Payment[[#This Row],[Payment_Code]]="N",My_Payment[[#This Row],[Total AMT]],0))</f>
        <v>0</v>
      </c>
    </row>
    <row r="539" spans="1:10">
      <c r="A539" s="38">
        <v>44982</v>
      </c>
      <c r="B539" s="37" t="s">
        <v>357</v>
      </c>
      <c r="C539" s="37" t="s">
        <v>248</v>
      </c>
      <c r="D539" s="37" t="s">
        <v>396</v>
      </c>
      <c r="E539" s="37" t="s">
        <v>211</v>
      </c>
      <c r="F539" s="38">
        <v>45021</v>
      </c>
      <c r="G539" s="37" t="s">
        <v>215</v>
      </c>
      <c r="H539" s="40">
        <v>102</v>
      </c>
      <c r="I539" s="39">
        <f>IF(My_Payment[[#This Row],[Payment_Code]]="S",My_Payment[[#This Row],[Total AMT]]/2,IF(My_Payment[[#This Row],[Payment_Code]]="P",My_Payment[[#This Row],[Total AMT]],0))</f>
        <v>102</v>
      </c>
      <c r="J539" s="39">
        <f>IF(My_Payment[[#This Row],[Payment_Code]]="S",My_Payment[[#This Row],[Total AMT]]/2,IF(My_Payment[[#This Row],[Payment_Code]]="N",My_Payment[[#This Row],[Total AMT]],0))</f>
        <v>0</v>
      </c>
    </row>
    <row r="540" spans="1:10">
      <c r="A540" s="38">
        <v>44982</v>
      </c>
      <c r="B540" s="37" t="s">
        <v>357</v>
      </c>
      <c r="C540" s="37" t="s">
        <v>248</v>
      </c>
      <c r="D540" s="37" t="s">
        <v>375</v>
      </c>
      <c r="E540" s="37" t="s">
        <v>211</v>
      </c>
      <c r="F540" s="38">
        <v>45021</v>
      </c>
      <c r="G540" s="37" t="s">
        <v>215</v>
      </c>
      <c r="H540" s="40">
        <v>105</v>
      </c>
      <c r="I540" s="39">
        <f>IF(My_Payment[[#This Row],[Payment_Code]]="S",My_Payment[[#This Row],[Total AMT]]/2,IF(My_Payment[[#This Row],[Payment_Code]]="P",My_Payment[[#This Row],[Total AMT]],0))</f>
        <v>105</v>
      </c>
      <c r="J540" s="39">
        <f>IF(My_Payment[[#This Row],[Payment_Code]]="S",My_Payment[[#This Row],[Total AMT]]/2,IF(My_Payment[[#This Row],[Payment_Code]]="N",My_Payment[[#This Row],[Total AMT]],0))</f>
        <v>0</v>
      </c>
    </row>
    <row r="541" spans="1:10">
      <c r="A541" s="38">
        <v>44993</v>
      </c>
      <c r="B541" s="37" t="s">
        <v>225</v>
      </c>
      <c r="C541" s="37" t="s">
        <v>226</v>
      </c>
      <c r="D541" s="37" t="s">
        <v>392</v>
      </c>
      <c r="E541" s="37" t="s">
        <v>211</v>
      </c>
      <c r="F541" s="38">
        <v>45038</v>
      </c>
      <c r="G541" s="37" t="s">
        <v>215</v>
      </c>
      <c r="H541" s="40">
        <v>129</v>
      </c>
      <c r="I541" s="39">
        <f>My_Payment[[#This Row],[Total AMT]]-My_Payment[[#This Row],[NC_AMT]]</f>
        <v>129</v>
      </c>
      <c r="J541" s="39">
        <f>IF(My_Payment[[#This Row],[Payment_Code]]="S",My_Payment[[#This Row],[Total AMT]]/2,IF(My_Payment[[#This Row],[Payment_Code]]="N",My_Payment[[#This Row],[Total AMT]],0))</f>
        <v>0</v>
      </c>
    </row>
    <row r="542" spans="1:10">
      <c r="A542" s="38">
        <v>45024</v>
      </c>
      <c r="B542" s="37" t="s">
        <v>225</v>
      </c>
      <c r="C542" s="37" t="s">
        <v>226</v>
      </c>
      <c r="D542" s="37" t="s">
        <v>392</v>
      </c>
      <c r="E542" s="37" t="s">
        <v>211</v>
      </c>
      <c r="F542" s="38">
        <v>45068</v>
      </c>
      <c r="G542" s="37" t="s">
        <v>215</v>
      </c>
      <c r="H542" s="40">
        <v>129</v>
      </c>
      <c r="I542" s="39">
        <f>My_Payment[[#This Row],[Total AMT]]-My_Payment[[#This Row],[NC_AMT]]</f>
        <v>129</v>
      </c>
      <c r="J542" s="39">
        <f>IF(My_Payment[[#This Row],[Payment_Code]]="S",My_Payment[[#This Row],[Total AMT]]/2,IF(My_Payment[[#This Row],[Payment_Code]]="N",My_Payment[[#This Row],[Total AMT]],0))</f>
        <v>0</v>
      </c>
    </row>
    <row r="543" spans="1:10">
      <c r="A543" s="38">
        <v>45054</v>
      </c>
      <c r="B543" s="37" t="s">
        <v>225</v>
      </c>
      <c r="C543" s="37" t="s">
        <v>226</v>
      </c>
      <c r="D543" s="37" t="s">
        <v>392</v>
      </c>
      <c r="E543" s="37" t="s">
        <v>211</v>
      </c>
      <c r="F543" s="38">
        <v>45099</v>
      </c>
      <c r="G543" s="37" t="s">
        <v>215</v>
      </c>
      <c r="H543" s="40">
        <v>129</v>
      </c>
      <c r="I543" s="39">
        <f>IF(My_Payment[[#This Row],[Payment_Code]]="S",My_Payment[[#This Row],[Total AMT]]/2,IF(My_Payment[[#This Row],[Payment_Code]]="P",My_Payment[[#This Row],[Total AMT]],0))</f>
        <v>129</v>
      </c>
      <c r="J543" s="39">
        <f>IF(My_Payment[[#This Row],[Payment_Code]]="S",My_Payment[[#This Row],[Total AMT]]/2,IF(My_Payment[[#This Row],[Payment_Code]]="N",My_Payment[[#This Row],[Total AMT]],0))</f>
        <v>0</v>
      </c>
    </row>
    <row r="544" spans="1:10">
      <c r="A544" s="38">
        <v>45085</v>
      </c>
      <c r="B544" s="37" t="s">
        <v>225</v>
      </c>
      <c r="C544" s="37" t="s">
        <v>226</v>
      </c>
      <c r="D544" s="37" t="s">
        <v>392</v>
      </c>
      <c r="E544" s="37" t="s">
        <v>211</v>
      </c>
      <c r="F544" s="38">
        <v>45129</v>
      </c>
      <c r="G544" s="37" t="s">
        <v>215</v>
      </c>
      <c r="H544" s="40">
        <v>129</v>
      </c>
      <c r="I544" s="39">
        <f>IF(My_Payment[[#This Row],[Payment_Code]]="S",My_Payment[[#This Row],[Total AMT]]/2,IF(My_Payment[[#This Row],[Payment_Code]]="P",My_Payment[[#This Row],[Total AMT]],0))</f>
        <v>129</v>
      </c>
      <c r="J544" s="39">
        <f>IF(My_Payment[[#This Row],[Payment_Code]]="S",My_Payment[[#This Row],[Total AMT]]/2,IF(My_Payment[[#This Row],[Payment_Code]]="N",My_Payment[[#This Row],[Total AMT]],0))</f>
        <v>0</v>
      </c>
    </row>
    <row r="545" spans="1:13">
      <c r="A545" s="38">
        <v>45115</v>
      </c>
      <c r="B545" s="37" t="s">
        <v>225</v>
      </c>
      <c r="C545" s="37" t="s">
        <v>226</v>
      </c>
      <c r="D545" s="37" t="s">
        <v>392</v>
      </c>
      <c r="E545" s="37" t="s">
        <v>211</v>
      </c>
      <c r="F545" s="38">
        <v>45160</v>
      </c>
      <c r="G545" s="37" t="s">
        <v>215</v>
      </c>
      <c r="H545" s="40">
        <v>129</v>
      </c>
      <c r="I545" s="39">
        <f>IF(My_Payment[[#This Row],[Payment_Code]]="S",My_Payment[[#This Row],[Total AMT]]/2,IF(My_Payment[[#This Row],[Payment_Code]]="P",My_Payment[[#This Row],[Total AMT]],0))</f>
        <v>129</v>
      </c>
      <c r="J545" s="39">
        <f>IF(My_Payment[[#This Row],[Payment_Code]]="S",My_Payment[[#This Row],[Total AMT]]/2,IF(My_Payment[[#This Row],[Payment_Code]]="N",My_Payment[[#This Row],[Total AMT]],0))</f>
        <v>0</v>
      </c>
    </row>
    <row r="546" spans="1:13">
      <c r="A546" s="38">
        <v>45146</v>
      </c>
      <c r="B546" s="37" t="s">
        <v>225</v>
      </c>
      <c r="C546" s="37" t="s">
        <v>226</v>
      </c>
      <c r="D546" s="37" t="s">
        <v>392</v>
      </c>
      <c r="E546" s="37" t="s">
        <v>211</v>
      </c>
      <c r="F546" s="38">
        <v>45191</v>
      </c>
      <c r="G546" s="37" t="s">
        <v>215</v>
      </c>
      <c r="H546" s="40">
        <v>129</v>
      </c>
      <c r="I546" s="39">
        <f>IF(My_Payment[[#This Row],[Payment_Code]]="S",My_Payment[[#This Row],[Total AMT]]/2,IF(My_Payment[[#This Row],[Payment_Code]]="P",My_Payment[[#This Row],[Total AMT]],0))</f>
        <v>129</v>
      </c>
      <c r="J546" s="39">
        <f>IF(My_Payment[[#This Row],[Payment_Code]]="S",My_Payment[[#This Row],[Total AMT]]/2,IF(My_Payment[[#This Row],[Payment_Code]]="N",My_Payment[[#This Row],[Total AMT]],0))</f>
        <v>0</v>
      </c>
    </row>
    <row r="547" spans="1:13">
      <c r="A547" s="38">
        <v>45177</v>
      </c>
      <c r="B547" s="37" t="s">
        <v>225</v>
      </c>
      <c r="C547" s="37" t="s">
        <v>226</v>
      </c>
      <c r="D547" s="37" t="s">
        <v>392</v>
      </c>
      <c r="E547" s="37" t="s">
        <v>211</v>
      </c>
      <c r="F547" s="38">
        <v>45221</v>
      </c>
      <c r="G547" s="37" t="s">
        <v>215</v>
      </c>
      <c r="H547" s="40">
        <v>139</v>
      </c>
      <c r="I547" s="39">
        <f>IF(My_Payment[[#This Row],[Payment_Code]]="S",My_Payment[[#This Row],[Total AMT]]/2,IF(My_Payment[[#This Row],[Payment_Code]]="P",My_Payment[[#This Row],[Total AMT]],0))</f>
        <v>139</v>
      </c>
      <c r="J547" s="39">
        <f>IF(My_Payment[[#This Row],[Payment_Code]]="S",My_Payment[[#This Row],[Total AMT]]/2,IF(My_Payment[[#This Row],[Payment_Code]]="N",My_Payment[[#This Row],[Total AMT]],0))</f>
        <v>0</v>
      </c>
    </row>
    <row r="548" spans="1:13">
      <c r="A548" s="38">
        <v>45207</v>
      </c>
      <c r="B548" s="37" t="s">
        <v>225</v>
      </c>
      <c r="C548" s="37" t="s">
        <v>226</v>
      </c>
      <c r="D548" s="37" t="s">
        <v>392</v>
      </c>
      <c r="E548" s="37" t="s">
        <v>211</v>
      </c>
      <c r="F548" s="38">
        <v>45252</v>
      </c>
      <c r="G548" s="37" t="s">
        <v>215</v>
      </c>
      <c r="H548" s="40">
        <v>139</v>
      </c>
      <c r="I548" s="39">
        <f>IF(My_Payment[[#This Row],[Payment_Code]]="S",My_Payment[[#This Row],[Total AMT]]/2,IF(My_Payment[[#This Row],[Payment_Code]]="P",My_Payment[[#This Row],[Total AMT]],0))</f>
        <v>139</v>
      </c>
      <c r="J548" s="39">
        <f>IF(My_Payment[[#This Row],[Payment_Code]]="S",My_Payment[[#This Row],[Total AMT]]/2,IF(My_Payment[[#This Row],[Payment_Code]]="N",My_Payment[[#This Row],[Total AMT]],0))</f>
        <v>0</v>
      </c>
    </row>
    <row r="549" spans="1:13">
      <c r="A549" s="38">
        <v>45238</v>
      </c>
      <c r="B549" s="37" t="s">
        <v>225</v>
      </c>
      <c r="C549" s="37" t="s">
        <v>226</v>
      </c>
      <c r="D549" s="37" t="s">
        <v>392</v>
      </c>
      <c r="E549" s="37" t="s">
        <v>211</v>
      </c>
      <c r="F549" s="38">
        <v>45282</v>
      </c>
      <c r="G549" s="37" t="s">
        <v>215</v>
      </c>
      <c r="H549" s="40">
        <v>139</v>
      </c>
      <c r="I549" s="39">
        <f>IF(My_Payment[[#This Row],[Payment_Code]]="S",My_Payment[[#This Row],[Total AMT]]/2,IF(My_Payment[[#This Row],[Payment_Code]]="P",My_Payment[[#This Row],[Total AMT]],0))</f>
        <v>139</v>
      </c>
      <c r="J549" s="39">
        <f>IF(My_Payment[[#This Row],[Payment_Code]]="S",My_Payment[[#This Row],[Total AMT]]/2,IF(My_Payment[[#This Row],[Payment_Code]]="N",My_Payment[[#This Row],[Total AMT]],0))</f>
        <v>0</v>
      </c>
    </row>
    <row r="550" spans="1:13">
      <c r="A550" s="38">
        <v>45268</v>
      </c>
      <c r="B550" s="37" t="s">
        <v>225</v>
      </c>
      <c r="C550" s="37" t="s">
        <v>226</v>
      </c>
      <c r="D550" s="37" t="s">
        <v>392</v>
      </c>
      <c r="E550" s="37" t="s">
        <v>211</v>
      </c>
      <c r="F550" s="38">
        <v>45313</v>
      </c>
      <c r="G550" s="37" t="s">
        <v>215</v>
      </c>
      <c r="H550" s="40">
        <v>139</v>
      </c>
      <c r="I550" s="39">
        <f>IF(My_Payment[[#This Row],[Payment_Code]]="S",My_Payment[[#This Row],[Total AMT]]/2,IF(My_Payment[[#This Row],[Payment_Code]]="P",My_Payment[[#This Row],[Total AMT]],0))</f>
        <v>139</v>
      </c>
      <c r="J550" s="39">
        <f>IF(My_Payment[[#This Row],[Payment_Code]]="S",My_Payment[[#This Row],[Total AMT]]/2,IF(My_Payment[[#This Row],[Payment_Code]]="N",My_Payment[[#This Row],[Total AMT]],0))</f>
        <v>0</v>
      </c>
    </row>
    <row r="551" spans="1:13">
      <c r="A551" s="38">
        <v>44975</v>
      </c>
      <c r="B551" s="37" t="s">
        <v>373</v>
      </c>
      <c r="C551" s="37" t="s">
        <v>209</v>
      </c>
      <c r="D551" s="37" t="s">
        <v>397</v>
      </c>
      <c r="E551" s="37" t="s">
        <v>211</v>
      </c>
      <c r="F551" s="38">
        <v>45017</v>
      </c>
      <c r="G551" s="37" t="s">
        <v>215</v>
      </c>
      <c r="H551" s="40">
        <v>280</v>
      </c>
      <c r="I551" s="39">
        <f>IF(My_Payment[[#This Row],[Payment_Code]]="S",My_Payment[[#This Row],[Total AMT]]/2,IF(My_Payment[[#This Row],[Payment_Code]]="P",My_Payment[[#This Row],[Total AMT]],0))</f>
        <v>280</v>
      </c>
      <c r="J551" s="39">
        <f>IF(My_Payment[[#This Row],[Payment_Code]]="S",My_Payment[[#This Row],[Total AMT]]/2,IF(My_Payment[[#This Row],[Payment_Code]]="N",My_Payment[[#This Row],[Total AMT]],0))</f>
        <v>0</v>
      </c>
    </row>
    <row r="552" spans="1:13">
      <c r="A552" s="38">
        <v>44975</v>
      </c>
      <c r="B552" s="37" t="s">
        <v>373</v>
      </c>
      <c r="C552" s="37" t="s">
        <v>209</v>
      </c>
      <c r="D552" s="37" t="s">
        <v>398</v>
      </c>
      <c r="E552" s="37" t="s">
        <v>211</v>
      </c>
      <c r="F552" s="38">
        <v>45017</v>
      </c>
      <c r="G552" s="37" t="s">
        <v>215</v>
      </c>
      <c r="H552" s="40">
        <v>5915</v>
      </c>
      <c r="I552" s="39">
        <f>IF(My_Payment[[#This Row],[Payment_Code]]="S",My_Payment[[#This Row],[Total AMT]]/2,IF(My_Payment[[#This Row],[Payment_Code]]="P",My_Payment[[#This Row],[Total AMT]],0))</f>
        <v>5915</v>
      </c>
      <c r="J552" s="39">
        <f>IF(My_Payment[[#This Row],[Payment_Code]]="S",My_Payment[[#This Row],[Total AMT]]/2,IF(My_Payment[[#This Row],[Payment_Code]]="N",My_Payment[[#This Row],[Total AMT]],0))</f>
        <v>0</v>
      </c>
    </row>
    <row r="553" spans="1:13">
      <c r="A553" s="38">
        <v>45005</v>
      </c>
      <c r="B553" s="37" t="s">
        <v>348</v>
      </c>
      <c r="C553" s="37" t="s">
        <v>209</v>
      </c>
      <c r="D553" s="37" t="s">
        <v>48</v>
      </c>
      <c r="E553" s="37" t="s">
        <v>211</v>
      </c>
      <c r="F553" s="38">
        <v>45047</v>
      </c>
      <c r="G553" s="37" t="s">
        <v>215</v>
      </c>
      <c r="H553" s="40">
        <v>854.93</v>
      </c>
      <c r="I553" s="39">
        <f>IF(My_Payment[[#This Row],[Payment_Code]]="S",My_Payment[[#This Row],[Total AMT]]/2,IF(My_Payment[[#This Row],[Payment_Code]]="P",My_Payment[[#This Row],[Total AMT]],0))</f>
        <v>854.93</v>
      </c>
      <c r="J553" s="39">
        <f>IF(My_Payment[[#This Row],[Payment_Code]]="S",My_Payment[[#This Row],[Total AMT]]/2,IF(My_Payment[[#This Row],[Payment_Code]]="N",My_Payment[[#This Row],[Total AMT]],0))</f>
        <v>0</v>
      </c>
    </row>
    <row r="554" spans="1:13">
      <c r="A554" s="38">
        <v>45005</v>
      </c>
      <c r="B554" s="37" t="s">
        <v>348</v>
      </c>
      <c r="C554" s="37" t="s">
        <v>209</v>
      </c>
      <c r="D554" s="37" t="s">
        <v>49</v>
      </c>
      <c r="E554" s="37" t="s">
        <v>211</v>
      </c>
      <c r="F554" s="38">
        <v>45047</v>
      </c>
      <c r="G554" s="37" t="s">
        <v>215</v>
      </c>
      <c r="H554" s="40">
        <v>1603.93</v>
      </c>
      <c r="I554" s="39">
        <f>IF(My_Payment[[#This Row],[Payment_Code]]="S",My_Payment[[#This Row],[Total AMT]]/2,IF(My_Payment[[#This Row],[Payment_Code]]="P",My_Payment[[#This Row],[Total AMT]],0))</f>
        <v>1603.93</v>
      </c>
      <c r="J554" s="39">
        <f>IF(My_Payment[[#This Row],[Payment_Code]]="S",My_Payment[[#This Row],[Total AMT]]/2,IF(My_Payment[[#This Row],[Payment_Code]]="N",My_Payment[[#This Row],[Total AMT]],0))</f>
        <v>0</v>
      </c>
    </row>
    <row r="555" spans="1:13">
      <c r="A555" s="38">
        <v>45003</v>
      </c>
      <c r="B555" s="37" t="s">
        <v>348</v>
      </c>
      <c r="C555" s="37" t="s">
        <v>209</v>
      </c>
      <c r="D555" s="37" t="s">
        <v>81</v>
      </c>
      <c r="E555" s="37" t="s">
        <v>211</v>
      </c>
      <c r="F555" s="38">
        <v>45047</v>
      </c>
      <c r="G555" s="37" t="s">
        <v>215</v>
      </c>
      <c r="H555" s="40">
        <v>373.43</v>
      </c>
      <c r="I555" s="39">
        <f>IF(My_Payment[[#This Row],[Payment_Code]]="S",My_Payment[[#This Row],[Total AMT]]/2,IF(My_Payment[[#This Row],[Payment_Code]]="P",My_Payment[[#This Row],[Total AMT]],0))</f>
        <v>373.43</v>
      </c>
      <c r="J555" s="39">
        <f>IF(My_Payment[[#This Row],[Payment_Code]]="S",My_Payment[[#This Row],[Total AMT]]/2,IF(My_Payment[[#This Row],[Payment_Code]]="N",My_Payment[[#This Row],[Total AMT]],0))</f>
        <v>0</v>
      </c>
    </row>
    <row r="556" spans="1:13">
      <c r="A556" s="38">
        <v>45033</v>
      </c>
      <c r="B556" s="37" t="s">
        <v>348</v>
      </c>
      <c r="C556" s="37" t="s">
        <v>209</v>
      </c>
      <c r="D556" s="37" t="s">
        <v>20</v>
      </c>
      <c r="E556" s="37" t="s">
        <v>211</v>
      </c>
      <c r="F556" s="38">
        <v>45047</v>
      </c>
      <c r="G556" s="37" t="s">
        <v>215</v>
      </c>
      <c r="H556" s="40">
        <v>-7.08</v>
      </c>
      <c r="I556" s="39">
        <f>IF(My_Payment[[#This Row],[Payment_Code]]="S",My_Payment[[#This Row],[Total AMT]]/2,IF(My_Payment[[#This Row],[Payment_Code]]="P",My_Payment[[#This Row],[Total AMT]],0))</f>
        <v>-7.08</v>
      </c>
      <c r="J556" s="39">
        <f>IF(My_Payment[[#This Row],[Payment_Code]]="S",My_Payment[[#This Row],[Total AMT]]/2,IF(My_Payment[[#This Row],[Payment_Code]]="N",My_Payment[[#This Row],[Total AMT]],0))</f>
        <v>0</v>
      </c>
    </row>
    <row r="557" spans="1:13">
      <c r="A557" s="38">
        <v>45036</v>
      </c>
      <c r="B557" s="37" t="s">
        <v>348</v>
      </c>
      <c r="C557" s="37" t="s">
        <v>209</v>
      </c>
      <c r="D557" s="37" t="s">
        <v>48</v>
      </c>
      <c r="E557" s="37" t="s">
        <v>211</v>
      </c>
      <c r="F557" s="38">
        <v>45078</v>
      </c>
      <c r="G557" s="37" t="s">
        <v>215</v>
      </c>
      <c r="H557" s="40">
        <v>854.93</v>
      </c>
      <c r="I557" s="39">
        <f>IF(My_Payment[[#This Row],[Payment_Code]]="S",My_Payment[[#This Row],[Total AMT]]/2,IF(My_Payment[[#This Row],[Payment_Code]]="P",My_Payment[[#This Row],[Total AMT]],0))</f>
        <v>854.93</v>
      </c>
      <c r="J557" s="39">
        <f>IF(My_Payment[[#This Row],[Payment_Code]]="S",My_Payment[[#This Row],[Total AMT]]/2,IF(My_Payment[[#This Row],[Payment_Code]]="N",My_Payment[[#This Row],[Total AMT]],0))</f>
        <v>0</v>
      </c>
    </row>
    <row r="558" spans="1:13">
      <c r="A558" s="38">
        <v>45036</v>
      </c>
      <c r="B558" s="37" t="s">
        <v>348</v>
      </c>
      <c r="C558" s="37" t="s">
        <v>209</v>
      </c>
      <c r="D558" s="37" t="s">
        <v>49</v>
      </c>
      <c r="E558" s="37" t="s">
        <v>211</v>
      </c>
      <c r="F558" s="38">
        <v>45078</v>
      </c>
      <c r="G558" s="37" t="s">
        <v>215</v>
      </c>
      <c r="H558" s="40">
        <v>1603.93</v>
      </c>
      <c r="I558" s="39">
        <f>IF(My_Payment[[#This Row],[Payment_Code]]="S",My_Payment[[#This Row],[Total AMT]]/2,IF(My_Payment[[#This Row],[Payment_Code]]="P",My_Payment[[#This Row],[Total AMT]],0))</f>
        <v>1603.93</v>
      </c>
      <c r="J558" s="39">
        <f>IF(My_Payment[[#This Row],[Payment_Code]]="S",My_Payment[[#This Row],[Total AMT]]/2,IF(My_Payment[[#This Row],[Payment_Code]]="N",My_Payment[[#This Row],[Total AMT]],0))</f>
        <v>0</v>
      </c>
    </row>
    <row r="559" spans="1:13">
      <c r="A559" s="38">
        <v>45034</v>
      </c>
      <c r="B559" s="37" t="s">
        <v>348</v>
      </c>
      <c r="C559" s="37" t="s">
        <v>209</v>
      </c>
      <c r="D559" s="37" t="s">
        <v>81</v>
      </c>
      <c r="E559" s="37" t="s">
        <v>211</v>
      </c>
      <c r="F559" s="38">
        <v>45078</v>
      </c>
      <c r="G559" s="37" t="s">
        <v>215</v>
      </c>
      <c r="H559" s="40">
        <v>373.43</v>
      </c>
      <c r="I559" s="39">
        <f>IF(My_Payment[[#This Row],[Payment_Code]]="S",My_Payment[[#This Row],[Total AMT]]/2,IF(My_Payment[[#This Row],[Payment_Code]]="P",My_Payment[[#This Row],[Total AMT]],0))</f>
        <v>373.43</v>
      </c>
      <c r="J559" s="39">
        <f>IF(My_Payment[[#This Row],[Payment_Code]]="S",My_Payment[[#This Row],[Total AMT]]/2,IF(My_Payment[[#This Row],[Payment_Code]]="N",My_Payment[[#This Row],[Total AMT]],0))</f>
        <v>0</v>
      </c>
      <c r="L559" s="39"/>
      <c r="M559" s="39"/>
    </row>
    <row r="560" spans="1:13">
      <c r="A560" s="38">
        <v>45063</v>
      </c>
      <c r="B560" s="37" t="s">
        <v>348</v>
      </c>
      <c r="C560" s="37" t="s">
        <v>209</v>
      </c>
      <c r="D560" s="37" t="s">
        <v>20</v>
      </c>
      <c r="E560" s="37" t="s">
        <v>211</v>
      </c>
      <c r="F560" s="38">
        <v>45078</v>
      </c>
      <c r="G560" s="37" t="s">
        <v>215</v>
      </c>
      <c r="H560" s="40">
        <f>SUM(H557:H559)*-0.25%</f>
        <v>-7.0807250000000002</v>
      </c>
      <c r="I560" s="39">
        <f>IF(My_Payment[[#This Row],[Payment_Code]]="S",My_Payment[[#This Row],[Total AMT]]/2,IF(My_Payment[[#This Row],[Payment_Code]]="P",My_Payment[[#This Row],[Total AMT]],0))</f>
        <v>-7.0807250000000002</v>
      </c>
      <c r="J560" s="39">
        <f>IF(My_Payment[[#This Row],[Payment_Code]]="S",My_Payment[[#This Row],[Total AMT]]/2,IF(My_Payment[[#This Row],[Payment_Code]]="N",My_Payment[[#This Row],[Total AMT]],0))</f>
        <v>0</v>
      </c>
    </row>
    <row r="561" spans="1:14">
      <c r="A561" s="38">
        <v>45066</v>
      </c>
      <c r="B561" s="37" t="s">
        <v>348</v>
      </c>
      <c r="C561" s="37" t="s">
        <v>209</v>
      </c>
      <c r="D561" s="37" t="s">
        <v>48</v>
      </c>
      <c r="E561" s="37" t="s">
        <v>211</v>
      </c>
      <c r="F561" s="38">
        <v>45108</v>
      </c>
      <c r="G561" s="37" t="s">
        <v>215</v>
      </c>
      <c r="H561" s="40">
        <v>854.93</v>
      </c>
      <c r="I561" s="39">
        <f>IF(My_Payment[[#This Row],[Payment_Code]]="S",My_Payment[[#This Row],[Total AMT]]/2,IF(My_Payment[[#This Row],[Payment_Code]]="P",My_Payment[[#This Row],[Total AMT]],0))</f>
        <v>854.93</v>
      </c>
      <c r="J561" s="39">
        <f>IF(My_Payment[[#This Row],[Payment_Code]]="S",My_Payment[[#This Row],[Total AMT]]/2,IF(My_Payment[[#This Row],[Payment_Code]]="N",My_Payment[[#This Row],[Total AMT]],0))</f>
        <v>0</v>
      </c>
    </row>
    <row r="562" spans="1:14">
      <c r="A562" s="38">
        <v>45066</v>
      </c>
      <c r="B562" s="37" t="s">
        <v>348</v>
      </c>
      <c r="C562" s="37" t="s">
        <v>209</v>
      </c>
      <c r="D562" s="37" t="s">
        <v>49</v>
      </c>
      <c r="E562" s="37" t="s">
        <v>211</v>
      </c>
      <c r="F562" s="38">
        <v>45108</v>
      </c>
      <c r="G562" s="37" t="s">
        <v>215</v>
      </c>
      <c r="H562" s="40">
        <v>1603.93</v>
      </c>
      <c r="I562" s="39">
        <f>IF(My_Payment[[#This Row],[Payment_Code]]="S",My_Payment[[#This Row],[Total AMT]]/2,IF(My_Payment[[#This Row],[Payment_Code]]="P",My_Payment[[#This Row],[Total AMT]],0))</f>
        <v>1603.93</v>
      </c>
      <c r="J562" s="39">
        <f>IF(My_Payment[[#This Row],[Payment_Code]]="S",My_Payment[[#This Row],[Total AMT]]/2,IF(My_Payment[[#This Row],[Payment_Code]]="N",My_Payment[[#This Row],[Total AMT]],0))</f>
        <v>0</v>
      </c>
    </row>
    <row r="563" spans="1:14">
      <c r="A563" s="38">
        <v>45064</v>
      </c>
      <c r="B563" s="37" t="s">
        <v>348</v>
      </c>
      <c r="C563" s="37" t="s">
        <v>209</v>
      </c>
      <c r="D563" s="37" t="s">
        <v>81</v>
      </c>
      <c r="E563" s="37" t="s">
        <v>211</v>
      </c>
      <c r="F563" s="38">
        <v>45108</v>
      </c>
      <c r="G563" s="37" t="s">
        <v>215</v>
      </c>
      <c r="H563" s="40">
        <v>480.43</v>
      </c>
      <c r="I563" s="39">
        <f>IF(My_Payment[[#This Row],[Payment_Code]]="S",My_Payment[[#This Row],[Total AMT]]/2,IF(My_Payment[[#This Row],[Payment_Code]]="P",My_Payment[[#This Row],[Total AMT]],0))</f>
        <v>480.43</v>
      </c>
      <c r="J563" s="39">
        <f>IF(My_Payment[[#This Row],[Payment_Code]]="S",My_Payment[[#This Row],[Total AMT]]/2,IF(My_Payment[[#This Row],[Payment_Code]]="N",My_Payment[[#This Row],[Total AMT]],0))</f>
        <v>0</v>
      </c>
    </row>
    <row r="564" spans="1:14">
      <c r="A564" s="38">
        <v>45094</v>
      </c>
      <c r="B564" s="37" t="s">
        <v>348</v>
      </c>
      <c r="C564" s="37" t="s">
        <v>209</v>
      </c>
      <c r="D564" s="37" t="s">
        <v>20</v>
      </c>
      <c r="E564" s="37" t="s">
        <v>211</v>
      </c>
      <c r="F564" s="38">
        <v>45108</v>
      </c>
      <c r="G564" s="37" t="s">
        <v>215</v>
      </c>
      <c r="H564" s="40">
        <f>SUM(H561:H563)*-0.25%+0.01</f>
        <v>-7.3382250000000004</v>
      </c>
      <c r="I564" s="39">
        <f>IF(My_Payment[[#This Row],[Payment_Code]]="S",My_Payment[[#This Row],[Total AMT]]/2,IF(My_Payment[[#This Row],[Payment_Code]]="P",My_Payment[[#This Row],[Total AMT]],0))</f>
        <v>-7.3382250000000004</v>
      </c>
      <c r="J564" s="39">
        <f>IF(My_Payment[[#This Row],[Payment_Code]]="S",My_Payment[[#This Row],[Total AMT]]/2,IF(My_Payment[[#This Row],[Payment_Code]]="N",My_Payment[[#This Row],[Total AMT]],0))</f>
        <v>0</v>
      </c>
      <c r="M564" s="46"/>
    </row>
    <row r="565" spans="1:14">
      <c r="A565" s="38">
        <v>45097</v>
      </c>
      <c r="B565" s="37" t="s">
        <v>348</v>
      </c>
      <c r="C565" s="37" t="s">
        <v>209</v>
      </c>
      <c r="D565" s="37" t="s">
        <v>48</v>
      </c>
      <c r="E565" s="37" t="s">
        <v>211</v>
      </c>
      <c r="F565" s="38">
        <v>45139</v>
      </c>
      <c r="G565" s="37" t="s">
        <v>215</v>
      </c>
      <c r="H565" s="40">
        <v>854.93</v>
      </c>
      <c r="I565" s="39">
        <f>IF(My_Payment[[#This Row],[Payment_Code]]="S",My_Payment[[#This Row],[Total AMT]]/2,IF(My_Payment[[#This Row],[Payment_Code]]="P",My_Payment[[#This Row],[Total AMT]],0))</f>
        <v>854.93</v>
      </c>
      <c r="J565" s="39">
        <f>IF(My_Payment[[#This Row],[Payment_Code]]="S",My_Payment[[#This Row],[Total AMT]]/2,IF(My_Payment[[#This Row],[Payment_Code]]="N",My_Payment[[#This Row],[Total AMT]],0))</f>
        <v>0</v>
      </c>
    </row>
    <row r="566" spans="1:14">
      <c r="A566" s="38">
        <v>45097</v>
      </c>
      <c r="B566" s="37" t="s">
        <v>348</v>
      </c>
      <c r="C566" s="37" t="s">
        <v>209</v>
      </c>
      <c r="D566" s="37" t="s">
        <v>49</v>
      </c>
      <c r="E566" s="37" t="s">
        <v>211</v>
      </c>
      <c r="F566" s="38">
        <v>45139</v>
      </c>
      <c r="G566" s="37" t="s">
        <v>215</v>
      </c>
      <c r="H566" s="40">
        <v>1603.93</v>
      </c>
      <c r="I566" s="39">
        <f>IF(My_Payment[[#This Row],[Payment_Code]]="S",My_Payment[[#This Row],[Total AMT]]/2,IF(My_Payment[[#This Row],[Payment_Code]]="P",My_Payment[[#This Row],[Total AMT]],0))</f>
        <v>1603.93</v>
      </c>
      <c r="J566" s="39">
        <f>IF(My_Payment[[#This Row],[Payment_Code]]="S",My_Payment[[#This Row],[Total AMT]]/2,IF(My_Payment[[#This Row],[Payment_Code]]="N",My_Payment[[#This Row],[Total AMT]],0))</f>
        <v>0</v>
      </c>
    </row>
    <row r="567" spans="1:14">
      <c r="A567" s="38">
        <v>45095</v>
      </c>
      <c r="B567" s="37" t="s">
        <v>348</v>
      </c>
      <c r="C567" s="37" t="s">
        <v>209</v>
      </c>
      <c r="D567" s="37" t="s">
        <v>81</v>
      </c>
      <c r="E567" s="37" t="s">
        <v>211</v>
      </c>
      <c r="F567" s="38">
        <v>45139</v>
      </c>
      <c r="G567" s="37" t="s">
        <v>215</v>
      </c>
      <c r="H567" s="40">
        <f>699*1.07</f>
        <v>747.93000000000006</v>
      </c>
      <c r="I567" s="39">
        <f>IF(My_Payment[[#This Row],[Payment_Code]]="S",My_Payment[[#This Row],[Total AMT]]/2,IF(My_Payment[[#This Row],[Payment_Code]]="P",My_Payment[[#This Row],[Total AMT]],0))</f>
        <v>747.93000000000006</v>
      </c>
      <c r="J567" s="39">
        <f>IF(My_Payment[[#This Row],[Payment_Code]]="S",My_Payment[[#This Row],[Total AMT]]/2,IF(My_Payment[[#This Row],[Payment_Code]]="N",My_Payment[[#This Row],[Total AMT]],0))</f>
        <v>0</v>
      </c>
      <c r="M567" s="39"/>
      <c r="N567" s="39"/>
    </row>
    <row r="568" spans="1:14">
      <c r="A568" s="38">
        <v>45124</v>
      </c>
      <c r="B568" s="37" t="s">
        <v>348</v>
      </c>
      <c r="C568" s="37" t="s">
        <v>209</v>
      </c>
      <c r="D568" s="37" t="s">
        <v>20</v>
      </c>
      <c r="E568" s="37" t="s">
        <v>211</v>
      </c>
      <c r="F568" s="38">
        <v>45139</v>
      </c>
      <c r="G568" s="37" t="s">
        <v>215</v>
      </c>
      <c r="H568" s="40">
        <f>SUM(H565:H567)*-0.25%+0.01</f>
        <v>-8.0069750000000006</v>
      </c>
      <c r="I568" s="39">
        <f>IF(My_Payment[[#This Row],[Payment_Code]]="S",My_Payment[[#This Row],[Total AMT]]/2,IF(My_Payment[[#This Row],[Payment_Code]]="P",My_Payment[[#This Row],[Total AMT]],0))</f>
        <v>-8.0069750000000006</v>
      </c>
      <c r="J568" s="39">
        <f>IF(My_Payment[[#This Row],[Payment_Code]]="S",My_Payment[[#This Row],[Total AMT]]/2,IF(My_Payment[[#This Row],[Payment_Code]]="N",My_Payment[[#This Row],[Total AMT]],0))</f>
        <v>0</v>
      </c>
    </row>
    <row r="569" spans="1:14">
      <c r="A569" s="38">
        <v>45127</v>
      </c>
      <c r="B569" s="37" t="s">
        <v>348</v>
      </c>
      <c r="C569" s="37" t="s">
        <v>209</v>
      </c>
      <c r="D569" s="37" t="s">
        <v>48</v>
      </c>
      <c r="E569" s="37" t="s">
        <v>211</v>
      </c>
      <c r="F569" s="38">
        <v>45170</v>
      </c>
      <c r="G569" s="37" t="s">
        <v>215</v>
      </c>
      <c r="H569" s="40">
        <v>854.93</v>
      </c>
      <c r="I569" s="39">
        <f>IF(My_Payment[[#This Row],[Payment_Code]]="S",My_Payment[[#This Row],[Total AMT]]/2,IF(My_Payment[[#This Row],[Payment_Code]]="P",My_Payment[[#This Row],[Total AMT]],0))</f>
        <v>854.93</v>
      </c>
      <c r="J569" s="39">
        <f>IF(My_Payment[[#This Row],[Payment_Code]]="S",My_Payment[[#This Row],[Total AMT]]/2,IF(My_Payment[[#This Row],[Payment_Code]]="N",My_Payment[[#This Row],[Total AMT]],0))</f>
        <v>0</v>
      </c>
    </row>
    <row r="570" spans="1:14">
      <c r="A570" s="38">
        <v>45127</v>
      </c>
      <c r="B570" s="37" t="s">
        <v>348</v>
      </c>
      <c r="C570" s="37" t="s">
        <v>209</v>
      </c>
      <c r="D570" s="37" t="s">
        <v>49</v>
      </c>
      <c r="E570" s="37" t="s">
        <v>211</v>
      </c>
      <c r="F570" s="38">
        <v>45170</v>
      </c>
      <c r="G570" s="37" t="s">
        <v>215</v>
      </c>
      <c r="H570" s="40">
        <v>1603.93</v>
      </c>
      <c r="I570" s="39">
        <f>IF(My_Payment[[#This Row],[Payment_Code]]="S",My_Payment[[#This Row],[Total AMT]]/2,IF(My_Payment[[#This Row],[Payment_Code]]="P",My_Payment[[#This Row],[Total AMT]],0))</f>
        <v>1603.93</v>
      </c>
      <c r="J570" s="39">
        <f>IF(My_Payment[[#This Row],[Payment_Code]]="S",My_Payment[[#This Row],[Total AMT]]/2,IF(My_Payment[[#This Row],[Payment_Code]]="N",My_Payment[[#This Row],[Total AMT]],0))</f>
        <v>0</v>
      </c>
    </row>
    <row r="571" spans="1:14">
      <c r="A571" s="38">
        <v>45125</v>
      </c>
      <c r="B571" s="37" t="s">
        <v>348</v>
      </c>
      <c r="C571" s="37" t="s">
        <v>209</v>
      </c>
      <c r="D571" s="37" t="s">
        <v>81</v>
      </c>
      <c r="E571" s="37" t="s">
        <v>211</v>
      </c>
      <c r="F571" s="38">
        <v>45170</v>
      </c>
      <c r="G571" s="37" t="s">
        <v>215</v>
      </c>
      <c r="H571" s="40">
        <f>699*1.07</f>
        <v>747.93000000000006</v>
      </c>
      <c r="I571" s="39">
        <f>IF(My_Payment[[#This Row],[Payment_Code]]="S",My_Payment[[#This Row],[Total AMT]]/2,IF(My_Payment[[#This Row],[Payment_Code]]="P",My_Payment[[#This Row],[Total AMT]],0))</f>
        <v>747.93000000000006</v>
      </c>
      <c r="J571" s="39">
        <f>IF(My_Payment[[#This Row],[Payment_Code]]="S",My_Payment[[#This Row],[Total AMT]]/2,IF(My_Payment[[#This Row],[Payment_Code]]="N",My_Payment[[#This Row],[Total AMT]],0))</f>
        <v>0</v>
      </c>
    </row>
    <row r="572" spans="1:14">
      <c r="A572" s="38">
        <v>45155</v>
      </c>
      <c r="B572" s="37" t="s">
        <v>348</v>
      </c>
      <c r="C572" s="37" t="s">
        <v>209</v>
      </c>
      <c r="D572" s="37" t="s">
        <v>20</v>
      </c>
      <c r="E572" s="37" t="s">
        <v>211</v>
      </c>
      <c r="F572" s="38">
        <v>45170</v>
      </c>
      <c r="G572" s="37" t="s">
        <v>215</v>
      </c>
      <c r="H572" s="40">
        <f>SUM(H569:H571)*-0.25%+0.01</f>
        <v>-8.0069750000000006</v>
      </c>
      <c r="I572" s="39">
        <f>IF(My_Payment[[#This Row],[Payment_Code]]="S",My_Payment[[#This Row],[Total AMT]]/2,IF(My_Payment[[#This Row],[Payment_Code]]="P",My_Payment[[#This Row],[Total AMT]],0))</f>
        <v>-8.0069750000000006</v>
      </c>
      <c r="J572" s="39">
        <f>IF(My_Payment[[#This Row],[Payment_Code]]="S",My_Payment[[#This Row],[Total AMT]]/2,IF(My_Payment[[#This Row],[Payment_Code]]="N",My_Payment[[#This Row],[Total AMT]],0))</f>
        <v>0</v>
      </c>
    </row>
    <row r="573" spans="1:14">
      <c r="A573" s="38">
        <v>45158</v>
      </c>
      <c r="B573" s="37" t="s">
        <v>348</v>
      </c>
      <c r="C573" s="37" t="s">
        <v>209</v>
      </c>
      <c r="D573" s="37" t="s">
        <v>48</v>
      </c>
      <c r="E573" s="37" t="s">
        <v>211</v>
      </c>
      <c r="F573" s="38">
        <v>45200</v>
      </c>
      <c r="G573" s="37" t="s">
        <v>215</v>
      </c>
      <c r="H573" s="40">
        <v>854.93</v>
      </c>
      <c r="I573" s="39">
        <f>IF(My_Payment[[#This Row],[Payment_Code]]="S",My_Payment[[#This Row],[Total AMT]]/2,IF(My_Payment[[#This Row],[Payment_Code]]="P",My_Payment[[#This Row],[Total AMT]],0))</f>
        <v>854.93</v>
      </c>
      <c r="J573" s="39">
        <f>IF(My_Payment[[#This Row],[Payment_Code]]="S",My_Payment[[#This Row],[Total AMT]]/2,IF(My_Payment[[#This Row],[Payment_Code]]="N",My_Payment[[#This Row],[Total AMT]],0))</f>
        <v>0</v>
      </c>
    </row>
    <row r="574" spans="1:14">
      <c r="A574" s="38">
        <v>45158</v>
      </c>
      <c r="B574" s="37" t="s">
        <v>348</v>
      </c>
      <c r="C574" s="37" t="s">
        <v>209</v>
      </c>
      <c r="D574" s="37" t="s">
        <v>49</v>
      </c>
      <c r="E574" s="37" t="s">
        <v>211</v>
      </c>
      <c r="F574" s="38">
        <v>45200</v>
      </c>
      <c r="G574" s="37" t="s">
        <v>215</v>
      </c>
      <c r="H574" s="40">
        <v>1603.93</v>
      </c>
      <c r="I574" s="39">
        <f>IF(My_Payment[[#This Row],[Payment_Code]]="S",My_Payment[[#This Row],[Total AMT]]/2,IF(My_Payment[[#This Row],[Payment_Code]]="P",My_Payment[[#This Row],[Total AMT]],0))</f>
        <v>1603.93</v>
      </c>
      <c r="J574" s="39">
        <f>IF(My_Payment[[#This Row],[Payment_Code]]="S",My_Payment[[#This Row],[Total AMT]]/2,IF(My_Payment[[#This Row],[Payment_Code]]="N",My_Payment[[#This Row],[Total AMT]],0))</f>
        <v>0</v>
      </c>
    </row>
    <row r="575" spans="1:14">
      <c r="A575" s="38">
        <v>45156</v>
      </c>
      <c r="B575" s="37" t="s">
        <v>348</v>
      </c>
      <c r="C575" s="37" t="s">
        <v>209</v>
      </c>
      <c r="D575" s="37" t="s">
        <v>81</v>
      </c>
      <c r="E575" s="37" t="s">
        <v>211</v>
      </c>
      <c r="F575" s="38">
        <v>45200</v>
      </c>
      <c r="G575" s="37" t="s">
        <v>215</v>
      </c>
      <c r="H575" s="40">
        <f>699*1.07</f>
        <v>747.93000000000006</v>
      </c>
      <c r="I575" s="39">
        <f>IF(My_Payment[[#This Row],[Payment_Code]]="S",My_Payment[[#This Row],[Total AMT]]/2,IF(My_Payment[[#This Row],[Payment_Code]]="P",My_Payment[[#This Row],[Total AMT]],0))</f>
        <v>747.93000000000006</v>
      </c>
      <c r="J575" s="39">
        <f>IF(My_Payment[[#This Row],[Payment_Code]]="S",My_Payment[[#This Row],[Total AMT]]/2,IF(My_Payment[[#This Row],[Payment_Code]]="N",My_Payment[[#This Row],[Total AMT]],0))</f>
        <v>0</v>
      </c>
    </row>
    <row r="576" spans="1:14">
      <c r="A576" s="38">
        <v>45186</v>
      </c>
      <c r="B576" s="37" t="s">
        <v>348</v>
      </c>
      <c r="C576" s="37" t="s">
        <v>209</v>
      </c>
      <c r="D576" s="37" t="s">
        <v>20</v>
      </c>
      <c r="E576" s="37" t="s">
        <v>211</v>
      </c>
      <c r="F576" s="38">
        <v>45200</v>
      </c>
      <c r="G576" s="37" t="s">
        <v>215</v>
      </c>
      <c r="H576" s="40">
        <f>SUM(H573:H575)*-0.25%+0.01</f>
        <v>-8.0069750000000006</v>
      </c>
      <c r="I576" s="39">
        <f>IF(My_Payment[[#This Row],[Payment_Code]]="S",My_Payment[[#This Row],[Total AMT]]/2,IF(My_Payment[[#This Row],[Payment_Code]]="P",My_Payment[[#This Row],[Total AMT]],0))</f>
        <v>-8.0069750000000006</v>
      </c>
      <c r="J576" s="39">
        <f>IF(My_Payment[[#This Row],[Payment_Code]]="S",My_Payment[[#This Row],[Total AMT]]/2,IF(My_Payment[[#This Row],[Payment_Code]]="N",My_Payment[[#This Row],[Total AMT]],0))</f>
        <v>0</v>
      </c>
    </row>
    <row r="577" spans="1:10">
      <c r="A577" s="38">
        <v>45189</v>
      </c>
      <c r="B577" s="37" t="s">
        <v>348</v>
      </c>
      <c r="C577" s="37" t="s">
        <v>209</v>
      </c>
      <c r="D577" s="37" t="s">
        <v>48</v>
      </c>
      <c r="E577" s="37" t="s">
        <v>211</v>
      </c>
      <c r="F577" s="38">
        <v>45231</v>
      </c>
      <c r="G577" s="37" t="s">
        <v>215</v>
      </c>
      <c r="H577" s="40">
        <v>854.93</v>
      </c>
      <c r="I577" s="39">
        <f>IF(My_Payment[[#This Row],[Payment_Code]]="S",My_Payment[[#This Row],[Total AMT]]/2,IF(My_Payment[[#This Row],[Payment_Code]]="P",My_Payment[[#This Row],[Total AMT]],0))</f>
        <v>854.93</v>
      </c>
      <c r="J577" s="39">
        <f>IF(My_Payment[[#This Row],[Payment_Code]]="S",My_Payment[[#This Row],[Total AMT]]/2,IF(My_Payment[[#This Row],[Payment_Code]]="N",My_Payment[[#This Row],[Total AMT]],0))</f>
        <v>0</v>
      </c>
    </row>
    <row r="578" spans="1:10">
      <c r="A578" s="38">
        <v>45189</v>
      </c>
      <c r="B578" s="37" t="s">
        <v>348</v>
      </c>
      <c r="C578" s="37" t="s">
        <v>209</v>
      </c>
      <c r="D578" s="37" t="s">
        <v>49</v>
      </c>
      <c r="E578" s="37" t="s">
        <v>211</v>
      </c>
      <c r="F578" s="38">
        <v>45231</v>
      </c>
      <c r="G578" s="37" t="s">
        <v>215</v>
      </c>
      <c r="H578" s="40">
        <v>1603.93</v>
      </c>
      <c r="I578" s="39">
        <f>IF(My_Payment[[#This Row],[Payment_Code]]="S",My_Payment[[#This Row],[Total AMT]]/2,IF(My_Payment[[#This Row],[Payment_Code]]="P",My_Payment[[#This Row],[Total AMT]],0))</f>
        <v>1603.93</v>
      </c>
      <c r="J578" s="39">
        <f>IF(My_Payment[[#This Row],[Payment_Code]]="S",My_Payment[[#This Row],[Total AMT]]/2,IF(My_Payment[[#This Row],[Payment_Code]]="N",My_Payment[[#This Row],[Total AMT]],0))</f>
        <v>0</v>
      </c>
    </row>
    <row r="579" spans="1:10">
      <c r="A579" s="38">
        <v>45187</v>
      </c>
      <c r="B579" s="37" t="s">
        <v>348</v>
      </c>
      <c r="C579" s="37" t="s">
        <v>209</v>
      </c>
      <c r="D579" s="37" t="s">
        <v>81</v>
      </c>
      <c r="E579" s="37" t="s">
        <v>211</v>
      </c>
      <c r="F579" s="38">
        <v>45231</v>
      </c>
      <c r="G579" s="37" t="s">
        <v>215</v>
      </c>
      <c r="H579" s="40">
        <f>699*1.07</f>
        <v>747.93000000000006</v>
      </c>
      <c r="I579" s="39">
        <f>IF(My_Payment[[#This Row],[Payment_Code]]="S",My_Payment[[#This Row],[Total AMT]]/2,IF(My_Payment[[#This Row],[Payment_Code]]="P",My_Payment[[#This Row],[Total AMT]],0))</f>
        <v>747.93000000000006</v>
      </c>
      <c r="J579" s="39">
        <f>IF(My_Payment[[#This Row],[Payment_Code]]="S",My_Payment[[#This Row],[Total AMT]]/2,IF(My_Payment[[#This Row],[Payment_Code]]="N",My_Payment[[#This Row],[Total AMT]],0))</f>
        <v>0</v>
      </c>
    </row>
    <row r="580" spans="1:10">
      <c r="A580" s="38">
        <v>45216</v>
      </c>
      <c r="B580" s="37" t="s">
        <v>348</v>
      </c>
      <c r="C580" s="37" t="s">
        <v>209</v>
      </c>
      <c r="D580" s="37" t="s">
        <v>20</v>
      </c>
      <c r="E580" s="37" t="s">
        <v>211</v>
      </c>
      <c r="F580" s="38">
        <v>45231</v>
      </c>
      <c r="G580" s="37" t="s">
        <v>215</v>
      </c>
      <c r="H580" s="40">
        <f>SUM(H577:H579)*-0.25%+0.01</f>
        <v>-8.0069750000000006</v>
      </c>
      <c r="I580" s="39">
        <f>IF(My_Payment[[#This Row],[Payment_Code]]="S",My_Payment[[#This Row],[Total AMT]]/2,IF(My_Payment[[#This Row],[Payment_Code]]="P",My_Payment[[#This Row],[Total AMT]],0))</f>
        <v>-8.0069750000000006</v>
      </c>
      <c r="J580" s="39">
        <f>IF(My_Payment[[#This Row],[Payment_Code]]="S",My_Payment[[#This Row],[Total AMT]]/2,IF(My_Payment[[#This Row],[Payment_Code]]="N",My_Payment[[#This Row],[Total AMT]],0))</f>
        <v>0</v>
      </c>
    </row>
    <row r="581" spans="1:10">
      <c r="A581" s="38">
        <v>45219</v>
      </c>
      <c r="B581" s="37" t="s">
        <v>348</v>
      </c>
      <c r="C581" s="37" t="s">
        <v>209</v>
      </c>
      <c r="D581" s="37" t="s">
        <v>48</v>
      </c>
      <c r="E581" s="37" t="s">
        <v>211</v>
      </c>
      <c r="F581" s="38">
        <v>45261</v>
      </c>
      <c r="G581" s="37" t="s">
        <v>215</v>
      </c>
      <c r="H581" s="40">
        <v>854.93</v>
      </c>
      <c r="I581" s="39">
        <f>IF(My_Payment[[#This Row],[Payment_Code]]="S",My_Payment[[#This Row],[Total AMT]]/2,IF(My_Payment[[#This Row],[Payment_Code]]="P",My_Payment[[#This Row],[Total AMT]],0))</f>
        <v>854.93</v>
      </c>
      <c r="J581" s="39">
        <f>IF(My_Payment[[#This Row],[Payment_Code]]="S",My_Payment[[#This Row],[Total AMT]]/2,IF(My_Payment[[#This Row],[Payment_Code]]="N",My_Payment[[#This Row],[Total AMT]],0))</f>
        <v>0</v>
      </c>
    </row>
    <row r="582" spans="1:10">
      <c r="A582" s="38">
        <v>45219</v>
      </c>
      <c r="B582" s="37" t="s">
        <v>348</v>
      </c>
      <c r="C582" s="37" t="s">
        <v>209</v>
      </c>
      <c r="D582" s="37" t="s">
        <v>49</v>
      </c>
      <c r="E582" s="37" t="s">
        <v>211</v>
      </c>
      <c r="F582" s="38">
        <v>45261</v>
      </c>
      <c r="G582" s="37" t="s">
        <v>215</v>
      </c>
      <c r="H582" s="40">
        <v>1603.93</v>
      </c>
      <c r="I582" s="39">
        <f>IF(My_Payment[[#This Row],[Payment_Code]]="S",My_Payment[[#This Row],[Total AMT]]/2,IF(My_Payment[[#This Row],[Payment_Code]]="P",My_Payment[[#This Row],[Total AMT]],0))</f>
        <v>1603.93</v>
      </c>
      <c r="J582" s="39">
        <f>IF(My_Payment[[#This Row],[Payment_Code]]="S",My_Payment[[#This Row],[Total AMT]]/2,IF(My_Payment[[#This Row],[Payment_Code]]="N",My_Payment[[#This Row],[Total AMT]],0))</f>
        <v>0</v>
      </c>
    </row>
    <row r="583" spans="1:10">
      <c r="A583" s="38">
        <v>45217</v>
      </c>
      <c r="B583" s="37" t="s">
        <v>348</v>
      </c>
      <c r="C583" s="37" t="s">
        <v>209</v>
      </c>
      <c r="D583" s="37" t="s">
        <v>81</v>
      </c>
      <c r="E583" s="37" t="s">
        <v>211</v>
      </c>
      <c r="F583" s="38">
        <v>45261</v>
      </c>
      <c r="G583" s="37" t="s">
        <v>215</v>
      </c>
      <c r="H583" s="40">
        <f>699*1.07</f>
        <v>747.93000000000006</v>
      </c>
      <c r="I583" s="39">
        <f>IF(My_Payment[[#This Row],[Payment_Code]]="S",My_Payment[[#This Row],[Total AMT]]/2,IF(My_Payment[[#This Row],[Payment_Code]]="P",My_Payment[[#This Row],[Total AMT]],0))</f>
        <v>747.93000000000006</v>
      </c>
      <c r="J583" s="39">
        <f>IF(My_Payment[[#This Row],[Payment_Code]]="S",My_Payment[[#This Row],[Total AMT]]/2,IF(My_Payment[[#This Row],[Payment_Code]]="N",My_Payment[[#This Row],[Total AMT]],0))</f>
        <v>0</v>
      </c>
    </row>
    <row r="584" spans="1:10">
      <c r="A584" s="38">
        <v>45247</v>
      </c>
      <c r="B584" s="37" t="s">
        <v>348</v>
      </c>
      <c r="C584" s="37" t="s">
        <v>209</v>
      </c>
      <c r="D584" s="37" t="s">
        <v>20</v>
      </c>
      <c r="E584" s="37" t="s">
        <v>211</v>
      </c>
      <c r="F584" s="38">
        <v>45261</v>
      </c>
      <c r="G584" s="37" t="s">
        <v>215</v>
      </c>
      <c r="H584" s="40">
        <f>SUM(H581:H583)*-0.25%+0.01</f>
        <v>-8.0069750000000006</v>
      </c>
      <c r="I584" s="39">
        <f>IF(My_Payment[[#This Row],[Payment_Code]]="S",My_Payment[[#This Row],[Total AMT]]/2,IF(My_Payment[[#This Row],[Payment_Code]]="P",My_Payment[[#This Row],[Total AMT]],0))</f>
        <v>-8.0069750000000006</v>
      </c>
      <c r="J584" s="39">
        <f>IF(My_Payment[[#This Row],[Payment_Code]]="S",My_Payment[[#This Row],[Total AMT]]/2,IF(My_Payment[[#This Row],[Payment_Code]]="N",My_Payment[[#This Row],[Total AMT]],0))</f>
        <v>0</v>
      </c>
    </row>
    <row r="585" spans="1:10">
      <c r="A585" s="38">
        <v>45250</v>
      </c>
      <c r="B585" s="37" t="s">
        <v>348</v>
      </c>
      <c r="C585" s="37" t="s">
        <v>209</v>
      </c>
      <c r="D585" s="37" t="s">
        <v>48</v>
      </c>
      <c r="E585" s="37" t="s">
        <v>211</v>
      </c>
      <c r="F585" s="38">
        <v>45292</v>
      </c>
      <c r="G585" s="37" t="s">
        <v>215</v>
      </c>
      <c r="H585" s="40">
        <v>854.93</v>
      </c>
      <c r="I585" s="39">
        <f>IF(My_Payment[[#This Row],[Payment_Code]]="S",My_Payment[[#This Row],[Total AMT]]/2,IF(My_Payment[[#This Row],[Payment_Code]]="P",My_Payment[[#This Row],[Total AMT]],0))</f>
        <v>854.93</v>
      </c>
      <c r="J585" s="39">
        <f>IF(My_Payment[[#This Row],[Payment_Code]]="S",My_Payment[[#This Row],[Total AMT]]/2,IF(My_Payment[[#This Row],[Payment_Code]]="N",My_Payment[[#This Row],[Total AMT]],0))</f>
        <v>0</v>
      </c>
    </row>
    <row r="586" spans="1:10">
      <c r="A586" s="38">
        <v>45250</v>
      </c>
      <c r="B586" s="37" t="s">
        <v>348</v>
      </c>
      <c r="C586" s="37" t="s">
        <v>209</v>
      </c>
      <c r="D586" s="37" t="s">
        <v>49</v>
      </c>
      <c r="E586" s="37" t="s">
        <v>211</v>
      </c>
      <c r="F586" s="38">
        <v>45292</v>
      </c>
      <c r="G586" s="37" t="s">
        <v>215</v>
      </c>
      <c r="H586" s="40">
        <v>1603.93</v>
      </c>
      <c r="I586" s="39">
        <f>IF(My_Payment[[#This Row],[Payment_Code]]="S",My_Payment[[#This Row],[Total AMT]]/2,IF(My_Payment[[#This Row],[Payment_Code]]="P",My_Payment[[#This Row],[Total AMT]],0))</f>
        <v>1603.93</v>
      </c>
      <c r="J586" s="39">
        <f>IF(My_Payment[[#This Row],[Payment_Code]]="S",My_Payment[[#This Row],[Total AMT]]/2,IF(My_Payment[[#This Row],[Payment_Code]]="N",My_Payment[[#This Row],[Total AMT]],0))</f>
        <v>0</v>
      </c>
    </row>
    <row r="587" spans="1:10">
      <c r="A587" s="38">
        <v>45248</v>
      </c>
      <c r="B587" s="37" t="s">
        <v>348</v>
      </c>
      <c r="C587" s="37" t="s">
        <v>209</v>
      </c>
      <c r="D587" s="37" t="s">
        <v>81</v>
      </c>
      <c r="E587" s="37" t="s">
        <v>211</v>
      </c>
      <c r="F587" s="38">
        <v>45292</v>
      </c>
      <c r="G587" s="37" t="s">
        <v>215</v>
      </c>
      <c r="H587" s="40">
        <f>699*1.07</f>
        <v>747.93000000000006</v>
      </c>
      <c r="I587" s="39">
        <f>IF(My_Payment[[#This Row],[Payment_Code]]="S",My_Payment[[#This Row],[Total AMT]]/2,IF(My_Payment[[#This Row],[Payment_Code]]="P",My_Payment[[#This Row],[Total AMT]],0))</f>
        <v>747.93000000000006</v>
      </c>
      <c r="J587" s="39">
        <f>IF(My_Payment[[#This Row],[Payment_Code]]="S",My_Payment[[#This Row],[Total AMT]]/2,IF(My_Payment[[#This Row],[Payment_Code]]="N",My_Payment[[#This Row],[Total AMT]],0))</f>
        <v>0</v>
      </c>
    </row>
    <row r="588" spans="1:10">
      <c r="A588" s="38">
        <v>45277</v>
      </c>
      <c r="B588" s="37" t="s">
        <v>348</v>
      </c>
      <c r="C588" s="37" t="s">
        <v>209</v>
      </c>
      <c r="D588" s="37" t="s">
        <v>20</v>
      </c>
      <c r="E588" s="37" t="s">
        <v>211</v>
      </c>
      <c r="F588" s="38">
        <v>45292</v>
      </c>
      <c r="G588" s="37" t="s">
        <v>215</v>
      </c>
      <c r="H588" s="40">
        <f>SUM(H585:H587)*-0.25%+0.01</f>
        <v>-8.0069750000000006</v>
      </c>
      <c r="I588" s="39">
        <f>IF(My_Payment[[#This Row],[Payment_Code]]="S",My_Payment[[#This Row],[Total AMT]]/2,IF(My_Payment[[#This Row],[Payment_Code]]="P",My_Payment[[#This Row],[Total AMT]],0))</f>
        <v>-8.0069750000000006</v>
      </c>
      <c r="J588" s="39">
        <f>IF(My_Payment[[#This Row],[Payment_Code]]="S",My_Payment[[#This Row],[Total AMT]]/2,IF(My_Payment[[#This Row],[Payment_Code]]="N",My_Payment[[#This Row],[Total AMT]],0))</f>
        <v>0</v>
      </c>
    </row>
    <row r="589" spans="1:10">
      <c r="A589" s="38">
        <v>45280</v>
      </c>
      <c r="B589" s="37" t="s">
        <v>348</v>
      </c>
      <c r="C589" s="37" t="s">
        <v>209</v>
      </c>
      <c r="D589" s="37" t="s">
        <v>48</v>
      </c>
      <c r="E589" s="37" t="s">
        <v>211</v>
      </c>
      <c r="F589" s="38">
        <v>45323</v>
      </c>
      <c r="G589" s="37" t="s">
        <v>215</v>
      </c>
      <c r="H589" s="40">
        <v>854.93</v>
      </c>
      <c r="I589" s="39">
        <f>IF(My_Payment[[#This Row],[Payment_Code]]="S",My_Payment[[#This Row],[Total AMT]]/2,IF(My_Payment[[#This Row],[Payment_Code]]="P",My_Payment[[#This Row],[Total AMT]],0))</f>
        <v>854.93</v>
      </c>
      <c r="J589" s="39">
        <f>IF(My_Payment[[#This Row],[Payment_Code]]="S",My_Payment[[#This Row],[Total AMT]]/2,IF(My_Payment[[#This Row],[Payment_Code]]="N",My_Payment[[#This Row],[Total AMT]],0))</f>
        <v>0</v>
      </c>
    </row>
    <row r="590" spans="1:10">
      <c r="A590" s="38">
        <v>45280</v>
      </c>
      <c r="B590" s="37" t="s">
        <v>348</v>
      </c>
      <c r="C590" s="37" t="s">
        <v>209</v>
      </c>
      <c r="D590" s="37" t="s">
        <v>49</v>
      </c>
      <c r="E590" s="37" t="s">
        <v>211</v>
      </c>
      <c r="F590" s="38">
        <v>45323</v>
      </c>
      <c r="G590" s="37" t="s">
        <v>215</v>
      </c>
      <c r="H590" s="40">
        <v>1603.93</v>
      </c>
      <c r="I590" s="39">
        <f>IF(My_Payment[[#This Row],[Payment_Code]]="S",My_Payment[[#This Row],[Total AMT]]/2,IF(My_Payment[[#This Row],[Payment_Code]]="P",My_Payment[[#This Row],[Total AMT]],0))</f>
        <v>1603.93</v>
      </c>
      <c r="J590" s="39">
        <f>IF(My_Payment[[#This Row],[Payment_Code]]="S",My_Payment[[#This Row],[Total AMT]]/2,IF(My_Payment[[#This Row],[Payment_Code]]="N",My_Payment[[#This Row],[Total AMT]],0))</f>
        <v>0</v>
      </c>
    </row>
    <row r="591" spans="1:10">
      <c r="A591" s="38">
        <v>45278</v>
      </c>
      <c r="B591" s="37" t="s">
        <v>348</v>
      </c>
      <c r="C591" s="37" t="s">
        <v>209</v>
      </c>
      <c r="D591" s="37" t="s">
        <v>81</v>
      </c>
      <c r="E591" s="37" t="s">
        <v>211</v>
      </c>
      <c r="F591" s="38">
        <v>45323</v>
      </c>
      <c r="G591" s="37" t="s">
        <v>215</v>
      </c>
      <c r="H591" s="40">
        <f>699*1.07</f>
        <v>747.93000000000006</v>
      </c>
      <c r="I591" s="39">
        <f>IF(My_Payment[[#This Row],[Payment_Code]]="S",My_Payment[[#This Row],[Total AMT]]/2,IF(My_Payment[[#This Row],[Payment_Code]]="P",My_Payment[[#This Row],[Total AMT]],0))</f>
        <v>747.93000000000006</v>
      </c>
      <c r="J591" s="39">
        <f>IF(My_Payment[[#This Row],[Payment_Code]]="S",My_Payment[[#This Row],[Total AMT]]/2,IF(My_Payment[[#This Row],[Payment_Code]]="N",My_Payment[[#This Row],[Total AMT]],0))</f>
        <v>0</v>
      </c>
    </row>
    <row r="592" spans="1:10">
      <c r="A592" s="38">
        <v>45308</v>
      </c>
      <c r="B592" s="37" t="s">
        <v>348</v>
      </c>
      <c r="C592" s="37" t="s">
        <v>209</v>
      </c>
      <c r="D592" s="37" t="s">
        <v>20</v>
      </c>
      <c r="E592" s="37" t="s">
        <v>211</v>
      </c>
      <c r="F592" s="38">
        <v>45323</v>
      </c>
      <c r="G592" s="37" t="s">
        <v>215</v>
      </c>
      <c r="H592" s="40">
        <f>SUM(H589:H591)*-0.25%+0.01</f>
        <v>-8.0069750000000006</v>
      </c>
      <c r="I592" s="39">
        <f>IF(My_Payment[[#This Row],[Payment_Code]]="S",My_Payment[[#This Row],[Total AMT]]/2,IF(My_Payment[[#This Row],[Payment_Code]]="P",My_Payment[[#This Row],[Total AMT]],0))</f>
        <v>-8.0069750000000006</v>
      </c>
      <c r="J592" s="39">
        <f>IF(My_Payment[[#This Row],[Payment_Code]]="S",My_Payment[[#This Row],[Total AMT]]/2,IF(My_Payment[[#This Row],[Payment_Code]]="N",My_Payment[[#This Row],[Total AMT]],0))</f>
        <v>0</v>
      </c>
    </row>
    <row r="593" spans="1:15">
      <c r="A593" s="38">
        <v>44982</v>
      </c>
      <c r="B593" s="37" t="s">
        <v>354</v>
      </c>
      <c r="C593" s="37" t="s">
        <v>248</v>
      </c>
      <c r="D593" s="37" t="s">
        <v>356</v>
      </c>
      <c r="E593" s="37" t="s">
        <v>211</v>
      </c>
      <c r="F593" s="38">
        <v>45017</v>
      </c>
      <c r="G593" s="37" t="s">
        <v>215</v>
      </c>
      <c r="H593" s="40">
        <v>233</v>
      </c>
      <c r="I593" s="39">
        <f>IF(My_Payment[[#This Row],[Payment_Code]]="S",My_Payment[[#This Row],[Total AMT]]/2,IF(My_Payment[[#This Row],[Payment_Code]]="P",My_Payment[[#This Row],[Total AMT]],0))</f>
        <v>233</v>
      </c>
      <c r="J593" s="39">
        <f>IF(My_Payment[[#This Row],[Payment_Code]]="S",My_Payment[[#This Row],[Total AMT]]/2,IF(My_Payment[[#This Row],[Payment_Code]]="N",My_Payment[[#This Row],[Total AMT]],0))</f>
        <v>0</v>
      </c>
    </row>
    <row r="594" spans="1:15">
      <c r="A594" s="38">
        <v>44969</v>
      </c>
      <c r="B594" s="37" t="s">
        <v>208</v>
      </c>
      <c r="C594" s="37" t="s">
        <v>209</v>
      </c>
      <c r="D594" s="37" t="s">
        <v>220</v>
      </c>
      <c r="E594" s="37" t="s">
        <v>211</v>
      </c>
      <c r="F594" s="38">
        <v>45018</v>
      </c>
      <c r="G594" s="37" t="s">
        <v>212</v>
      </c>
      <c r="H594" s="40">
        <v>880</v>
      </c>
      <c r="I594" s="39">
        <f>IF(My_Payment[[#This Row],[Payment_Code]]="S",My_Payment[[#This Row],[Total AMT]]/2,IF(My_Payment[[#This Row],[Payment_Code]]="P",My_Payment[[#This Row],[Total AMT]],0))</f>
        <v>440</v>
      </c>
      <c r="J594" s="39">
        <f>IF(My_Payment[[#This Row],[Payment_Code]]="S",My_Payment[[#This Row],[Total AMT]]/2,IF(My_Payment[[#This Row],[Payment_Code]]="N",My_Payment[[#This Row],[Total AMT]],0))</f>
        <v>440</v>
      </c>
    </row>
    <row r="595" spans="1:15">
      <c r="A595" s="38">
        <v>44991</v>
      </c>
      <c r="B595" s="37" t="s">
        <v>208</v>
      </c>
      <c r="C595" s="37" t="s">
        <v>209</v>
      </c>
      <c r="D595" s="37" t="s">
        <v>217</v>
      </c>
      <c r="E595" s="37" t="s">
        <v>211</v>
      </c>
      <c r="F595" s="38">
        <v>45018</v>
      </c>
      <c r="G595" s="37" t="s">
        <v>212</v>
      </c>
      <c r="H595" s="40">
        <v>1484</v>
      </c>
      <c r="I595" s="39">
        <v>681.5</v>
      </c>
      <c r="J595" s="39">
        <v>802.5</v>
      </c>
    </row>
    <row r="596" spans="1:15">
      <c r="A596" s="38">
        <v>44994</v>
      </c>
      <c r="B596" s="37" t="s">
        <v>208</v>
      </c>
      <c r="C596" s="37" t="s">
        <v>209</v>
      </c>
      <c r="D596" s="37" t="s">
        <v>391</v>
      </c>
      <c r="E596" s="37" t="s">
        <v>211</v>
      </c>
      <c r="F596" s="38">
        <v>45048</v>
      </c>
      <c r="G596" s="37" t="s">
        <v>215</v>
      </c>
      <c r="H596" s="40">
        <v>425.75</v>
      </c>
      <c r="I596" s="39">
        <f>IF(My_Payment[[#This Row],[Payment_Code]]="S",My_Payment[[#This Row],[Total AMT]]/2,IF(My_Payment[[#This Row],[Payment_Code]]="P",My_Payment[[#This Row],[Total AMT]],0))</f>
        <v>425.75</v>
      </c>
      <c r="J596" s="39">
        <f>IF(My_Payment[[#This Row],[Payment_Code]]="S",My_Payment[[#This Row],[Total AMT]]/2,IF(My_Payment[[#This Row],[Payment_Code]]="N",My_Payment[[#This Row],[Total AMT]],0))</f>
        <v>0</v>
      </c>
    </row>
    <row r="597" spans="1:15">
      <c r="A597" s="38">
        <v>44996</v>
      </c>
      <c r="B597" s="37" t="s">
        <v>208</v>
      </c>
      <c r="C597" s="37" t="s">
        <v>209</v>
      </c>
      <c r="D597" s="37" t="s">
        <v>214</v>
      </c>
      <c r="E597" s="37" t="s">
        <v>211</v>
      </c>
      <c r="F597" s="38">
        <v>45048</v>
      </c>
      <c r="G597" s="37" t="s">
        <v>215</v>
      </c>
      <c r="H597" s="40">
        <v>1260</v>
      </c>
      <c r="I597" s="39">
        <f>IF(My_Payment[[#This Row],[Payment_Code]]="S",My_Payment[[#This Row],[Total AMT]]/2,IF(My_Payment[[#This Row],[Payment_Code]]="P",My_Payment[[#This Row],[Total AMT]],0))</f>
        <v>1260</v>
      </c>
      <c r="J597" s="39">
        <f>IF(My_Payment[[#This Row],[Payment_Code]]="S",My_Payment[[#This Row],[Total AMT]]/2,IF(My_Payment[[#This Row],[Payment_Code]]="N",My_Payment[[#This Row],[Total AMT]],0))</f>
        <v>0</v>
      </c>
    </row>
    <row r="598" spans="1:15">
      <c r="A598" s="38">
        <v>45230</v>
      </c>
      <c r="B598" s="37" t="s">
        <v>222</v>
      </c>
      <c r="C598" s="37" t="s">
        <v>209</v>
      </c>
      <c r="D598" s="37" t="s">
        <v>224</v>
      </c>
      <c r="E598" s="37" t="s">
        <v>211</v>
      </c>
      <c r="F598" s="38">
        <v>45262</v>
      </c>
      <c r="G598" s="37" t="s">
        <v>215</v>
      </c>
      <c r="H598" s="40">
        <v>214</v>
      </c>
      <c r="I598" s="39">
        <f>IF(My_Payment[[#This Row],[Payment_Code]]="S",My_Payment[[#This Row],[Total AMT]]/2,IF(My_Payment[[#This Row],[Payment_Code]]="P",My_Payment[[#This Row],[Total AMT]],0))</f>
        <v>214</v>
      </c>
      <c r="J598" s="39">
        <f>IF(My_Payment[[#This Row],[Payment_Code]]="S",My_Payment[[#This Row],[Total AMT]]/2,IF(My_Payment[[#This Row],[Payment_Code]]="N",My_Payment[[#This Row],[Total AMT]],0))</f>
        <v>0</v>
      </c>
    </row>
    <row r="599" spans="1:15">
      <c r="A599" s="38">
        <v>44975</v>
      </c>
      <c r="B599" s="37" t="s">
        <v>305</v>
      </c>
      <c r="C599" s="37" t="s">
        <v>226</v>
      </c>
      <c r="D599" s="37" t="s">
        <v>399</v>
      </c>
      <c r="E599" s="37" t="s">
        <v>211</v>
      </c>
      <c r="F599" s="38">
        <v>45023</v>
      </c>
      <c r="G599" s="37" t="s">
        <v>215</v>
      </c>
      <c r="H599" s="40">
        <v>495.19</v>
      </c>
      <c r="I599" s="39">
        <f>IF(My_Payment[[#This Row],[Payment_Code]]="S",My_Payment[[#This Row],[Total AMT]]/2,IF(My_Payment[[#This Row],[Payment_Code]]="P",My_Payment[[#This Row],[Total AMT]],0))</f>
        <v>495.19</v>
      </c>
      <c r="J599" s="39">
        <f>IF(My_Payment[[#This Row],[Payment_Code]]="S",My_Payment[[#This Row],[Total AMT]]/2,IF(My_Payment[[#This Row],[Payment_Code]]="N",My_Payment[[#This Row],[Total AMT]],0))</f>
        <v>0</v>
      </c>
    </row>
    <row r="600" spans="1:15">
      <c r="A600" s="38">
        <v>44983</v>
      </c>
      <c r="B600" s="37" t="s">
        <v>305</v>
      </c>
      <c r="C600" s="37" t="s">
        <v>226</v>
      </c>
      <c r="D600" s="37" t="s">
        <v>33</v>
      </c>
      <c r="E600" s="37" t="s">
        <v>211</v>
      </c>
      <c r="F600" s="38">
        <v>45023</v>
      </c>
      <c r="G600" s="37" t="s">
        <v>215</v>
      </c>
      <c r="H600" s="40">
        <v>198.6</v>
      </c>
      <c r="I600" s="39">
        <f>IF(My_Payment[[#This Row],[Payment_Code]]="S",My_Payment[[#This Row],[Total AMT]]/2,IF(My_Payment[[#This Row],[Payment_Code]]="P",My_Payment[[#This Row],[Total AMT]],0))</f>
        <v>198.6</v>
      </c>
      <c r="J600" s="39">
        <f>IF(My_Payment[[#This Row],[Payment_Code]]="S",My_Payment[[#This Row],[Total AMT]]/2,IF(My_Payment[[#This Row],[Payment_Code]]="N",My_Payment[[#This Row],[Total AMT]],0))</f>
        <v>0</v>
      </c>
    </row>
    <row r="601" spans="1:15">
      <c r="A601" s="38">
        <v>44991</v>
      </c>
      <c r="B601" s="37" t="s">
        <v>305</v>
      </c>
      <c r="C601" s="37" t="s">
        <v>226</v>
      </c>
      <c r="D601" s="37" t="s">
        <v>33</v>
      </c>
      <c r="E601" s="37" t="s">
        <v>211</v>
      </c>
      <c r="F601" s="38">
        <v>45023</v>
      </c>
      <c r="G601" s="37" t="s">
        <v>215</v>
      </c>
      <c r="H601" s="40">
        <v>216.31</v>
      </c>
      <c r="I601" s="39">
        <f>IF(My_Payment[[#This Row],[Payment_Code]]="S",My_Payment[[#This Row],[Total AMT]]/2,IF(My_Payment[[#This Row],[Payment_Code]]="P",My_Payment[[#This Row],[Total AMT]],0))</f>
        <v>216.31</v>
      </c>
      <c r="J601" s="39">
        <f>IF(My_Payment[[#This Row],[Payment_Code]]="S",My_Payment[[#This Row],[Total AMT]]/2,IF(My_Payment[[#This Row],[Payment_Code]]="N",My_Payment[[#This Row],[Total AMT]],0))</f>
        <v>0</v>
      </c>
    </row>
    <row r="602" spans="1:15">
      <c r="A602" s="38">
        <v>44991</v>
      </c>
      <c r="B602" s="37" t="s">
        <v>305</v>
      </c>
      <c r="C602" s="37" t="s">
        <v>226</v>
      </c>
      <c r="D602" s="37" t="s">
        <v>400</v>
      </c>
      <c r="E602" s="37" t="s">
        <v>211</v>
      </c>
      <c r="F602" s="38">
        <v>45023</v>
      </c>
      <c r="G602" s="37" t="s">
        <v>215</v>
      </c>
      <c r="H602" s="40">
        <v>884</v>
      </c>
      <c r="I602" s="39">
        <f>IF(My_Payment[[#This Row],[Payment_Code]]="S",My_Payment[[#This Row],[Total AMT]]/2,IF(My_Payment[[#This Row],[Payment_Code]]="P",My_Payment[[#This Row],[Total AMT]],0))</f>
        <v>884</v>
      </c>
      <c r="J602" s="39">
        <f>IF(My_Payment[[#This Row],[Payment_Code]]="S",My_Payment[[#This Row],[Total AMT]]/2,IF(My_Payment[[#This Row],[Payment_Code]]="N",My_Payment[[#This Row],[Total AMT]],0))</f>
        <v>0</v>
      </c>
    </row>
    <row r="603" spans="1:15">
      <c r="A603" s="38">
        <v>44994</v>
      </c>
      <c r="B603" s="37" t="s">
        <v>305</v>
      </c>
      <c r="C603" s="37" t="s">
        <v>226</v>
      </c>
      <c r="D603" s="37" t="s">
        <v>401</v>
      </c>
      <c r="E603" s="37" t="s">
        <v>211</v>
      </c>
      <c r="F603" s="38">
        <v>45023</v>
      </c>
      <c r="G603" s="37" t="s">
        <v>215</v>
      </c>
      <c r="H603" s="40">
        <v>495.19</v>
      </c>
      <c r="I603" s="39">
        <f>IF(My_Payment[[#This Row],[Payment_Code]]="S",My_Payment[[#This Row],[Total AMT]]/2,IF(My_Payment[[#This Row],[Payment_Code]]="P",My_Payment[[#This Row],[Total AMT]],0))</f>
        <v>495.19</v>
      </c>
      <c r="J603" s="39">
        <f>IF(My_Payment[[#This Row],[Payment_Code]]="S",My_Payment[[#This Row],[Total AMT]]/2,IF(My_Payment[[#This Row],[Payment_Code]]="N",My_Payment[[#This Row],[Total AMT]],0))</f>
        <v>0</v>
      </c>
    </row>
    <row r="604" spans="1:15">
      <c r="A604" s="38">
        <v>44983</v>
      </c>
      <c r="B604" s="37" t="s">
        <v>357</v>
      </c>
      <c r="C604" s="37" t="s">
        <v>248</v>
      </c>
      <c r="D604" s="37" t="s">
        <v>402</v>
      </c>
      <c r="E604" s="37" t="s">
        <v>211</v>
      </c>
      <c r="F604" s="38">
        <v>45021</v>
      </c>
      <c r="G604" s="37" t="s">
        <v>215</v>
      </c>
      <c r="H604" s="40">
        <v>120</v>
      </c>
      <c r="I604" s="39">
        <f>IF(My_Payment[[#This Row],[Payment_Code]]="S",My_Payment[[#This Row],[Total AMT]]/2,IF(My_Payment[[#This Row],[Payment_Code]]="P",My_Payment[[#This Row],[Total AMT]],0))</f>
        <v>120</v>
      </c>
      <c r="J604" s="39">
        <f>IF(My_Payment[[#This Row],[Payment_Code]]="S",My_Payment[[#This Row],[Total AMT]]/2,IF(My_Payment[[#This Row],[Payment_Code]]="N",My_Payment[[#This Row],[Total AMT]],0))</f>
        <v>0</v>
      </c>
    </row>
    <row r="605" spans="1:15">
      <c r="A605" s="38">
        <v>45025</v>
      </c>
      <c r="B605" s="37" t="s">
        <v>208</v>
      </c>
      <c r="C605" s="37" t="s">
        <v>209</v>
      </c>
      <c r="D605" s="37" t="s">
        <v>217</v>
      </c>
      <c r="E605" s="37" t="s">
        <v>211</v>
      </c>
      <c r="F605" s="38">
        <v>45048</v>
      </c>
      <c r="G605" s="37" t="s">
        <v>212</v>
      </c>
      <c r="H605" s="40">
        <v>702.25</v>
      </c>
      <c r="I605" s="39">
        <v>444.25</v>
      </c>
      <c r="J605" s="39">
        <v>258</v>
      </c>
      <c r="M605" s="40"/>
      <c r="N605" s="40"/>
      <c r="O605" s="40"/>
    </row>
    <row r="606" spans="1:15">
      <c r="A606" s="38">
        <v>45039</v>
      </c>
      <c r="B606" s="37" t="s">
        <v>208</v>
      </c>
      <c r="C606" s="37" t="s">
        <v>209</v>
      </c>
      <c r="D606" s="37" t="s">
        <v>391</v>
      </c>
      <c r="E606" s="37" t="s">
        <v>211</v>
      </c>
      <c r="F606" s="38">
        <v>45079</v>
      </c>
      <c r="G606" s="37" t="s">
        <v>212</v>
      </c>
      <c r="H606" s="40">
        <v>1506.25</v>
      </c>
      <c r="I606" s="39">
        <f>1158+174.25</f>
        <v>1332.25</v>
      </c>
      <c r="J606" s="39">
        <v>174</v>
      </c>
      <c r="M606" s="40"/>
      <c r="N606" s="40"/>
      <c r="O606" s="40"/>
    </row>
    <row r="607" spans="1:15">
      <c r="A607" s="38">
        <v>44988</v>
      </c>
      <c r="B607" s="37" t="s">
        <v>225</v>
      </c>
      <c r="C607" s="37" t="s">
        <v>226</v>
      </c>
      <c r="D607" s="37" t="s">
        <v>403</v>
      </c>
      <c r="E607" s="37" t="s">
        <v>211</v>
      </c>
      <c r="F607" s="38">
        <v>45038</v>
      </c>
      <c r="G607" s="37" t="s">
        <v>215</v>
      </c>
      <c r="H607" s="40">
        <v>1588</v>
      </c>
      <c r="I607" s="39">
        <f>IF(My_Payment[[#This Row],[Payment_Code]]="S",My_Payment[[#This Row],[Total AMT]]/2,IF(My_Payment[[#This Row],[Payment_Code]]="P",My_Payment[[#This Row],[Total AMT]],0))</f>
        <v>1588</v>
      </c>
      <c r="J607" s="39">
        <f>IF(My_Payment[[#This Row],[Payment_Code]]="S",My_Payment[[#This Row],[Total AMT]]/2,IF(My_Payment[[#This Row],[Payment_Code]]="N",My_Payment[[#This Row],[Total AMT]],0))</f>
        <v>0</v>
      </c>
      <c r="M607" s="40"/>
      <c r="N607" s="40"/>
      <c r="O607" s="40"/>
    </row>
    <row r="608" spans="1:15">
      <c r="A608" s="38">
        <v>44990</v>
      </c>
      <c r="B608" s="37" t="s">
        <v>225</v>
      </c>
      <c r="C608" s="37" t="s">
        <v>226</v>
      </c>
      <c r="D608" s="37" t="s">
        <v>404</v>
      </c>
      <c r="E608" s="37" t="s">
        <v>211</v>
      </c>
      <c r="F608" s="38">
        <v>45038</v>
      </c>
      <c r="G608" s="37" t="s">
        <v>215</v>
      </c>
      <c r="H608" s="40">
        <v>1290</v>
      </c>
      <c r="I608" s="39">
        <f>IF(My_Payment[[#This Row],[Payment_Code]]="S",My_Payment[[#This Row],[Total AMT]]/2,IF(My_Payment[[#This Row],[Payment_Code]]="P",My_Payment[[#This Row],[Total AMT]],0))</f>
        <v>1290</v>
      </c>
      <c r="J608" s="39">
        <f>IF(My_Payment[[#This Row],[Payment_Code]]="S",My_Payment[[#This Row],[Total AMT]]/2,IF(My_Payment[[#This Row],[Payment_Code]]="N",My_Payment[[#This Row],[Total AMT]],0))</f>
        <v>0</v>
      </c>
    </row>
    <row r="609" spans="1:10">
      <c r="A609" s="38">
        <v>45004</v>
      </c>
      <c r="B609" s="37" t="s">
        <v>225</v>
      </c>
      <c r="C609" s="37" t="s">
        <v>226</v>
      </c>
      <c r="D609" s="37" t="s">
        <v>378</v>
      </c>
      <c r="E609" s="37" t="s">
        <v>211</v>
      </c>
      <c r="F609" s="38">
        <v>45038</v>
      </c>
      <c r="G609" s="37" t="s">
        <v>215</v>
      </c>
      <c r="H609" s="40">
        <v>598</v>
      </c>
      <c r="I609" s="39">
        <f>IF(My_Payment[[#This Row],[Payment_Code]]="S",My_Payment[[#This Row],[Total AMT]]/2,IF(My_Payment[[#This Row],[Payment_Code]]="P",My_Payment[[#This Row],[Total AMT]],0))</f>
        <v>598</v>
      </c>
      <c r="J609" s="39">
        <f>IF(My_Payment[[#This Row],[Payment_Code]]="S",My_Payment[[#This Row],[Total AMT]]/2,IF(My_Payment[[#This Row],[Payment_Code]]="N",My_Payment[[#This Row],[Total AMT]],0))</f>
        <v>0</v>
      </c>
    </row>
    <row r="610" spans="1:10">
      <c r="A610" s="38">
        <v>45018</v>
      </c>
      <c r="B610" s="37" t="s">
        <v>225</v>
      </c>
      <c r="C610" s="37" t="s">
        <v>226</v>
      </c>
      <c r="D610" s="37" t="s">
        <v>405</v>
      </c>
      <c r="E610" s="37" t="s">
        <v>211</v>
      </c>
      <c r="F610" s="38">
        <v>45068</v>
      </c>
      <c r="G610" s="37" t="s">
        <v>212</v>
      </c>
      <c r="H610" s="40">
        <v>1375</v>
      </c>
      <c r="I610" s="39">
        <f>IF(My_Payment[[#This Row],[Payment_Code]]="S",My_Payment[[#This Row],[Total AMT]]/2,IF(My_Payment[[#This Row],[Payment_Code]]="P",My_Payment[[#This Row],[Total AMT]],0))</f>
        <v>687.5</v>
      </c>
      <c r="J610" s="39">
        <f>IF(My_Payment[[#This Row],[Payment_Code]]="S",My_Payment[[#This Row],[Total AMT]]/2,IF(My_Payment[[#This Row],[Payment_Code]]="N",My_Payment[[#This Row],[Total AMT]],0))</f>
        <v>687.5</v>
      </c>
    </row>
    <row r="611" spans="1:10">
      <c r="A611" s="38">
        <v>45032</v>
      </c>
      <c r="B611" s="37" t="s">
        <v>225</v>
      </c>
      <c r="C611" s="37" t="s">
        <v>226</v>
      </c>
      <c r="D611" s="37" t="s">
        <v>234</v>
      </c>
      <c r="E611" s="37" t="s">
        <v>211</v>
      </c>
      <c r="F611" s="38">
        <v>45068</v>
      </c>
      <c r="G611" s="37" t="s">
        <v>212</v>
      </c>
      <c r="H611" s="40">
        <v>1119.25</v>
      </c>
      <c r="I611" s="39">
        <f>IF(My_Payment[[#This Row],[Payment_Code]]="S",My_Payment[[#This Row],[Total AMT]]/2,IF(My_Payment[[#This Row],[Payment_Code]]="P",My_Payment[[#This Row],[Total AMT]],0))</f>
        <v>559.625</v>
      </c>
      <c r="J611" s="39">
        <f>IF(My_Payment[[#This Row],[Payment_Code]]="S",My_Payment[[#This Row],[Total AMT]]/2,IF(My_Payment[[#This Row],[Payment_Code]]="N",My_Payment[[#This Row],[Total AMT]],0))</f>
        <v>559.625</v>
      </c>
    </row>
    <row r="612" spans="1:10">
      <c r="A612" s="38">
        <v>45046</v>
      </c>
      <c r="B612" s="37" t="s">
        <v>225</v>
      </c>
      <c r="C612" s="37" t="s">
        <v>226</v>
      </c>
      <c r="D612" s="37" t="s">
        <v>234</v>
      </c>
      <c r="E612" s="37" t="s">
        <v>211</v>
      </c>
      <c r="F612" s="38">
        <v>45068</v>
      </c>
      <c r="G612" s="37" t="s">
        <v>212</v>
      </c>
      <c r="H612" s="40">
        <v>871</v>
      </c>
      <c r="I612" s="39">
        <f>IF(My_Payment[[#This Row],[Payment_Code]]="S",My_Payment[[#This Row],[Total AMT]]/2,IF(My_Payment[[#This Row],[Payment_Code]]="P",My_Payment[[#This Row],[Total AMT]],0))</f>
        <v>435.5</v>
      </c>
      <c r="J612" s="39">
        <f>IF(My_Payment[[#This Row],[Payment_Code]]="S",My_Payment[[#This Row],[Total AMT]]/2,IF(My_Payment[[#This Row],[Payment_Code]]="N",My_Payment[[#This Row],[Total AMT]],0))</f>
        <v>435.5</v>
      </c>
    </row>
    <row r="613" spans="1:10">
      <c r="A613" s="38">
        <v>45053</v>
      </c>
      <c r="B613" s="37" t="s">
        <v>247</v>
      </c>
      <c r="C613" s="37" t="s">
        <v>248</v>
      </c>
      <c r="D613" s="37" t="s">
        <v>406</v>
      </c>
      <c r="E613" s="37" t="s">
        <v>275</v>
      </c>
      <c r="F613" s="38">
        <v>45078</v>
      </c>
      <c r="G613" s="37" t="s">
        <v>215</v>
      </c>
      <c r="H613" s="40">
        <v>683.41</v>
      </c>
      <c r="I613" s="39">
        <f>IF(My_Payment[[#This Row],[Payment_Code]]="S",My_Payment[[#This Row],[Total AMT]]/2,IF(My_Payment[[#This Row],[Payment_Code]]="P",My_Payment[[#This Row],[Total AMT]],0))</f>
        <v>683.41</v>
      </c>
      <c r="J613" s="39">
        <f>IF(My_Payment[[#This Row],[Payment_Code]]="S",My_Payment[[#This Row],[Total AMT]]/2,IF(My_Payment[[#This Row],[Payment_Code]]="N",My_Payment[[#This Row],[Total AMT]],0))</f>
        <v>0</v>
      </c>
    </row>
    <row r="614" spans="1:10">
      <c r="A614" s="38">
        <v>45084</v>
      </c>
      <c r="B614" s="37" t="s">
        <v>247</v>
      </c>
      <c r="C614" s="37" t="s">
        <v>248</v>
      </c>
      <c r="D614" s="37" t="s">
        <v>406</v>
      </c>
      <c r="E614" s="37" t="s">
        <v>276</v>
      </c>
      <c r="F614" s="38">
        <v>45108</v>
      </c>
      <c r="G614" s="37" t="s">
        <v>215</v>
      </c>
      <c r="H614" s="40">
        <v>683.33</v>
      </c>
      <c r="I614" s="39">
        <f>IF(My_Payment[[#This Row],[Payment_Code]]="S",My_Payment[[#This Row],[Total AMT]]/2,IF(My_Payment[[#This Row],[Payment_Code]]="P",My_Payment[[#This Row],[Total AMT]],0))</f>
        <v>683.33</v>
      </c>
      <c r="J614" s="39">
        <f>IF(My_Payment[[#This Row],[Payment_Code]]="S",My_Payment[[#This Row],[Total AMT]]/2,IF(My_Payment[[#This Row],[Payment_Code]]="N",My_Payment[[#This Row],[Total AMT]],0))</f>
        <v>0</v>
      </c>
    </row>
    <row r="615" spans="1:10">
      <c r="A615" s="38">
        <v>45114</v>
      </c>
      <c r="B615" s="37" t="s">
        <v>247</v>
      </c>
      <c r="C615" s="37" t="s">
        <v>248</v>
      </c>
      <c r="D615" s="37" t="s">
        <v>406</v>
      </c>
      <c r="E615" s="37" t="s">
        <v>277</v>
      </c>
      <c r="F615" s="38">
        <v>45139</v>
      </c>
      <c r="G615" s="37" t="s">
        <v>215</v>
      </c>
      <c r="H615" s="40">
        <v>683.33</v>
      </c>
      <c r="I615" s="39">
        <f>IF(My_Payment[[#This Row],[Payment_Code]]="S",My_Payment[[#This Row],[Total AMT]]/2,IF(My_Payment[[#This Row],[Payment_Code]]="P",My_Payment[[#This Row],[Total AMT]],0))</f>
        <v>683.33</v>
      </c>
      <c r="J615" s="39">
        <f>IF(My_Payment[[#This Row],[Payment_Code]]="S",My_Payment[[#This Row],[Total AMT]]/2,IF(My_Payment[[#This Row],[Payment_Code]]="N",My_Payment[[#This Row],[Total AMT]],0))</f>
        <v>0</v>
      </c>
    </row>
    <row r="616" spans="1:10">
      <c r="A616" s="38">
        <v>45145</v>
      </c>
      <c r="B616" s="37" t="s">
        <v>247</v>
      </c>
      <c r="C616" s="37" t="s">
        <v>248</v>
      </c>
      <c r="D616" s="37" t="s">
        <v>406</v>
      </c>
      <c r="E616" s="37" t="s">
        <v>278</v>
      </c>
      <c r="F616" s="38">
        <v>45170</v>
      </c>
      <c r="G616" s="37" t="s">
        <v>215</v>
      </c>
      <c r="H616" s="40">
        <v>683.33</v>
      </c>
      <c r="I616" s="39">
        <f>IF(My_Payment[[#This Row],[Payment_Code]]="S",My_Payment[[#This Row],[Total AMT]]/2,IF(My_Payment[[#This Row],[Payment_Code]]="P",My_Payment[[#This Row],[Total AMT]],0))</f>
        <v>683.33</v>
      </c>
      <c r="J616" s="39">
        <f>IF(My_Payment[[#This Row],[Payment_Code]]="S",My_Payment[[#This Row],[Total AMT]]/2,IF(My_Payment[[#This Row],[Payment_Code]]="N",My_Payment[[#This Row],[Total AMT]],0))</f>
        <v>0</v>
      </c>
    </row>
    <row r="617" spans="1:10">
      <c r="A617" s="38">
        <v>45176</v>
      </c>
      <c r="B617" s="37" t="s">
        <v>247</v>
      </c>
      <c r="C617" s="37" t="s">
        <v>248</v>
      </c>
      <c r="D617" s="37" t="s">
        <v>406</v>
      </c>
      <c r="E617" s="37" t="s">
        <v>279</v>
      </c>
      <c r="F617" s="38">
        <v>45200</v>
      </c>
      <c r="G617" s="37" t="s">
        <v>215</v>
      </c>
      <c r="H617" s="40">
        <v>683.33</v>
      </c>
      <c r="I617" s="39">
        <f>IF(My_Payment[[#This Row],[Payment_Code]]="S",My_Payment[[#This Row],[Total AMT]]/2,IF(My_Payment[[#This Row],[Payment_Code]]="P",My_Payment[[#This Row],[Total AMT]],0))</f>
        <v>683.33</v>
      </c>
      <c r="J617" s="39">
        <f>IF(My_Payment[[#This Row],[Payment_Code]]="S",My_Payment[[#This Row],[Total AMT]]/2,IF(My_Payment[[#This Row],[Payment_Code]]="N",My_Payment[[#This Row],[Total AMT]],0))</f>
        <v>0</v>
      </c>
    </row>
    <row r="618" spans="1:10">
      <c r="A618" s="38">
        <v>45206</v>
      </c>
      <c r="B618" s="37" t="s">
        <v>247</v>
      </c>
      <c r="C618" s="37" t="s">
        <v>248</v>
      </c>
      <c r="D618" s="37" t="s">
        <v>406</v>
      </c>
      <c r="E618" s="37" t="s">
        <v>280</v>
      </c>
      <c r="F618" s="38">
        <v>45231</v>
      </c>
      <c r="G618" s="37" t="s">
        <v>215</v>
      </c>
      <c r="H618" s="40">
        <v>683.33</v>
      </c>
      <c r="I618" s="39">
        <f>IF(My_Payment[[#This Row],[Payment_Code]]="S",My_Payment[[#This Row],[Total AMT]]/2,IF(My_Payment[[#This Row],[Payment_Code]]="P",My_Payment[[#This Row],[Total AMT]],0))</f>
        <v>683.33</v>
      </c>
      <c r="J618" s="39">
        <f>IF(My_Payment[[#This Row],[Payment_Code]]="S",My_Payment[[#This Row],[Total AMT]]/2,IF(My_Payment[[#This Row],[Payment_Code]]="N",My_Payment[[#This Row],[Total AMT]],0))</f>
        <v>0</v>
      </c>
    </row>
    <row r="619" spans="1:10">
      <c r="A619" s="38">
        <v>45237</v>
      </c>
      <c r="B619" s="37" t="s">
        <v>247</v>
      </c>
      <c r="C619" s="37" t="s">
        <v>248</v>
      </c>
      <c r="D619" s="37" t="s">
        <v>406</v>
      </c>
      <c r="E619" s="37" t="s">
        <v>281</v>
      </c>
      <c r="F619" s="38">
        <v>45261</v>
      </c>
      <c r="G619" s="37" t="s">
        <v>215</v>
      </c>
      <c r="H619" s="40">
        <v>683.33</v>
      </c>
      <c r="I619" s="39">
        <f>IF(My_Payment[[#This Row],[Payment_Code]]="S",My_Payment[[#This Row],[Total AMT]]/2,IF(My_Payment[[#This Row],[Payment_Code]]="P",My_Payment[[#This Row],[Total AMT]],0))</f>
        <v>683.33</v>
      </c>
      <c r="J619" s="39">
        <f>IF(My_Payment[[#This Row],[Payment_Code]]="S",My_Payment[[#This Row],[Total AMT]]/2,IF(My_Payment[[#This Row],[Payment_Code]]="N",My_Payment[[#This Row],[Total AMT]],0))</f>
        <v>0</v>
      </c>
    </row>
    <row r="620" spans="1:10">
      <c r="A620" s="38">
        <v>45267</v>
      </c>
      <c r="B620" s="37" t="s">
        <v>247</v>
      </c>
      <c r="C620" s="37" t="s">
        <v>248</v>
      </c>
      <c r="D620" s="37" t="s">
        <v>406</v>
      </c>
      <c r="E620" s="37" t="s">
        <v>282</v>
      </c>
      <c r="F620" s="38">
        <v>45292</v>
      </c>
      <c r="G620" s="37" t="s">
        <v>215</v>
      </c>
      <c r="H620" s="40">
        <v>683.33</v>
      </c>
      <c r="I620" s="39">
        <f>IF(My_Payment[[#This Row],[Payment_Code]]="S",My_Payment[[#This Row],[Total AMT]]/2,IF(My_Payment[[#This Row],[Payment_Code]]="P",My_Payment[[#This Row],[Total AMT]],0))</f>
        <v>683.33</v>
      </c>
      <c r="J620" s="39">
        <f>IF(My_Payment[[#This Row],[Payment_Code]]="S",My_Payment[[#This Row],[Total AMT]]/2,IF(My_Payment[[#This Row],[Payment_Code]]="N",My_Payment[[#This Row],[Total AMT]],0))</f>
        <v>0</v>
      </c>
    </row>
    <row r="621" spans="1:10">
      <c r="A621" s="38">
        <v>45298</v>
      </c>
      <c r="B621" s="37" t="s">
        <v>247</v>
      </c>
      <c r="C621" s="37" t="s">
        <v>248</v>
      </c>
      <c r="D621" s="37" t="s">
        <v>406</v>
      </c>
      <c r="E621" s="37" t="s">
        <v>283</v>
      </c>
      <c r="F621" s="38">
        <v>45323</v>
      </c>
      <c r="G621" s="37" t="s">
        <v>215</v>
      </c>
      <c r="H621" s="40">
        <v>683.33</v>
      </c>
      <c r="I621" s="39">
        <f>IF(My_Payment[[#This Row],[Payment_Code]]="S",My_Payment[[#This Row],[Total AMT]]/2,IF(My_Payment[[#This Row],[Payment_Code]]="P",My_Payment[[#This Row],[Total AMT]],0))</f>
        <v>683.33</v>
      </c>
      <c r="J621" s="39">
        <f>IF(My_Payment[[#This Row],[Payment_Code]]="S",My_Payment[[#This Row],[Total AMT]]/2,IF(My_Payment[[#This Row],[Payment_Code]]="N",My_Payment[[#This Row],[Total AMT]],0))</f>
        <v>0</v>
      </c>
    </row>
    <row r="622" spans="1:10">
      <c r="A622" s="38">
        <v>45329</v>
      </c>
      <c r="B622" s="37" t="s">
        <v>247</v>
      </c>
      <c r="C622" s="37" t="s">
        <v>248</v>
      </c>
      <c r="D622" s="37" t="s">
        <v>406</v>
      </c>
      <c r="E622" s="37" t="s">
        <v>284</v>
      </c>
      <c r="F622" s="38">
        <v>45352</v>
      </c>
      <c r="G622" s="37" t="s">
        <v>215</v>
      </c>
      <c r="H622" s="40">
        <v>683.33</v>
      </c>
      <c r="I622" s="39">
        <f>IF(My_Payment[[#This Row],[Payment_Code]]="S",My_Payment[[#This Row],[Total AMT]]/2,IF(My_Payment[[#This Row],[Payment_Code]]="P",My_Payment[[#This Row],[Total AMT]],0))</f>
        <v>683.33</v>
      </c>
      <c r="J622" s="39">
        <f>IF(My_Payment[[#This Row],[Payment_Code]]="S",My_Payment[[#This Row],[Total AMT]]/2,IF(My_Payment[[#This Row],[Payment_Code]]="N",My_Payment[[#This Row],[Total AMT]],0))</f>
        <v>0</v>
      </c>
    </row>
    <row r="623" spans="1:10">
      <c r="A623" s="38">
        <v>45358</v>
      </c>
      <c r="B623" s="37" t="s">
        <v>247</v>
      </c>
      <c r="C623" s="37" t="s">
        <v>248</v>
      </c>
      <c r="D623" s="37" t="s">
        <v>406</v>
      </c>
      <c r="E623" s="37" t="s">
        <v>285</v>
      </c>
      <c r="F623" s="38">
        <v>45383</v>
      </c>
      <c r="G623" s="37" t="s">
        <v>215</v>
      </c>
      <c r="H623" s="40">
        <v>683.33</v>
      </c>
      <c r="I623" s="39">
        <f>IF(My_Payment[[#This Row],[Payment_Code]]="S",My_Payment[[#This Row],[Total AMT]]/2,IF(My_Payment[[#This Row],[Payment_Code]]="P",My_Payment[[#This Row],[Total AMT]],0))</f>
        <v>683.33</v>
      </c>
      <c r="J623" s="39">
        <f>IF(My_Payment[[#This Row],[Payment_Code]]="S",My_Payment[[#This Row],[Total AMT]]/2,IF(My_Payment[[#This Row],[Payment_Code]]="N",My_Payment[[#This Row],[Total AMT]],0))</f>
        <v>0</v>
      </c>
    </row>
    <row r="624" spans="1:10">
      <c r="A624" s="38">
        <v>45389</v>
      </c>
      <c r="B624" s="37" t="s">
        <v>298</v>
      </c>
      <c r="C624" s="37" t="s">
        <v>299</v>
      </c>
      <c r="D624" s="37" t="s">
        <v>406</v>
      </c>
      <c r="E624" s="37" t="s">
        <v>286</v>
      </c>
      <c r="F624" s="38">
        <v>45413</v>
      </c>
      <c r="G624" s="37" t="s">
        <v>215</v>
      </c>
      <c r="H624" s="40">
        <v>683.33</v>
      </c>
      <c r="I624" s="39">
        <f>IF(My_Payment[[#This Row],[Payment_Code]]="S",My_Payment[[#This Row],[Total AMT]]/2,IF(My_Payment[[#This Row],[Payment_Code]]="P",My_Payment[[#This Row],[Total AMT]],0))</f>
        <v>683.33</v>
      </c>
      <c r="J624" s="39">
        <f>IF(My_Payment[[#This Row],[Payment_Code]]="S",My_Payment[[#This Row],[Total AMT]]/2,IF(My_Payment[[#This Row],[Payment_Code]]="N",My_Payment[[#This Row],[Total AMT]],0))</f>
        <v>0</v>
      </c>
    </row>
    <row r="625" spans="1:10">
      <c r="A625" s="38">
        <v>45419</v>
      </c>
      <c r="B625" s="37" t="s">
        <v>298</v>
      </c>
      <c r="C625" s="37" t="s">
        <v>299</v>
      </c>
      <c r="D625" s="37" t="s">
        <v>406</v>
      </c>
      <c r="E625" s="37" t="s">
        <v>287</v>
      </c>
      <c r="F625" s="38">
        <v>45444</v>
      </c>
      <c r="G625" s="37" t="s">
        <v>215</v>
      </c>
      <c r="H625" s="40">
        <v>683.33</v>
      </c>
      <c r="I625" s="39">
        <f>IF(My_Payment[[#This Row],[Payment_Code]]="S",My_Payment[[#This Row],[Total AMT]]/2,IF(My_Payment[[#This Row],[Payment_Code]]="P",My_Payment[[#This Row],[Total AMT]],0))</f>
        <v>683.33</v>
      </c>
      <c r="J625" s="39">
        <f>IF(My_Payment[[#This Row],[Payment_Code]]="S",My_Payment[[#This Row],[Total AMT]]/2,IF(My_Payment[[#This Row],[Payment_Code]]="N",My_Payment[[#This Row],[Total AMT]],0))</f>
        <v>0</v>
      </c>
    </row>
    <row r="626" spans="1:10">
      <c r="A626" s="38">
        <v>45450</v>
      </c>
      <c r="B626" s="37" t="s">
        <v>298</v>
      </c>
      <c r="C626" s="37" t="s">
        <v>299</v>
      </c>
      <c r="D626" s="37" t="s">
        <v>406</v>
      </c>
      <c r="E626" s="37" t="s">
        <v>288</v>
      </c>
      <c r="F626" s="38">
        <v>45474</v>
      </c>
      <c r="G626" s="37" t="s">
        <v>215</v>
      </c>
      <c r="H626" s="40">
        <v>683.33</v>
      </c>
      <c r="I626" s="39">
        <f>IF(My_Payment[[#This Row],[Payment_Code]]="S",My_Payment[[#This Row],[Total AMT]]/2,IF(My_Payment[[#This Row],[Payment_Code]]="P",My_Payment[[#This Row],[Total AMT]],0))</f>
        <v>683.33</v>
      </c>
      <c r="J626" s="39">
        <f>IF(My_Payment[[#This Row],[Payment_Code]]="S",My_Payment[[#This Row],[Total AMT]]/2,IF(My_Payment[[#This Row],[Payment_Code]]="N",My_Payment[[#This Row],[Total AMT]],0))</f>
        <v>0</v>
      </c>
    </row>
    <row r="627" spans="1:10">
      <c r="A627" s="38">
        <v>45480</v>
      </c>
      <c r="B627" s="37" t="s">
        <v>298</v>
      </c>
      <c r="C627" s="37" t="s">
        <v>299</v>
      </c>
      <c r="D627" s="37" t="s">
        <v>406</v>
      </c>
      <c r="E627" s="37" t="s">
        <v>289</v>
      </c>
      <c r="F627" s="38">
        <v>45505</v>
      </c>
      <c r="G627" s="37" t="s">
        <v>215</v>
      </c>
      <c r="H627" s="40">
        <v>683.33</v>
      </c>
      <c r="I627" s="39">
        <f>IF(My_Payment[[#This Row],[Payment_Code]]="S",My_Payment[[#This Row],[Total AMT]]/2,IF(My_Payment[[#This Row],[Payment_Code]]="P",My_Payment[[#This Row],[Total AMT]],0))</f>
        <v>683.33</v>
      </c>
      <c r="J627" s="39">
        <f>IF(My_Payment[[#This Row],[Payment_Code]]="S",My_Payment[[#This Row],[Total AMT]]/2,IF(My_Payment[[#This Row],[Payment_Code]]="N",My_Payment[[#This Row],[Total AMT]],0))</f>
        <v>0</v>
      </c>
    </row>
    <row r="628" spans="1:10">
      <c r="A628" s="38">
        <v>45511</v>
      </c>
      <c r="B628" s="37" t="s">
        <v>298</v>
      </c>
      <c r="C628" s="37" t="s">
        <v>299</v>
      </c>
      <c r="D628" s="37" t="s">
        <v>406</v>
      </c>
      <c r="E628" s="37" t="s">
        <v>290</v>
      </c>
      <c r="F628" s="38">
        <v>45536</v>
      </c>
      <c r="G628" s="37" t="s">
        <v>215</v>
      </c>
      <c r="H628" s="40">
        <v>683.33</v>
      </c>
      <c r="I628" s="39">
        <f>IF(My_Payment[[#This Row],[Payment_Code]]="S",My_Payment[[#This Row],[Total AMT]]/2,IF(My_Payment[[#This Row],[Payment_Code]]="P",My_Payment[[#This Row],[Total AMT]],0))</f>
        <v>683.33</v>
      </c>
      <c r="J628" s="39">
        <f>IF(My_Payment[[#This Row],[Payment_Code]]="S",My_Payment[[#This Row],[Total AMT]]/2,IF(My_Payment[[#This Row],[Payment_Code]]="N",My_Payment[[#This Row],[Total AMT]],0))</f>
        <v>0</v>
      </c>
    </row>
    <row r="629" spans="1:10">
      <c r="A629" s="38">
        <v>45542</v>
      </c>
      <c r="B629" s="37" t="s">
        <v>298</v>
      </c>
      <c r="C629" s="37" t="s">
        <v>299</v>
      </c>
      <c r="D629" s="37" t="s">
        <v>406</v>
      </c>
      <c r="E629" s="37" t="s">
        <v>291</v>
      </c>
      <c r="F629" s="38">
        <v>45566</v>
      </c>
      <c r="G629" s="37" t="s">
        <v>215</v>
      </c>
      <c r="H629" s="40">
        <v>683.33</v>
      </c>
      <c r="I629" s="39">
        <f>IF(My_Payment[[#This Row],[Payment_Code]]="S",My_Payment[[#This Row],[Total AMT]]/2,IF(My_Payment[[#This Row],[Payment_Code]]="P",My_Payment[[#This Row],[Total AMT]],0))</f>
        <v>683.33</v>
      </c>
      <c r="J629" s="39">
        <f>IF(My_Payment[[#This Row],[Payment_Code]]="S",My_Payment[[#This Row],[Total AMT]]/2,IF(My_Payment[[#This Row],[Payment_Code]]="N",My_Payment[[#This Row],[Total AMT]],0))</f>
        <v>0</v>
      </c>
    </row>
    <row r="630" spans="1:10">
      <c r="A630" s="38">
        <v>45572</v>
      </c>
      <c r="B630" s="37" t="s">
        <v>298</v>
      </c>
      <c r="C630" s="37" t="s">
        <v>299</v>
      </c>
      <c r="D630" s="37" t="s">
        <v>406</v>
      </c>
      <c r="E630" s="37" t="s">
        <v>292</v>
      </c>
      <c r="F630" s="38">
        <v>45597</v>
      </c>
      <c r="G630" s="37" t="s">
        <v>215</v>
      </c>
      <c r="H630" s="40">
        <v>683.33</v>
      </c>
      <c r="I630" s="39">
        <f>IF(My_Payment[[#This Row],[Payment_Code]]="S",My_Payment[[#This Row],[Total AMT]]/2,IF(My_Payment[[#This Row],[Payment_Code]]="P",My_Payment[[#This Row],[Total AMT]],0))</f>
        <v>683.33</v>
      </c>
      <c r="J630" s="39">
        <f>IF(My_Payment[[#This Row],[Payment_Code]]="S",My_Payment[[#This Row],[Total AMT]]/2,IF(My_Payment[[#This Row],[Payment_Code]]="N",My_Payment[[#This Row],[Total AMT]],0))</f>
        <v>0</v>
      </c>
    </row>
    <row r="631" spans="1:10">
      <c r="A631" s="38">
        <v>45603</v>
      </c>
      <c r="B631" s="37" t="s">
        <v>298</v>
      </c>
      <c r="C631" s="37" t="s">
        <v>299</v>
      </c>
      <c r="D631" s="37" t="s">
        <v>406</v>
      </c>
      <c r="E631" s="37" t="s">
        <v>293</v>
      </c>
      <c r="F631" s="38">
        <v>45627</v>
      </c>
      <c r="G631" s="37" t="s">
        <v>215</v>
      </c>
      <c r="H631" s="40">
        <v>683.33</v>
      </c>
      <c r="I631" s="39">
        <f>IF(My_Payment[[#This Row],[Payment_Code]]="S",My_Payment[[#This Row],[Total AMT]]/2,IF(My_Payment[[#This Row],[Payment_Code]]="P",My_Payment[[#This Row],[Total AMT]],0))</f>
        <v>683.33</v>
      </c>
      <c r="J631" s="39">
        <f>IF(My_Payment[[#This Row],[Payment_Code]]="S",My_Payment[[#This Row],[Total AMT]]/2,IF(My_Payment[[#This Row],[Payment_Code]]="N",My_Payment[[#This Row],[Total AMT]],0))</f>
        <v>0</v>
      </c>
    </row>
    <row r="632" spans="1:10">
      <c r="A632" s="38">
        <v>45633</v>
      </c>
      <c r="B632" s="37" t="s">
        <v>298</v>
      </c>
      <c r="C632" s="37" t="s">
        <v>299</v>
      </c>
      <c r="D632" s="37" t="s">
        <v>406</v>
      </c>
      <c r="E632" s="37" t="s">
        <v>294</v>
      </c>
      <c r="F632" s="38">
        <v>45658</v>
      </c>
      <c r="G632" s="37" t="s">
        <v>215</v>
      </c>
      <c r="H632" s="40">
        <v>683.33</v>
      </c>
      <c r="I632" s="39">
        <f>IF(My_Payment[[#This Row],[Payment_Code]]="S",My_Payment[[#This Row],[Total AMT]]/2,IF(My_Payment[[#This Row],[Payment_Code]]="P",My_Payment[[#This Row],[Total AMT]],0))</f>
        <v>683.33</v>
      </c>
      <c r="J632" s="39">
        <f>IF(My_Payment[[#This Row],[Payment_Code]]="S",My_Payment[[#This Row],[Total AMT]]/2,IF(My_Payment[[#This Row],[Payment_Code]]="N",My_Payment[[#This Row],[Total AMT]],0))</f>
        <v>0</v>
      </c>
    </row>
    <row r="633" spans="1:10">
      <c r="A633" s="38">
        <v>45664</v>
      </c>
      <c r="B633" s="37" t="s">
        <v>298</v>
      </c>
      <c r="C633" s="37" t="s">
        <v>299</v>
      </c>
      <c r="D633" s="37" t="s">
        <v>406</v>
      </c>
      <c r="E633" s="37" t="s">
        <v>295</v>
      </c>
      <c r="F633" s="38">
        <v>45689</v>
      </c>
      <c r="G633" s="37" t="s">
        <v>215</v>
      </c>
      <c r="H633" s="40">
        <v>683.33</v>
      </c>
      <c r="I633" s="39">
        <f>IF(My_Payment[[#This Row],[Payment_Code]]="S",My_Payment[[#This Row],[Total AMT]]/2,IF(My_Payment[[#This Row],[Payment_Code]]="P",My_Payment[[#This Row],[Total AMT]],0))</f>
        <v>683.33</v>
      </c>
      <c r="J633" s="39">
        <f>IF(My_Payment[[#This Row],[Payment_Code]]="S",My_Payment[[#This Row],[Total AMT]]/2,IF(My_Payment[[#This Row],[Payment_Code]]="N",My_Payment[[#This Row],[Total AMT]],0))</f>
        <v>0</v>
      </c>
    </row>
    <row r="634" spans="1:10">
      <c r="A634" s="38">
        <v>45695</v>
      </c>
      <c r="B634" s="37" t="s">
        <v>298</v>
      </c>
      <c r="C634" s="37" t="s">
        <v>299</v>
      </c>
      <c r="D634" s="37" t="s">
        <v>406</v>
      </c>
      <c r="E634" s="37" t="s">
        <v>296</v>
      </c>
      <c r="F634" s="38">
        <v>45717</v>
      </c>
      <c r="G634" s="37" t="s">
        <v>215</v>
      </c>
      <c r="H634" s="40">
        <v>683.33</v>
      </c>
      <c r="I634" s="39">
        <f>IF(My_Payment[[#This Row],[Payment_Code]]="S",My_Payment[[#This Row],[Total AMT]]/2,IF(My_Payment[[#This Row],[Payment_Code]]="P",My_Payment[[#This Row],[Total AMT]],0))</f>
        <v>683.33</v>
      </c>
      <c r="J634" s="39">
        <f>IF(My_Payment[[#This Row],[Payment_Code]]="S",My_Payment[[#This Row],[Total AMT]]/2,IF(My_Payment[[#This Row],[Payment_Code]]="N",My_Payment[[#This Row],[Total AMT]],0))</f>
        <v>0</v>
      </c>
    </row>
    <row r="635" spans="1:10">
      <c r="A635" s="38">
        <v>45723</v>
      </c>
      <c r="B635" s="37" t="s">
        <v>298</v>
      </c>
      <c r="C635" s="37" t="s">
        <v>299</v>
      </c>
      <c r="D635" s="37" t="s">
        <v>406</v>
      </c>
      <c r="E635" s="37" t="s">
        <v>297</v>
      </c>
      <c r="F635" s="38">
        <v>45748</v>
      </c>
      <c r="G635" s="37" t="s">
        <v>215</v>
      </c>
      <c r="H635" s="40">
        <v>683.33</v>
      </c>
      <c r="I635" s="39">
        <f>IF(My_Payment[[#This Row],[Payment_Code]]="S",My_Payment[[#This Row],[Total AMT]]/2,IF(My_Payment[[#This Row],[Payment_Code]]="P",My_Payment[[#This Row],[Total AMT]],0))</f>
        <v>683.33</v>
      </c>
      <c r="J635" s="39">
        <f>IF(My_Payment[[#This Row],[Payment_Code]]="S",My_Payment[[#This Row],[Total AMT]]/2,IF(My_Payment[[#This Row],[Payment_Code]]="N",My_Payment[[#This Row],[Total AMT]],0))</f>
        <v>0</v>
      </c>
    </row>
    <row r="636" spans="1:10">
      <c r="A636" s="38">
        <v>45754</v>
      </c>
      <c r="B636" s="37" t="s">
        <v>298</v>
      </c>
      <c r="C636" s="37" t="s">
        <v>299</v>
      </c>
      <c r="D636" s="37" t="s">
        <v>406</v>
      </c>
      <c r="E636" s="37" t="s">
        <v>252</v>
      </c>
      <c r="F636" s="38">
        <v>45778</v>
      </c>
      <c r="G636" s="37" t="s">
        <v>215</v>
      </c>
      <c r="H636" s="39">
        <v>683.33</v>
      </c>
      <c r="I636" s="39">
        <f>IF(My_Payment[[#This Row],[Payment_Code]]="S",My_Payment[[#This Row],[Total AMT]]/2,IF(My_Payment[[#This Row],[Payment_Code]]="P",My_Payment[[#This Row],[Total AMT]],0))</f>
        <v>683.33</v>
      </c>
      <c r="J636" s="39">
        <f>IF(My_Payment[[#This Row],[Payment_Code]]="S",My_Payment[[#This Row],[Total AMT]]/2,IF(My_Payment[[#This Row],[Payment_Code]]="N",My_Payment[[#This Row],[Total AMT]],0))</f>
        <v>0</v>
      </c>
    </row>
    <row r="637" spans="1:10">
      <c r="A637" s="38">
        <v>45002</v>
      </c>
      <c r="B637" s="37" t="s">
        <v>305</v>
      </c>
      <c r="C637" s="37" t="s">
        <v>226</v>
      </c>
      <c r="D637" s="37" t="s">
        <v>407</v>
      </c>
      <c r="E637" s="37" t="s">
        <v>211</v>
      </c>
      <c r="F637" s="38">
        <v>45053</v>
      </c>
      <c r="G637" s="37" t="s">
        <v>215</v>
      </c>
      <c r="H637" s="40">
        <v>1302</v>
      </c>
      <c r="I637" s="39">
        <f>IF(My_Payment[[#This Row],[Payment_Code]]="S",My_Payment[[#This Row],[Total AMT]]/2,IF(My_Payment[[#This Row],[Payment_Code]]="P",My_Payment[[#This Row],[Total AMT]],0))</f>
        <v>1302</v>
      </c>
      <c r="J637" s="39">
        <f>IF(My_Payment[[#This Row],[Payment_Code]]="S",My_Payment[[#This Row],[Total AMT]]/2,IF(My_Payment[[#This Row],[Payment_Code]]="N",My_Payment[[#This Row],[Total AMT]],0))</f>
        <v>0</v>
      </c>
    </row>
    <row r="638" spans="1:10">
      <c r="A638" s="38">
        <v>45015</v>
      </c>
      <c r="B638" s="37" t="s">
        <v>305</v>
      </c>
      <c r="C638" s="37" t="s">
        <v>226</v>
      </c>
      <c r="D638" s="37" t="s">
        <v>408</v>
      </c>
      <c r="E638" s="37" t="s">
        <v>211</v>
      </c>
      <c r="F638" s="38">
        <v>45053</v>
      </c>
      <c r="G638" s="37" t="s">
        <v>215</v>
      </c>
      <c r="H638" s="40">
        <v>425.7</v>
      </c>
      <c r="I638" s="39">
        <f>IF(My_Payment[[#This Row],[Payment_Code]]="S",My_Payment[[#This Row],[Total AMT]]/2,IF(My_Payment[[#This Row],[Payment_Code]]="P",My_Payment[[#This Row],[Total AMT]],0))</f>
        <v>425.7</v>
      </c>
      <c r="J638" s="39">
        <f>IF(My_Payment[[#This Row],[Payment_Code]]="S",My_Payment[[#This Row],[Total AMT]]/2,IF(My_Payment[[#This Row],[Payment_Code]]="N",My_Payment[[#This Row],[Total AMT]],0))</f>
        <v>0</v>
      </c>
    </row>
    <row r="639" spans="1:10">
      <c r="A639" s="38">
        <v>45018</v>
      </c>
      <c r="B639" s="37" t="s">
        <v>305</v>
      </c>
      <c r="C639" s="37" t="s">
        <v>226</v>
      </c>
      <c r="D639" s="37" t="s">
        <v>315</v>
      </c>
      <c r="E639" s="37" t="s">
        <v>211</v>
      </c>
      <c r="F639" s="38">
        <v>45053</v>
      </c>
      <c r="G639" s="37" t="s">
        <v>212</v>
      </c>
      <c r="H639" s="40">
        <v>357.54</v>
      </c>
      <c r="I639" s="39">
        <f>IF(My_Payment[[#This Row],[Payment_Code]]="S",My_Payment[[#This Row],[Total AMT]]/2,IF(My_Payment[[#This Row],[Payment_Code]]="P",My_Payment[[#This Row],[Total AMT]],0))</f>
        <v>178.77</v>
      </c>
      <c r="J639" s="39">
        <f>IF(My_Payment[[#This Row],[Payment_Code]]="S",My_Payment[[#This Row],[Total AMT]]/2,IF(My_Payment[[#This Row],[Payment_Code]]="N",My_Payment[[#This Row],[Total AMT]],0))</f>
        <v>178.77</v>
      </c>
    </row>
    <row r="640" spans="1:10">
      <c r="A640" s="38">
        <v>45019</v>
      </c>
      <c r="B640" s="37" t="s">
        <v>305</v>
      </c>
      <c r="C640" s="37" t="s">
        <v>226</v>
      </c>
      <c r="D640" s="37" t="s">
        <v>33</v>
      </c>
      <c r="E640" s="37" t="s">
        <v>211</v>
      </c>
      <c r="F640" s="38">
        <v>45053</v>
      </c>
      <c r="G640" s="37" t="s">
        <v>215</v>
      </c>
      <c r="H640" s="40">
        <v>198.6</v>
      </c>
      <c r="I640" s="39">
        <f>IF(My_Payment[[#This Row],[Payment_Code]]="S",My_Payment[[#This Row],[Total AMT]]/2,IF(My_Payment[[#This Row],[Payment_Code]]="P",My_Payment[[#This Row],[Total AMT]],0))</f>
        <v>198.6</v>
      </c>
      <c r="J640" s="39">
        <f>IF(My_Payment[[#This Row],[Payment_Code]]="S",My_Payment[[#This Row],[Total AMT]]/2,IF(My_Payment[[#This Row],[Payment_Code]]="N",My_Payment[[#This Row],[Total AMT]],0))</f>
        <v>0</v>
      </c>
    </row>
    <row r="641" spans="1:10">
      <c r="A641" s="38">
        <v>45020</v>
      </c>
      <c r="B641" s="37" t="s">
        <v>373</v>
      </c>
      <c r="C641" s="37" t="s">
        <v>209</v>
      </c>
      <c r="D641" s="37" t="s">
        <v>409</v>
      </c>
      <c r="E641" s="37" t="s">
        <v>211</v>
      </c>
      <c r="F641" s="38">
        <v>45047</v>
      </c>
      <c r="G641" s="37" t="s">
        <v>215</v>
      </c>
      <c r="H641" s="40">
        <v>1664</v>
      </c>
      <c r="I641" s="39">
        <f>IF(My_Payment[[#This Row],[Payment_Code]]="S",My_Payment[[#This Row],[Total AMT]]/2,IF(My_Payment[[#This Row],[Payment_Code]]="P",My_Payment[[#This Row],[Total AMT]],0))</f>
        <v>1664</v>
      </c>
      <c r="J641" s="39">
        <f>IF(My_Payment[[#This Row],[Payment_Code]]="S",My_Payment[[#This Row],[Total AMT]]/2,IF(My_Payment[[#This Row],[Payment_Code]]="N",My_Payment[[#This Row],[Total AMT]],0))</f>
        <v>0</v>
      </c>
    </row>
    <row r="642" spans="1:10">
      <c r="A642" s="38">
        <v>45033</v>
      </c>
      <c r="B642" s="37" t="s">
        <v>373</v>
      </c>
      <c r="C642" s="37" t="s">
        <v>209</v>
      </c>
      <c r="D642" s="37" t="s">
        <v>410</v>
      </c>
      <c r="E642" s="37" t="s">
        <v>306</v>
      </c>
      <c r="F642" s="38">
        <v>45047</v>
      </c>
      <c r="G642" s="37" t="s">
        <v>215</v>
      </c>
      <c r="H642" s="40">
        <v>395.1</v>
      </c>
      <c r="I642" s="39">
        <f>IF(My_Payment[[#This Row],[Payment_Code]]="S",My_Payment[[#This Row],[Total AMT]]/2,IF(My_Payment[[#This Row],[Payment_Code]]="P",My_Payment[[#This Row],[Total AMT]],0))</f>
        <v>395.1</v>
      </c>
      <c r="J642" s="39">
        <f>IF(My_Payment[[#This Row],[Payment_Code]]="S",My_Payment[[#This Row],[Total AMT]]/2,IF(My_Payment[[#This Row],[Payment_Code]]="N",My_Payment[[#This Row],[Total AMT]],0))</f>
        <v>0</v>
      </c>
    </row>
    <row r="643" spans="1:10">
      <c r="A643" s="38">
        <v>45063</v>
      </c>
      <c r="B643" s="37" t="s">
        <v>373</v>
      </c>
      <c r="C643" s="37" t="s">
        <v>209</v>
      </c>
      <c r="D643" s="37" t="s">
        <v>410</v>
      </c>
      <c r="E643" s="37" t="s">
        <v>307</v>
      </c>
      <c r="F643" s="38">
        <v>45078</v>
      </c>
      <c r="G643" s="37" t="s">
        <v>215</v>
      </c>
      <c r="H643" s="40">
        <v>395.1</v>
      </c>
      <c r="I643" s="39">
        <f>IF(My_Payment[[#This Row],[Payment_Code]]="S",My_Payment[[#This Row],[Total AMT]]/2,IF(My_Payment[[#This Row],[Payment_Code]]="P",My_Payment[[#This Row],[Total AMT]],0))</f>
        <v>395.1</v>
      </c>
      <c r="J643" s="39">
        <f>IF(My_Payment[[#This Row],[Payment_Code]]="S",My_Payment[[#This Row],[Total AMT]]/2,IF(My_Payment[[#This Row],[Payment_Code]]="N",My_Payment[[#This Row],[Total AMT]],0))</f>
        <v>0</v>
      </c>
    </row>
    <row r="644" spans="1:10">
      <c r="A644" s="38">
        <v>45094</v>
      </c>
      <c r="B644" s="37" t="s">
        <v>373</v>
      </c>
      <c r="C644" s="37" t="s">
        <v>209</v>
      </c>
      <c r="D644" s="37" t="s">
        <v>410</v>
      </c>
      <c r="E644" s="37" t="s">
        <v>308</v>
      </c>
      <c r="F644" s="38">
        <v>45108</v>
      </c>
      <c r="G644" s="37" t="s">
        <v>215</v>
      </c>
      <c r="H644" s="40">
        <v>395.1</v>
      </c>
      <c r="I644" s="39">
        <f>IF(My_Payment[[#This Row],[Payment_Code]]="S",My_Payment[[#This Row],[Total AMT]]/2,IF(My_Payment[[#This Row],[Payment_Code]]="P",My_Payment[[#This Row],[Total AMT]],0))</f>
        <v>395.1</v>
      </c>
      <c r="J644" s="39">
        <f>IF(My_Payment[[#This Row],[Payment_Code]]="S",My_Payment[[#This Row],[Total AMT]]/2,IF(My_Payment[[#This Row],[Payment_Code]]="N",My_Payment[[#This Row],[Total AMT]],0))</f>
        <v>0</v>
      </c>
    </row>
    <row r="645" spans="1:10">
      <c r="A645" s="38">
        <v>45124</v>
      </c>
      <c r="B645" s="37" t="s">
        <v>373</v>
      </c>
      <c r="C645" s="37" t="s">
        <v>209</v>
      </c>
      <c r="D645" s="37" t="s">
        <v>410</v>
      </c>
      <c r="E645" s="37" t="s">
        <v>309</v>
      </c>
      <c r="F645" s="38">
        <v>45139</v>
      </c>
      <c r="G645" s="37" t="s">
        <v>215</v>
      </c>
      <c r="H645" s="40">
        <v>395.1</v>
      </c>
      <c r="I645" s="39">
        <f>IF(My_Payment[[#This Row],[Payment_Code]]="S",My_Payment[[#This Row],[Total AMT]]/2,IF(My_Payment[[#This Row],[Payment_Code]]="P",My_Payment[[#This Row],[Total AMT]],0))</f>
        <v>395.1</v>
      </c>
      <c r="J645" s="39">
        <f>IF(My_Payment[[#This Row],[Payment_Code]]="S",My_Payment[[#This Row],[Total AMT]]/2,IF(My_Payment[[#This Row],[Payment_Code]]="N",My_Payment[[#This Row],[Total AMT]],0))</f>
        <v>0</v>
      </c>
    </row>
    <row r="646" spans="1:10">
      <c r="A646" s="38">
        <v>45155</v>
      </c>
      <c r="B646" s="37" t="s">
        <v>373</v>
      </c>
      <c r="C646" s="37" t="s">
        <v>209</v>
      </c>
      <c r="D646" s="37" t="s">
        <v>410</v>
      </c>
      <c r="E646" s="37" t="s">
        <v>310</v>
      </c>
      <c r="F646" s="38">
        <v>45170</v>
      </c>
      <c r="G646" s="37" t="s">
        <v>215</v>
      </c>
      <c r="H646" s="40">
        <v>395.1</v>
      </c>
      <c r="I646" s="39">
        <f>IF(My_Payment[[#This Row],[Payment_Code]]="S",My_Payment[[#This Row],[Total AMT]]/2,IF(My_Payment[[#This Row],[Payment_Code]]="P",My_Payment[[#This Row],[Total AMT]],0))</f>
        <v>395.1</v>
      </c>
      <c r="J646" s="39">
        <f>IF(My_Payment[[#This Row],[Payment_Code]]="S",My_Payment[[#This Row],[Total AMT]]/2,IF(My_Payment[[#This Row],[Payment_Code]]="N",My_Payment[[#This Row],[Total AMT]],0))</f>
        <v>0</v>
      </c>
    </row>
    <row r="647" spans="1:10">
      <c r="A647" s="38">
        <v>45186</v>
      </c>
      <c r="B647" s="37" t="s">
        <v>373</v>
      </c>
      <c r="C647" s="37" t="s">
        <v>209</v>
      </c>
      <c r="D647" s="37" t="s">
        <v>410</v>
      </c>
      <c r="E647" s="37" t="s">
        <v>311</v>
      </c>
      <c r="F647" s="38">
        <v>45200</v>
      </c>
      <c r="G647" s="37" t="s">
        <v>215</v>
      </c>
      <c r="H647" s="40">
        <v>395.1</v>
      </c>
      <c r="I647" s="39">
        <f>IF(My_Payment[[#This Row],[Payment_Code]]="S",My_Payment[[#This Row],[Total AMT]]/2,IF(My_Payment[[#This Row],[Payment_Code]]="P",My_Payment[[#This Row],[Total AMT]],0))</f>
        <v>395.1</v>
      </c>
      <c r="J647" s="39">
        <f>IF(My_Payment[[#This Row],[Payment_Code]]="S",My_Payment[[#This Row],[Total AMT]]/2,IF(My_Payment[[#This Row],[Payment_Code]]="N",My_Payment[[#This Row],[Total AMT]],0))</f>
        <v>0</v>
      </c>
    </row>
    <row r="648" spans="1:10">
      <c r="A648" s="38">
        <v>45216</v>
      </c>
      <c r="B648" s="37" t="s">
        <v>373</v>
      </c>
      <c r="C648" s="37" t="s">
        <v>209</v>
      </c>
      <c r="D648" s="37" t="s">
        <v>410</v>
      </c>
      <c r="E648" s="37" t="s">
        <v>312</v>
      </c>
      <c r="F648" s="38">
        <v>45231</v>
      </c>
      <c r="G648" s="37" t="s">
        <v>215</v>
      </c>
      <c r="H648" s="40">
        <v>395.1</v>
      </c>
      <c r="I648" s="39">
        <f>IF(My_Payment[[#This Row],[Payment_Code]]="S",My_Payment[[#This Row],[Total AMT]]/2,IF(My_Payment[[#This Row],[Payment_Code]]="P",My_Payment[[#This Row],[Total AMT]],0))</f>
        <v>395.1</v>
      </c>
      <c r="J648" s="39">
        <f>IF(My_Payment[[#This Row],[Payment_Code]]="S",My_Payment[[#This Row],[Total AMT]]/2,IF(My_Payment[[#This Row],[Payment_Code]]="N",My_Payment[[#This Row],[Total AMT]],0))</f>
        <v>0</v>
      </c>
    </row>
    <row r="649" spans="1:10">
      <c r="A649" s="38">
        <v>45247</v>
      </c>
      <c r="B649" s="37" t="s">
        <v>373</v>
      </c>
      <c r="C649" s="37" t="s">
        <v>209</v>
      </c>
      <c r="D649" s="37" t="s">
        <v>410</v>
      </c>
      <c r="E649" s="37" t="s">
        <v>313</v>
      </c>
      <c r="F649" s="38">
        <v>45261</v>
      </c>
      <c r="G649" s="37" t="s">
        <v>215</v>
      </c>
      <c r="H649" s="40">
        <v>395.1</v>
      </c>
      <c r="I649" s="39">
        <f>IF(My_Payment[[#This Row],[Payment_Code]]="S",My_Payment[[#This Row],[Total AMT]]/2,IF(My_Payment[[#This Row],[Payment_Code]]="P",My_Payment[[#This Row],[Total AMT]],0))</f>
        <v>395.1</v>
      </c>
      <c r="J649" s="39">
        <f>IF(My_Payment[[#This Row],[Payment_Code]]="S",My_Payment[[#This Row],[Total AMT]]/2,IF(My_Payment[[#This Row],[Payment_Code]]="N",My_Payment[[#This Row],[Total AMT]],0))</f>
        <v>0</v>
      </c>
    </row>
    <row r="650" spans="1:10">
      <c r="A650" s="38">
        <v>45277</v>
      </c>
      <c r="B650" s="37" t="s">
        <v>373</v>
      </c>
      <c r="C650" s="37" t="s">
        <v>209</v>
      </c>
      <c r="D650" s="37" t="s">
        <v>410</v>
      </c>
      <c r="E650" s="37" t="s">
        <v>314</v>
      </c>
      <c r="F650" s="38">
        <v>45292</v>
      </c>
      <c r="G650" s="37" t="s">
        <v>215</v>
      </c>
      <c r="H650" s="40">
        <v>395.1</v>
      </c>
      <c r="I650" s="39">
        <f>IF(My_Payment[[#This Row],[Payment_Code]]="S",My_Payment[[#This Row],[Total AMT]]/2,IF(My_Payment[[#This Row],[Payment_Code]]="P",My_Payment[[#This Row],[Total AMT]],0))</f>
        <v>395.1</v>
      </c>
      <c r="J650" s="39">
        <f>IF(My_Payment[[#This Row],[Payment_Code]]="S",My_Payment[[#This Row],[Total AMT]]/2,IF(My_Payment[[#This Row],[Payment_Code]]="N",My_Payment[[#This Row],[Total AMT]],0))</f>
        <v>0</v>
      </c>
    </row>
    <row r="651" spans="1:10">
      <c r="A651" s="38">
        <v>45042</v>
      </c>
      <c r="B651" s="37" t="s">
        <v>357</v>
      </c>
      <c r="C651" s="37" t="s">
        <v>248</v>
      </c>
      <c r="D651" s="37" t="s">
        <v>411</v>
      </c>
      <c r="E651" s="37" t="s">
        <v>211</v>
      </c>
      <c r="F651" s="38">
        <v>45082</v>
      </c>
      <c r="G651" s="37" t="s">
        <v>215</v>
      </c>
      <c r="H651" s="40">
        <v>270</v>
      </c>
      <c r="I651" s="39">
        <f>IF(My_Payment[[#This Row],[Payment_Code]]="S",My_Payment[[#This Row],[Total AMT]]/2,IF(My_Payment[[#This Row],[Payment_Code]]="P",My_Payment[[#This Row],[Total AMT]],0))</f>
        <v>270</v>
      </c>
      <c r="J651" s="39">
        <f>IF(My_Payment[[#This Row],[Payment_Code]]="S",My_Payment[[#This Row],[Total AMT]]/2,IF(My_Payment[[#This Row],[Payment_Code]]="N",My_Payment[[#This Row],[Total AMT]],0))</f>
        <v>0</v>
      </c>
    </row>
    <row r="652" spans="1:10">
      <c r="A652" s="38">
        <v>45024</v>
      </c>
      <c r="B652" s="37" t="s">
        <v>357</v>
      </c>
      <c r="C652" s="37" t="s">
        <v>248</v>
      </c>
      <c r="D652" s="37" t="s">
        <v>412</v>
      </c>
      <c r="E652" s="37" t="s">
        <v>324</v>
      </c>
      <c r="F652" s="38">
        <v>45051</v>
      </c>
      <c r="G652" s="37" t="s">
        <v>215</v>
      </c>
      <c r="H652" s="40">
        <v>448.33</v>
      </c>
      <c r="I652" s="39">
        <f>IF(My_Payment[[#This Row],[Payment_Code]]="S",My_Payment[[#This Row],[Total AMT]]/2,IF(My_Payment[[#This Row],[Payment_Code]]="P",My_Payment[[#This Row],[Total AMT]],0))</f>
        <v>448.33</v>
      </c>
      <c r="J652" s="39">
        <f>IF(My_Payment[[#This Row],[Payment_Code]]="S",My_Payment[[#This Row],[Total AMT]]/2,IF(My_Payment[[#This Row],[Payment_Code]]="N",My_Payment[[#This Row],[Total AMT]],0))</f>
        <v>0</v>
      </c>
    </row>
    <row r="653" spans="1:10">
      <c r="A653" s="38">
        <v>45054</v>
      </c>
      <c r="B653" s="37" t="s">
        <v>357</v>
      </c>
      <c r="C653" s="37" t="s">
        <v>248</v>
      </c>
      <c r="D653" s="37" t="s">
        <v>412</v>
      </c>
      <c r="E653" s="37" t="s">
        <v>327</v>
      </c>
      <c r="F653" s="38">
        <v>45082</v>
      </c>
      <c r="G653" s="37" t="s">
        <v>215</v>
      </c>
      <c r="H653" s="40">
        <v>448.33</v>
      </c>
      <c r="I653" s="39">
        <f>IF(My_Payment[[#This Row],[Payment_Code]]="S",My_Payment[[#This Row],[Total AMT]]/2,IF(My_Payment[[#This Row],[Payment_Code]]="P",My_Payment[[#This Row],[Total AMT]],0))</f>
        <v>448.33</v>
      </c>
      <c r="J653" s="39">
        <f>IF(My_Payment[[#This Row],[Payment_Code]]="S",My_Payment[[#This Row],[Total AMT]]/2,IF(My_Payment[[#This Row],[Payment_Code]]="N",My_Payment[[#This Row],[Total AMT]],0))</f>
        <v>0</v>
      </c>
    </row>
    <row r="654" spans="1:10">
      <c r="A654" s="38">
        <v>45085</v>
      </c>
      <c r="B654" s="37" t="s">
        <v>357</v>
      </c>
      <c r="C654" s="37" t="s">
        <v>248</v>
      </c>
      <c r="D654" s="37" t="s">
        <v>412</v>
      </c>
      <c r="E654" s="37" t="s">
        <v>80</v>
      </c>
      <c r="F654" s="38">
        <v>45112</v>
      </c>
      <c r="G654" s="37" t="s">
        <v>215</v>
      </c>
      <c r="H654" s="40">
        <v>448.34</v>
      </c>
      <c r="I654" s="39">
        <f>IF(My_Payment[[#This Row],[Payment_Code]]="S",My_Payment[[#This Row],[Total AMT]]/2,IF(My_Payment[[#This Row],[Payment_Code]]="P",My_Payment[[#This Row],[Total AMT]],0))</f>
        <v>448.34</v>
      </c>
      <c r="J654" s="39">
        <f>IF(My_Payment[[#This Row],[Payment_Code]]="S",My_Payment[[#This Row],[Total AMT]]/2,IF(My_Payment[[#This Row],[Payment_Code]]="N",My_Payment[[#This Row],[Total AMT]],0))</f>
        <v>0</v>
      </c>
    </row>
    <row r="655" spans="1:10">
      <c r="A655" s="38">
        <v>45042</v>
      </c>
      <c r="B655" s="37" t="s">
        <v>373</v>
      </c>
      <c r="C655" s="37" t="s">
        <v>209</v>
      </c>
      <c r="D655" s="37" t="s">
        <v>413</v>
      </c>
      <c r="E655" s="37" t="s">
        <v>306</v>
      </c>
      <c r="F655" s="38">
        <v>45078</v>
      </c>
      <c r="G655" s="37" t="s">
        <v>215</v>
      </c>
      <c r="H655" s="40">
        <v>333.5</v>
      </c>
      <c r="I655" s="39">
        <f>IF(My_Payment[[#This Row],[Payment_Code]]="S",My_Payment[[#This Row],[Total AMT]]/2,IF(My_Payment[[#This Row],[Payment_Code]]="P",My_Payment[[#This Row],[Total AMT]],0))</f>
        <v>333.5</v>
      </c>
      <c r="J655" s="39">
        <f>IF(My_Payment[[#This Row],[Payment_Code]]="S",My_Payment[[#This Row],[Total AMT]]/2,IF(My_Payment[[#This Row],[Payment_Code]]="N",My_Payment[[#This Row],[Total AMT]],0))</f>
        <v>0</v>
      </c>
    </row>
    <row r="656" spans="1:10">
      <c r="A656" s="38">
        <v>45072</v>
      </c>
      <c r="B656" s="37" t="s">
        <v>373</v>
      </c>
      <c r="C656" s="37" t="s">
        <v>209</v>
      </c>
      <c r="D656" s="37" t="s">
        <v>413</v>
      </c>
      <c r="E656" s="37" t="s">
        <v>307</v>
      </c>
      <c r="F656" s="38">
        <v>45108</v>
      </c>
      <c r="G656" s="37" t="s">
        <v>215</v>
      </c>
      <c r="H656" s="40">
        <v>333.5</v>
      </c>
      <c r="I656" s="39">
        <f>IF(My_Payment[[#This Row],[Payment_Code]]="S",My_Payment[[#This Row],[Total AMT]]/2,IF(My_Payment[[#This Row],[Payment_Code]]="P",My_Payment[[#This Row],[Total AMT]],0))</f>
        <v>333.5</v>
      </c>
      <c r="J656" s="39">
        <f>IF(My_Payment[[#This Row],[Payment_Code]]="S",My_Payment[[#This Row],[Total AMT]]/2,IF(My_Payment[[#This Row],[Payment_Code]]="N",My_Payment[[#This Row],[Total AMT]],0))</f>
        <v>0</v>
      </c>
    </row>
    <row r="657" spans="1:10">
      <c r="A657" s="38">
        <v>45103</v>
      </c>
      <c r="B657" s="37" t="s">
        <v>373</v>
      </c>
      <c r="C657" s="37" t="s">
        <v>209</v>
      </c>
      <c r="D657" s="37" t="s">
        <v>413</v>
      </c>
      <c r="E657" s="37" t="s">
        <v>308</v>
      </c>
      <c r="F657" s="38">
        <v>45139</v>
      </c>
      <c r="G657" s="37" t="s">
        <v>215</v>
      </c>
      <c r="H657" s="40">
        <v>333.5</v>
      </c>
      <c r="I657" s="39">
        <f>IF(My_Payment[[#This Row],[Payment_Code]]="S",My_Payment[[#This Row],[Total AMT]]/2,IF(My_Payment[[#This Row],[Payment_Code]]="P",My_Payment[[#This Row],[Total AMT]],0))</f>
        <v>333.5</v>
      </c>
      <c r="J657" s="39">
        <f>IF(My_Payment[[#This Row],[Payment_Code]]="S",My_Payment[[#This Row],[Total AMT]]/2,IF(My_Payment[[#This Row],[Payment_Code]]="N",My_Payment[[#This Row],[Total AMT]],0))</f>
        <v>0</v>
      </c>
    </row>
    <row r="658" spans="1:10">
      <c r="A658" s="38">
        <v>45133</v>
      </c>
      <c r="B658" s="37" t="s">
        <v>373</v>
      </c>
      <c r="C658" s="37" t="s">
        <v>209</v>
      </c>
      <c r="D658" s="37" t="s">
        <v>413</v>
      </c>
      <c r="E658" s="37" t="s">
        <v>309</v>
      </c>
      <c r="F658" s="38">
        <v>45170</v>
      </c>
      <c r="G658" s="37" t="s">
        <v>215</v>
      </c>
      <c r="H658" s="40">
        <v>333.5</v>
      </c>
      <c r="I658" s="39">
        <f>IF(My_Payment[[#This Row],[Payment_Code]]="S",My_Payment[[#This Row],[Total AMT]]/2,IF(My_Payment[[#This Row],[Payment_Code]]="P",My_Payment[[#This Row],[Total AMT]],0))</f>
        <v>333.5</v>
      </c>
      <c r="J658" s="39">
        <f>IF(My_Payment[[#This Row],[Payment_Code]]="S",My_Payment[[#This Row],[Total AMT]]/2,IF(My_Payment[[#This Row],[Payment_Code]]="N",My_Payment[[#This Row],[Total AMT]],0))</f>
        <v>0</v>
      </c>
    </row>
    <row r="659" spans="1:10">
      <c r="A659" s="38">
        <v>45164</v>
      </c>
      <c r="B659" s="37" t="s">
        <v>373</v>
      </c>
      <c r="C659" s="37" t="s">
        <v>209</v>
      </c>
      <c r="D659" s="37" t="s">
        <v>413</v>
      </c>
      <c r="E659" s="37" t="s">
        <v>310</v>
      </c>
      <c r="F659" s="38">
        <v>45200</v>
      </c>
      <c r="G659" s="37" t="s">
        <v>215</v>
      </c>
      <c r="H659" s="40">
        <v>333.5</v>
      </c>
      <c r="I659" s="39">
        <f>IF(My_Payment[[#This Row],[Payment_Code]]="S",My_Payment[[#This Row],[Total AMT]]/2,IF(My_Payment[[#This Row],[Payment_Code]]="P",My_Payment[[#This Row],[Total AMT]],0))</f>
        <v>333.5</v>
      </c>
      <c r="J659" s="39">
        <f>IF(My_Payment[[#This Row],[Payment_Code]]="S",My_Payment[[#This Row],[Total AMT]]/2,IF(My_Payment[[#This Row],[Payment_Code]]="N",My_Payment[[#This Row],[Total AMT]],0))</f>
        <v>0</v>
      </c>
    </row>
    <row r="660" spans="1:10">
      <c r="A660" s="38">
        <v>45195</v>
      </c>
      <c r="B660" s="37" t="s">
        <v>373</v>
      </c>
      <c r="C660" s="37" t="s">
        <v>209</v>
      </c>
      <c r="D660" s="37" t="s">
        <v>413</v>
      </c>
      <c r="E660" s="37" t="s">
        <v>311</v>
      </c>
      <c r="F660" s="38">
        <v>45231</v>
      </c>
      <c r="G660" s="37" t="s">
        <v>215</v>
      </c>
      <c r="H660" s="40">
        <v>333.5</v>
      </c>
      <c r="I660" s="39">
        <f>IF(My_Payment[[#This Row],[Payment_Code]]="S",My_Payment[[#This Row],[Total AMT]]/2,IF(My_Payment[[#This Row],[Payment_Code]]="P",My_Payment[[#This Row],[Total AMT]],0))</f>
        <v>333.5</v>
      </c>
      <c r="J660" s="39">
        <f>IF(My_Payment[[#This Row],[Payment_Code]]="S",My_Payment[[#This Row],[Total AMT]]/2,IF(My_Payment[[#This Row],[Payment_Code]]="N",My_Payment[[#This Row],[Total AMT]],0))</f>
        <v>0</v>
      </c>
    </row>
    <row r="661" spans="1:10">
      <c r="A661" s="38">
        <v>45225</v>
      </c>
      <c r="B661" s="37" t="s">
        <v>373</v>
      </c>
      <c r="C661" s="37" t="s">
        <v>209</v>
      </c>
      <c r="D661" s="37" t="s">
        <v>413</v>
      </c>
      <c r="E661" s="37" t="s">
        <v>312</v>
      </c>
      <c r="F661" s="38">
        <v>45261</v>
      </c>
      <c r="G661" s="37" t="s">
        <v>215</v>
      </c>
      <c r="H661" s="40">
        <v>333.5</v>
      </c>
      <c r="I661" s="39">
        <f>IF(My_Payment[[#This Row],[Payment_Code]]="S",My_Payment[[#This Row],[Total AMT]]/2,IF(My_Payment[[#This Row],[Payment_Code]]="P",My_Payment[[#This Row],[Total AMT]],0))</f>
        <v>333.5</v>
      </c>
      <c r="J661" s="39">
        <f>IF(My_Payment[[#This Row],[Payment_Code]]="S",My_Payment[[#This Row],[Total AMT]]/2,IF(My_Payment[[#This Row],[Payment_Code]]="N",My_Payment[[#This Row],[Total AMT]],0))</f>
        <v>0</v>
      </c>
    </row>
    <row r="662" spans="1:10">
      <c r="A662" s="38">
        <v>45256</v>
      </c>
      <c r="B662" s="37" t="s">
        <v>373</v>
      </c>
      <c r="C662" s="37" t="s">
        <v>209</v>
      </c>
      <c r="D662" s="37" t="s">
        <v>413</v>
      </c>
      <c r="E662" s="37" t="s">
        <v>313</v>
      </c>
      <c r="F662" s="38">
        <v>45292</v>
      </c>
      <c r="G662" s="37" t="s">
        <v>215</v>
      </c>
      <c r="H662" s="40">
        <v>333.5</v>
      </c>
      <c r="I662" s="39">
        <f>IF(My_Payment[[#This Row],[Payment_Code]]="S",My_Payment[[#This Row],[Total AMT]]/2,IF(My_Payment[[#This Row],[Payment_Code]]="P",My_Payment[[#This Row],[Total AMT]],0))</f>
        <v>333.5</v>
      </c>
      <c r="J662" s="39">
        <f>IF(My_Payment[[#This Row],[Payment_Code]]="S",My_Payment[[#This Row],[Total AMT]]/2,IF(My_Payment[[#This Row],[Payment_Code]]="N",My_Payment[[#This Row],[Total AMT]],0))</f>
        <v>0</v>
      </c>
    </row>
    <row r="663" spans="1:10">
      <c r="A663" s="38">
        <v>45286</v>
      </c>
      <c r="B663" s="37" t="s">
        <v>373</v>
      </c>
      <c r="C663" s="37" t="s">
        <v>209</v>
      </c>
      <c r="D663" s="37" t="s">
        <v>413</v>
      </c>
      <c r="E663" s="37" t="s">
        <v>314</v>
      </c>
      <c r="F663" s="38">
        <v>45323</v>
      </c>
      <c r="G663" s="37" t="s">
        <v>215</v>
      </c>
      <c r="H663" s="40">
        <v>333.5</v>
      </c>
      <c r="I663" s="39">
        <f>IF(My_Payment[[#This Row],[Payment_Code]]="S",My_Payment[[#This Row],[Total AMT]]/2,IF(My_Payment[[#This Row],[Payment_Code]]="P",My_Payment[[#This Row],[Total AMT]],0))</f>
        <v>333.5</v>
      </c>
      <c r="J663" s="39">
        <f>IF(My_Payment[[#This Row],[Payment_Code]]="S",My_Payment[[#This Row],[Total AMT]]/2,IF(My_Payment[[#This Row],[Payment_Code]]="N",My_Payment[[#This Row],[Total AMT]],0))</f>
        <v>0</v>
      </c>
    </row>
    <row r="664" spans="1:10">
      <c r="A664" s="38">
        <v>45317</v>
      </c>
      <c r="B664" s="37" t="s">
        <v>373</v>
      </c>
      <c r="C664" s="37" t="s">
        <v>209</v>
      </c>
      <c r="D664" s="37" t="s">
        <v>413</v>
      </c>
      <c r="E664" s="37" t="s">
        <v>112</v>
      </c>
      <c r="F664" s="38">
        <v>45352</v>
      </c>
      <c r="G664" s="37" t="s">
        <v>215</v>
      </c>
      <c r="H664" s="40">
        <v>333.5</v>
      </c>
      <c r="I664" s="39">
        <f>IF(My_Payment[[#This Row],[Payment_Code]]="S",My_Payment[[#This Row],[Total AMT]]/2,IF(My_Payment[[#This Row],[Payment_Code]]="P",My_Payment[[#This Row],[Total AMT]],0))</f>
        <v>333.5</v>
      </c>
      <c r="J664" s="39">
        <f>IF(My_Payment[[#This Row],[Payment_Code]]="S",My_Payment[[#This Row],[Total AMT]]/2,IF(My_Payment[[#This Row],[Payment_Code]]="N",My_Payment[[#This Row],[Total AMT]],0))</f>
        <v>0</v>
      </c>
    </row>
    <row r="665" spans="1:10">
      <c r="A665" s="38">
        <v>45066</v>
      </c>
      <c r="B665" s="37" t="s">
        <v>208</v>
      </c>
      <c r="C665" s="37" t="s">
        <v>209</v>
      </c>
      <c r="D665" s="37" t="s">
        <v>217</v>
      </c>
      <c r="E665" s="37" t="s">
        <v>211</v>
      </c>
      <c r="F665" s="38">
        <v>45109</v>
      </c>
      <c r="G665" s="37" t="s">
        <v>212</v>
      </c>
      <c r="H665" s="40">
        <v>678.25</v>
      </c>
      <c r="I665" s="39">
        <v>523.25</v>
      </c>
      <c r="J665" s="39">
        <v>155</v>
      </c>
    </row>
    <row r="666" spans="1:10">
      <c r="A666" s="38">
        <v>45073</v>
      </c>
      <c r="B666" s="37" t="s">
        <v>208</v>
      </c>
      <c r="C666" s="37" t="s">
        <v>209</v>
      </c>
      <c r="D666" s="37" t="s">
        <v>217</v>
      </c>
      <c r="E666" s="37" t="s">
        <v>211</v>
      </c>
      <c r="F666" s="38">
        <v>45109</v>
      </c>
      <c r="G666" s="37" t="s">
        <v>212</v>
      </c>
      <c r="H666" s="40">
        <v>1429.75</v>
      </c>
      <c r="I666" s="39">
        <v>566.75</v>
      </c>
      <c r="J666" s="39">
        <v>863</v>
      </c>
    </row>
    <row r="667" spans="1:10">
      <c r="A667" s="38">
        <v>45067</v>
      </c>
      <c r="B667" s="37" t="s">
        <v>225</v>
      </c>
      <c r="C667" s="37" t="s">
        <v>226</v>
      </c>
      <c r="D667" s="37" t="s">
        <v>414</v>
      </c>
      <c r="E667" s="37" t="s">
        <v>415</v>
      </c>
      <c r="F667" s="38">
        <v>45099</v>
      </c>
      <c r="G667" s="37" t="s">
        <v>212</v>
      </c>
      <c r="H667" s="40">
        <v>999.75</v>
      </c>
      <c r="I667" s="39">
        <f>IF(My_Payment[[#This Row],[Payment_Code]]="S",My_Payment[[#This Row],[Total AMT]]/2,IF(My_Payment[[#This Row],[Payment_Code]]="P",My_Payment[[#This Row],[Total AMT]],0))</f>
        <v>499.875</v>
      </c>
      <c r="J667" s="39">
        <f>IF(My_Payment[[#This Row],[Payment_Code]]="S",My_Payment[[#This Row],[Total AMT]]/2,IF(My_Payment[[#This Row],[Payment_Code]]="N",My_Payment[[#This Row],[Total AMT]],0))</f>
        <v>499.875</v>
      </c>
    </row>
    <row r="668" spans="1:10">
      <c r="A668" s="38">
        <v>45098</v>
      </c>
      <c r="B668" s="37" t="s">
        <v>225</v>
      </c>
      <c r="C668" s="37" t="s">
        <v>226</v>
      </c>
      <c r="D668" s="37" t="s">
        <v>414</v>
      </c>
      <c r="E668" s="37" t="s">
        <v>416</v>
      </c>
      <c r="F668" s="38">
        <v>45129</v>
      </c>
      <c r="G668" s="37" t="s">
        <v>212</v>
      </c>
      <c r="H668" s="40">
        <v>999.75</v>
      </c>
      <c r="I668" s="39">
        <f>IF(My_Payment[[#This Row],[Payment_Code]]="S",My_Payment[[#This Row],[Total AMT]]/2,IF(My_Payment[[#This Row],[Payment_Code]]="P",My_Payment[[#This Row],[Total AMT]],0))</f>
        <v>499.875</v>
      </c>
      <c r="J668" s="39">
        <f>IF(My_Payment[[#This Row],[Payment_Code]]="S",My_Payment[[#This Row],[Total AMT]]/2,IF(My_Payment[[#This Row],[Payment_Code]]="N",My_Payment[[#This Row],[Total AMT]],0))</f>
        <v>499.875</v>
      </c>
    </row>
    <row r="669" spans="1:10">
      <c r="A669" s="38">
        <v>45128</v>
      </c>
      <c r="B669" s="37" t="s">
        <v>225</v>
      </c>
      <c r="C669" s="37" t="s">
        <v>226</v>
      </c>
      <c r="D669" s="37" t="s">
        <v>414</v>
      </c>
      <c r="E669" s="37" t="s">
        <v>417</v>
      </c>
      <c r="F669" s="38">
        <v>45160</v>
      </c>
      <c r="G669" s="37" t="s">
        <v>212</v>
      </c>
      <c r="H669" s="40">
        <v>999.75</v>
      </c>
      <c r="I669" s="39">
        <f>IF(My_Payment[[#This Row],[Payment_Code]]="S",My_Payment[[#This Row],[Total AMT]]/2,IF(My_Payment[[#This Row],[Payment_Code]]="P",My_Payment[[#This Row],[Total AMT]],0))</f>
        <v>499.875</v>
      </c>
      <c r="J669" s="39">
        <f>IF(My_Payment[[#This Row],[Payment_Code]]="S",My_Payment[[#This Row],[Total AMT]]/2,IF(My_Payment[[#This Row],[Payment_Code]]="N",My_Payment[[#This Row],[Total AMT]],0))</f>
        <v>499.875</v>
      </c>
    </row>
    <row r="670" spans="1:10">
      <c r="A670" s="38">
        <v>45159</v>
      </c>
      <c r="B670" s="37" t="s">
        <v>225</v>
      </c>
      <c r="C670" s="37" t="s">
        <v>226</v>
      </c>
      <c r="D670" s="37" t="s">
        <v>414</v>
      </c>
      <c r="E670" s="37" t="s">
        <v>418</v>
      </c>
      <c r="F670" s="38">
        <v>45191</v>
      </c>
      <c r="G670" s="37" t="s">
        <v>212</v>
      </c>
      <c r="H670" s="40">
        <v>999.75</v>
      </c>
      <c r="I670" s="39">
        <f>IF(My_Payment[[#This Row],[Payment_Code]]="S",My_Payment[[#This Row],[Total AMT]]/2,IF(My_Payment[[#This Row],[Payment_Code]]="P",My_Payment[[#This Row],[Total AMT]],0))</f>
        <v>499.875</v>
      </c>
      <c r="J670" s="39">
        <f>IF(My_Payment[[#This Row],[Payment_Code]]="S",My_Payment[[#This Row],[Total AMT]]/2,IF(My_Payment[[#This Row],[Payment_Code]]="N",My_Payment[[#This Row],[Total AMT]],0))</f>
        <v>499.875</v>
      </c>
    </row>
    <row r="671" spans="1:10">
      <c r="A671" s="38">
        <v>45067</v>
      </c>
      <c r="B671" s="37" t="s">
        <v>225</v>
      </c>
      <c r="C671" s="37" t="s">
        <v>226</v>
      </c>
      <c r="D671" s="37" t="s">
        <v>419</v>
      </c>
      <c r="E671" s="37" t="s">
        <v>211</v>
      </c>
      <c r="F671" s="38">
        <v>45099</v>
      </c>
      <c r="G671" s="37" t="s">
        <v>212</v>
      </c>
      <c r="H671" s="40">
        <v>945</v>
      </c>
      <c r="I671" s="39">
        <f>IF(My_Payment[[#This Row],[Payment_Code]]="S",My_Payment[[#This Row],[Total AMT]]/2,IF(My_Payment[[#This Row],[Payment_Code]]="P",My_Payment[[#This Row],[Total AMT]],0))</f>
        <v>472.5</v>
      </c>
      <c r="J671" s="39">
        <f>IF(My_Payment[[#This Row],[Payment_Code]]="S",My_Payment[[#This Row],[Total AMT]]/2,IF(My_Payment[[#This Row],[Payment_Code]]="N",My_Payment[[#This Row],[Total AMT]],0))</f>
        <v>472.5</v>
      </c>
    </row>
    <row r="672" spans="1:10">
      <c r="A672" s="38">
        <v>45060</v>
      </c>
      <c r="B672" s="37" t="s">
        <v>225</v>
      </c>
      <c r="C672" s="37" t="s">
        <v>226</v>
      </c>
      <c r="D672" s="37" t="s">
        <v>378</v>
      </c>
      <c r="E672" s="37" t="s">
        <v>211</v>
      </c>
      <c r="F672" s="38">
        <v>45099</v>
      </c>
      <c r="G672" s="37" t="s">
        <v>212</v>
      </c>
      <c r="H672" s="40">
        <v>637</v>
      </c>
      <c r="I672" s="39">
        <v>385</v>
      </c>
      <c r="J672" s="39">
        <v>252</v>
      </c>
    </row>
    <row r="673" spans="1:10">
      <c r="A673" s="38">
        <v>45053</v>
      </c>
      <c r="B673" s="37" t="s">
        <v>225</v>
      </c>
      <c r="C673" s="37" t="s">
        <v>226</v>
      </c>
      <c r="D673" s="37" t="s">
        <v>214</v>
      </c>
      <c r="E673" s="37" t="s">
        <v>211</v>
      </c>
      <c r="F673" s="38">
        <v>45099</v>
      </c>
      <c r="G673" s="37" t="s">
        <v>215</v>
      </c>
      <c r="H673" s="40">
        <v>1270</v>
      </c>
      <c r="I673" s="39">
        <f>IF(My_Payment[[#This Row],[Payment_Code]]="S",My_Payment[[#This Row],[Total AMT]]/2,IF(My_Payment[[#This Row],[Payment_Code]]="P",My_Payment[[#This Row],[Total AMT]],0))</f>
        <v>1270</v>
      </c>
      <c r="J673" s="39">
        <f>IF(My_Payment[[#This Row],[Payment_Code]]="S",My_Payment[[#This Row],[Total AMT]]/2,IF(My_Payment[[#This Row],[Payment_Code]]="N",My_Payment[[#This Row],[Total AMT]],0))</f>
        <v>0</v>
      </c>
    </row>
    <row r="674" spans="1:10">
      <c r="A674" s="38">
        <v>45034</v>
      </c>
      <c r="B674" s="37" t="s">
        <v>305</v>
      </c>
      <c r="C674" s="37" t="s">
        <v>226</v>
      </c>
      <c r="D674" s="37" t="s">
        <v>420</v>
      </c>
      <c r="E674" s="37" t="s">
        <v>211</v>
      </c>
      <c r="F674" s="38">
        <v>45084</v>
      </c>
      <c r="G674" s="37" t="s">
        <v>215</v>
      </c>
      <c r="H674" s="40">
        <v>500</v>
      </c>
      <c r="I674" s="39">
        <f>IF(My_Payment[[#This Row],[Payment_Code]]="S",My_Payment[[#This Row],[Total AMT]]/2,IF(My_Payment[[#This Row],[Payment_Code]]="P",My_Payment[[#This Row],[Total AMT]],0))</f>
        <v>500</v>
      </c>
      <c r="J674" s="39">
        <f>IF(My_Payment[[#This Row],[Payment_Code]]="S",My_Payment[[#This Row],[Total AMT]]/2,IF(My_Payment[[#This Row],[Payment_Code]]="N",My_Payment[[#This Row],[Total AMT]],0))</f>
        <v>0</v>
      </c>
    </row>
    <row r="675" spans="1:10">
      <c r="A675" s="38">
        <v>45046</v>
      </c>
      <c r="B675" s="37" t="s">
        <v>305</v>
      </c>
      <c r="C675" s="37" t="s">
        <v>226</v>
      </c>
      <c r="D675" s="37" t="s">
        <v>421</v>
      </c>
      <c r="E675" s="37" t="s">
        <v>211</v>
      </c>
      <c r="F675" s="38">
        <v>45084</v>
      </c>
      <c r="G675" s="37" t="s">
        <v>212</v>
      </c>
      <c r="H675" s="40">
        <v>1204</v>
      </c>
      <c r="I675" s="39">
        <f>IF(My_Payment[[#This Row],[Payment_Code]]="S",My_Payment[[#This Row],[Total AMT]]/2,IF(My_Payment[[#This Row],[Payment_Code]]="P",My_Payment[[#This Row],[Total AMT]],0))</f>
        <v>602</v>
      </c>
      <c r="J675" s="39">
        <f>IF(My_Payment[[#This Row],[Payment_Code]]="S",My_Payment[[#This Row],[Total AMT]]/2,IF(My_Payment[[#This Row],[Payment_Code]]="N",My_Payment[[#This Row],[Total AMT]],0))</f>
        <v>602</v>
      </c>
    </row>
    <row r="676" spans="1:10">
      <c r="A676" s="38">
        <v>45051</v>
      </c>
      <c r="B676" s="37" t="s">
        <v>305</v>
      </c>
      <c r="C676" s="37" t="s">
        <v>226</v>
      </c>
      <c r="D676" s="37" t="s">
        <v>33</v>
      </c>
      <c r="E676" s="37" t="s">
        <v>211</v>
      </c>
      <c r="F676" s="38">
        <v>45084</v>
      </c>
      <c r="G676" s="37" t="s">
        <v>215</v>
      </c>
      <c r="H676" s="40">
        <v>472.5</v>
      </c>
      <c r="I676" s="39">
        <f>IF(My_Payment[[#This Row],[Payment_Code]]="S",My_Payment[[#This Row],[Total AMT]]/2,IF(My_Payment[[#This Row],[Payment_Code]]="P",My_Payment[[#This Row],[Total AMT]],0))</f>
        <v>472.5</v>
      </c>
      <c r="J676" s="39">
        <f>IF(My_Payment[[#This Row],[Payment_Code]]="S",My_Payment[[#This Row],[Total AMT]]/2,IF(My_Payment[[#This Row],[Payment_Code]]="N",My_Payment[[#This Row],[Total AMT]],0))</f>
        <v>0</v>
      </c>
    </row>
    <row r="677" spans="1:10">
      <c r="A677" s="38">
        <v>45069</v>
      </c>
      <c r="B677" s="37" t="s">
        <v>354</v>
      </c>
      <c r="C677" s="37" t="s">
        <v>248</v>
      </c>
      <c r="D677" s="37" t="s">
        <v>356</v>
      </c>
      <c r="E677" s="37" t="s">
        <v>211</v>
      </c>
      <c r="F677" s="38">
        <v>45108</v>
      </c>
      <c r="G677" s="37" t="s">
        <v>215</v>
      </c>
      <c r="H677" s="40">
        <v>228</v>
      </c>
      <c r="I677" s="39">
        <f>IF(My_Payment[[#This Row],[Payment_Code]]="S",My_Payment[[#This Row],[Total AMT]]/2,IF(My_Payment[[#This Row],[Payment_Code]]="P",My_Payment[[#This Row],[Total AMT]],0))</f>
        <v>228</v>
      </c>
      <c r="J677" s="39">
        <f>IF(My_Payment[[#This Row],[Payment_Code]]="S",My_Payment[[#This Row],[Total AMT]]/2,IF(My_Payment[[#This Row],[Payment_Code]]="N",My_Payment[[#This Row],[Total AMT]],0))</f>
        <v>0</v>
      </c>
    </row>
    <row r="678" spans="1:10">
      <c r="A678" s="38">
        <v>45070</v>
      </c>
      <c r="B678" s="37" t="s">
        <v>354</v>
      </c>
      <c r="C678" s="37" t="s">
        <v>248</v>
      </c>
      <c r="D678" s="37" t="s">
        <v>356</v>
      </c>
      <c r="E678" s="37" t="s">
        <v>211</v>
      </c>
      <c r="F678" s="38">
        <v>45108</v>
      </c>
      <c r="G678" s="37" t="s">
        <v>215</v>
      </c>
      <c r="H678" s="40">
        <v>114</v>
      </c>
      <c r="I678" s="39">
        <f>IF(My_Payment[[#This Row],[Payment_Code]]="S",My_Payment[[#This Row],[Total AMT]]/2,IF(My_Payment[[#This Row],[Payment_Code]]="P",My_Payment[[#This Row],[Total AMT]],0))</f>
        <v>114</v>
      </c>
      <c r="J678" s="39">
        <f>IF(My_Payment[[#This Row],[Payment_Code]]="S",My_Payment[[#This Row],[Total AMT]]/2,IF(My_Payment[[#This Row],[Payment_Code]]="N",My_Payment[[#This Row],[Total AMT]],0))</f>
        <v>0</v>
      </c>
    </row>
    <row r="679" spans="1:10">
      <c r="A679" s="38">
        <v>45070</v>
      </c>
      <c r="B679" s="37" t="s">
        <v>357</v>
      </c>
      <c r="C679" s="37" t="s">
        <v>248</v>
      </c>
      <c r="D679" s="37" t="s">
        <v>422</v>
      </c>
      <c r="E679" s="37" t="s">
        <v>211</v>
      </c>
      <c r="F679" s="38">
        <v>45082</v>
      </c>
      <c r="G679" s="37" t="s">
        <v>215</v>
      </c>
      <c r="H679" s="40">
        <v>116</v>
      </c>
      <c r="I679" s="39">
        <f>IF(My_Payment[[#This Row],[Payment_Code]]="S",My_Payment[[#This Row],[Total AMT]]/2,IF(My_Payment[[#This Row],[Payment_Code]]="P",My_Payment[[#This Row],[Total AMT]],0))</f>
        <v>116</v>
      </c>
      <c r="J679" s="39">
        <f>IF(My_Payment[[#This Row],[Payment_Code]]="S",My_Payment[[#This Row],[Total AMT]]/2,IF(My_Payment[[#This Row],[Payment_Code]]="N",My_Payment[[#This Row],[Total AMT]],0))</f>
        <v>0</v>
      </c>
    </row>
    <row r="680" spans="1:10">
      <c r="A680" s="38">
        <v>45088</v>
      </c>
      <c r="B680" s="37" t="s">
        <v>208</v>
      </c>
      <c r="C680" s="37" t="s">
        <v>209</v>
      </c>
      <c r="D680" s="37" t="s">
        <v>140</v>
      </c>
      <c r="E680" s="37" t="s">
        <v>211</v>
      </c>
      <c r="F680" s="38">
        <v>45140</v>
      </c>
      <c r="G680" s="37" t="s">
        <v>212</v>
      </c>
      <c r="H680" s="40">
        <v>535.25</v>
      </c>
      <c r="I680" s="39">
        <v>321.25</v>
      </c>
      <c r="J680" s="39">
        <v>214</v>
      </c>
    </row>
    <row r="681" spans="1:10">
      <c r="A681" s="38">
        <v>45116</v>
      </c>
      <c r="B681" s="37" t="s">
        <v>208</v>
      </c>
      <c r="C681" s="37" t="s">
        <v>209</v>
      </c>
      <c r="D681" s="37" t="s">
        <v>217</v>
      </c>
      <c r="E681" s="37" t="s">
        <v>211</v>
      </c>
      <c r="F681" s="38">
        <v>45140</v>
      </c>
      <c r="G681" s="37" t="s">
        <v>212</v>
      </c>
      <c r="H681" s="40">
        <v>630</v>
      </c>
      <c r="I681" s="39">
        <v>414</v>
      </c>
      <c r="J681" s="39">
        <v>216</v>
      </c>
    </row>
    <row r="682" spans="1:10">
      <c r="A682" s="38">
        <v>45116</v>
      </c>
      <c r="B682" s="37" t="s">
        <v>208</v>
      </c>
      <c r="C682" s="37" t="s">
        <v>209</v>
      </c>
      <c r="D682" s="37" t="s">
        <v>217</v>
      </c>
      <c r="E682" s="37" t="s">
        <v>211</v>
      </c>
      <c r="F682" s="38">
        <v>45140</v>
      </c>
      <c r="G682" s="37" t="s">
        <v>212</v>
      </c>
      <c r="H682" s="40">
        <v>1305.5</v>
      </c>
      <c r="I682" s="39">
        <v>657.25</v>
      </c>
      <c r="J682" s="39">
        <v>648.25</v>
      </c>
    </row>
    <row r="683" spans="1:10">
      <c r="A683" s="38">
        <v>45082</v>
      </c>
      <c r="B683" s="37" t="s">
        <v>225</v>
      </c>
      <c r="C683" s="37" t="s">
        <v>226</v>
      </c>
      <c r="D683" s="37" t="s">
        <v>423</v>
      </c>
      <c r="E683" s="37" t="s">
        <v>211</v>
      </c>
      <c r="F683" s="38">
        <v>45129</v>
      </c>
      <c r="G683" s="37" t="s">
        <v>215</v>
      </c>
      <c r="H683" s="40">
        <v>1783.91</v>
      </c>
      <c r="I683" s="39">
        <f>IF(My_Payment[[#This Row],[Payment_Code]]="S",My_Payment[[#This Row],[Total AMT]]/2,IF(My_Payment[[#This Row],[Payment_Code]]="P",My_Payment[[#This Row],[Total AMT]],0))</f>
        <v>1783.91</v>
      </c>
      <c r="J683" s="39">
        <f>IF(My_Payment[[#This Row],[Payment_Code]]="S",My_Payment[[#This Row],[Total AMT]]/2,IF(My_Payment[[#This Row],[Payment_Code]]="N",My_Payment[[#This Row],[Total AMT]],0))</f>
        <v>0</v>
      </c>
    </row>
    <row r="684" spans="1:10">
      <c r="A684" s="38">
        <v>45082</v>
      </c>
      <c r="B684" s="37" t="s">
        <v>225</v>
      </c>
      <c r="C684" s="37" t="s">
        <v>226</v>
      </c>
      <c r="D684" s="37" t="s">
        <v>424</v>
      </c>
      <c r="E684" s="37" t="s">
        <v>211</v>
      </c>
      <c r="F684" s="38">
        <v>45129</v>
      </c>
      <c r="G684" s="37" t="s">
        <v>212</v>
      </c>
      <c r="H684" s="40">
        <v>1320.5</v>
      </c>
      <c r="I684" s="39">
        <f>IF(My_Payment[[#This Row],[Payment_Code]]="S",My_Payment[[#This Row],[Total AMT]]/2,IF(My_Payment[[#This Row],[Payment_Code]]="P",My_Payment[[#This Row],[Total AMT]],0))</f>
        <v>660.25</v>
      </c>
      <c r="J684" s="39">
        <f>IF(My_Payment[[#This Row],[Payment_Code]]="S",My_Payment[[#This Row],[Total AMT]]/2,IF(My_Payment[[#This Row],[Payment_Code]]="N",My_Payment[[#This Row],[Total AMT]],0))</f>
        <v>660.25</v>
      </c>
    </row>
    <row r="685" spans="1:10">
      <c r="A685" s="38">
        <v>45082</v>
      </c>
      <c r="B685" s="37" t="s">
        <v>225</v>
      </c>
      <c r="C685" s="37" t="s">
        <v>226</v>
      </c>
      <c r="D685" s="37" t="s">
        <v>425</v>
      </c>
      <c r="E685" s="37" t="s">
        <v>211</v>
      </c>
      <c r="F685" s="38">
        <v>45129</v>
      </c>
      <c r="G685" s="37" t="s">
        <v>3</v>
      </c>
      <c r="H685" s="40">
        <v>2365.5</v>
      </c>
      <c r="I685" s="39">
        <f>IF(My_Payment[[#This Row],[Payment_Code]]="S",My_Payment[[#This Row],[Total AMT]]/2,IF(My_Payment[[#This Row],[Payment_Code]]="P",My_Payment[[#This Row],[Total AMT]],0))</f>
        <v>0</v>
      </c>
      <c r="J685" s="39">
        <f>IF(My_Payment[[#This Row],[Payment_Code]]="S",My_Payment[[#This Row],[Total AMT]]/2,IF(My_Payment[[#This Row],[Payment_Code]]="N",My_Payment[[#This Row],[Total AMT]],0))</f>
        <v>2365.5</v>
      </c>
    </row>
    <row r="686" spans="1:10">
      <c r="A686" s="38">
        <v>45088</v>
      </c>
      <c r="B686" s="37" t="s">
        <v>225</v>
      </c>
      <c r="C686" s="37" t="s">
        <v>226</v>
      </c>
      <c r="D686" s="37" t="s">
        <v>426</v>
      </c>
      <c r="E686" s="37" t="s">
        <v>211</v>
      </c>
      <c r="F686" s="38">
        <v>45129</v>
      </c>
      <c r="G686" s="37" t="s">
        <v>212</v>
      </c>
      <c r="H686" s="40">
        <v>571</v>
      </c>
      <c r="I686" s="39">
        <f>291+140</f>
        <v>431</v>
      </c>
      <c r="J686" s="39">
        <f>280-140</f>
        <v>140</v>
      </c>
    </row>
    <row r="687" spans="1:10">
      <c r="A687" s="38">
        <v>45065</v>
      </c>
      <c r="B687" s="37" t="s">
        <v>305</v>
      </c>
      <c r="C687" s="37" t="s">
        <v>226</v>
      </c>
      <c r="D687" s="37" t="s">
        <v>33</v>
      </c>
      <c r="E687" s="37" t="s">
        <v>211</v>
      </c>
      <c r="F687" s="38">
        <v>45114</v>
      </c>
      <c r="G687" s="37" t="s">
        <v>215</v>
      </c>
      <c r="H687" s="40">
        <v>121.8</v>
      </c>
      <c r="I687" s="39">
        <f>IF(My_Payment[[#This Row],[Payment_Code]]="S",My_Payment[[#This Row],[Total AMT]]/2,IF(My_Payment[[#This Row],[Payment_Code]]="P",My_Payment[[#This Row],[Total AMT]],0))</f>
        <v>121.8</v>
      </c>
      <c r="J687" s="39">
        <f>IF(My_Payment[[#This Row],[Payment_Code]]="S",My_Payment[[#This Row],[Total AMT]]/2,IF(My_Payment[[#This Row],[Payment_Code]]="N",My_Payment[[#This Row],[Total AMT]],0))</f>
        <v>0</v>
      </c>
    </row>
    <row r="688" spans="1:10">
      <c r="A688" s="38">
        <v>45073</v>
      </c>
      <c r="B688" s="37" t="s">
        <v>305</v>
      </c>
      <c r="C688" s="37" t="s">
        <v>226</v>
      </c>
      <c r="D688" s="37" t="s">
        <v>332</v>
      </c>
      <c r="E688" s="37" t="s">
        <v>211</v>
      </c>
      <c r="F688" s="38">
        <v>45114</v>
      </c>
      <c r="G688" s="37" t="s">
        <v>215</v>
      </c>
      <c r="H688" s="40">
        <v>1604</v>
      </c>
      <c r="I688" s="39">
        <f>IF(My_Payment[[#This Row],[Payment_Code]]="S",My_Payment[[#This Row],[Total AMT]]/2,IF(My_Payment[[#This Row],[Payment_Code]]="P",My_Payment[[#This Row],[Total AMT]],0))</f>
        <v>1604</v>
      </c>
      <c r="J688" s="39">
        <f>IF(My_Payment[[#This Row],[Payment_Code]]="S",My_Payment[[#This Row],[Total AMT]]/2,IF(My_Payment[[#This Row],[Payment_Code]]="N",My_Payment[[#This Row],[Total AMT]],0))</f>
        <v>0</v>
      </c>
    </row>
    <row r="689" spans="1:16">
      <c r="A689" s="38">
        <v>45109</v>
      </c>
      <c r="B689" s="37" t="s">
        <v>305</v>
      </c>
      <c r="C689" s="37" t="s">
        <v>226</v>
      </c>
      <c r="D689" s="37" t="s">
        <v>33</v>
      </c>
      <c r="E689" s="37" t="s">
        <v>211</v>
      </c>
      <c r="F689" s="38">
        <v>45145</v>
      </c>
      <c r="G689" s="37" t="s">
        <v>215</v>
      </c>
      <c r="H689" s="40">
        <v>1195</v>
      </c>
      <c r="I689" s="39">
        <f>IF(My_Payment[[#This Row],[Payment_Code]]="S",My_Payment[[#This Row],[Total AMT]]/2,IF(My_Payment[[#This Row],[Payment_Code]]="P",My_Payment[[#This Row],[Total AMT]],0))</f>
        <v>1195</v>
      </c>
      <c r="J689" s="39">
        <f>IF(My_Payment[[#This Row],[Payment_Code]]="S",My_Payment[[#This Row],[Total AMT]]/2,IF(My_Payment[[#This Row],[Payment_Code]]="N",My_Payment[[#This Row],[Total AMT]],0))</f>
        <v>0</v>
      </c>
    </row>
    <row r="690" spans="1:16">
      <c r="A690" s="38">
        <v>45102</v>
      </c>
      <c r="B690" s="37" t="s">
        <v>305</v>
      </c>
      <c r="C690" s="37" t="s">
        <v>226</v>
      </c>
      <c r="D690" s="37" t="s">
        <v>427</v>
      </c>
      <c r="E690" s="37" t="s">
        <v>211</v>
      </c>
      <c r="F690" s="38">
        <v>45145</v>
      </c>
      <c r="G690" s="37" t="s">
        <v>212</v>
      </c>
      <c r="H690" s="40">
        <v>910</v>
      </c>
      <c r="I690" s="39">
        <f>IF(My_Payment[[#This Row],[Payment_Code]]="S",My_Payment[[#This Row],[Total AMT]]/2,IF(My_Payment[[#This Row],[Payment_Code]]="P",My_Payment[[#This Row],[Total AMT]],0))</f>
        <v>455</v>
      </c>
      <c r="J690" s="39">
        <f>IF(My_Payment[[#This Row],[Payment_Code]]="S",My_Payment[[#This Row],[Total AMT]]/2,IF(My_Payment[[#This Row],[Payment_Code]]="N",My_Payment[[#This Row],[Total AMT]],0))</f>
        <v>455</v>
      </c>
    </row>
    <row r="691" spans="1:16">
      <c r="A691" s="38">
        <v>45115</v>
      </c>
      <c r="B691" s="37" t="s">
        <v>345</v>
      </c>
      <c r="C691" s="37" t="s">
        <v>248</v>
      </c>
      <c r="D691" s="37" t="s">
        <v>428</v>
      </c>
      <c r="E691" s="37" t="s">
        <v>415</v>
      </c>
      <c r="F691" s="38">
        <v>45140</v>
      </c>
      <c r="G691" s="37" t="s">
        <v>215</v>
      </c>
      <c r="H691" s="40">
        <v>997.5</v>
      </c>
      <c r="I691" s="39">
        <f>IF(My_Payment[[#This Row],[Payment_Code]]="S",My_Payment[[#This Row],[Total AMT]]/2,IF(My_Payment[[#This Row],[Payment_Code]]="P",My_Payment[[#This Row],[Total AMT]],0))</f>
        <v>997.5</v>
      </c>
      <c r="J691" s="39">
        <f>IF(My_Payment[[#This Row],[Payment_Code]]="S",My_Payment[[#This Row],[Total AMT]]/2,IF(My_Payment[[#This Row],[Payment_Code]]="N",My_Payment[[#This Row],[Total AMT]],0))</f>
        <v>0</v>
      </c>
    </row>
    <row r="692" spans="1:16">
      <c r="A692" s="38">
        <v>45146</v>
      </c>
      <c r="B692" s="37" t="s">
        <v>345</v>
      </c>
      <c r="C692" s="37" t="s">
        <v>248</v>
      </c>
      <c r="D692" s="37" t="s">
        <v>428</v>
      </c>
      <c r="E692" s="37" t="s">
        <v>416</v>
      </c>
      <c r="F692" s="38">
        <v>45171</v>
      </c>
      <c r="G692" s="37" t="s">
        <v>215</v>
      </c>
      <c r="H692" s="40">
        <v>997.5</v>
      </c>
      <c r="I692" s="39">
        <f>IF(My_Payment[[#This Row],[Payment_Code]]="S",My_Payment[[#This Row],[Total AMT]]/2,IF(My_Payment[[#This Row],[Payment_Code]]="P",My_Payment[[#This Row],[Total AMT]],0))</f>
        <v>997.5</v>
      </c>
      <c r="J692" s="39">
        <f>IF(My_Payment[[#This Row],[Payment_Code]]="S",My_Payment[[#This Row],[Total AMT]]/2,IF(My_Payment[[#This Row],[Payment_Code]]="N",My_Payment[[#This Row],[Total AMT]],0))</f>
        <v>0</v>
      </c>
    </row>
    <row r="693" spans="1:16">
      <c r="A693" s="38">
        <v>45177</v>
      </c>
      <c r="B693" s="37" t="s">
        <v>345</v>
      </c>
      <c r="C693" s="37" t="s">
        <v>248</v>
      </c>
      <c r="D693" s="37" t="s">
        <v>428</v>
      </c>
      <c r="E693" s="37" t="s">
        <v>417</v>
      </c>
      <c r="F693" s="38">
        <v>45201</v>
      </c>
      <c r="G693" s="37" t="s">
        <v>215</v>
      </c>
      <c r="H693" s="40">
        <v>997.5</v>
      </c>
      <c r="I693" s="39">
        <f>IF(My_Payment[[#This Row],[Payment_Code]]="S",My_Payment[[#This Row],[Total AMT]]/2,IF(My_Payment[[#This Row],[Payment_Code]]="P",My_Payment[[#This Row],[Total AMT]],0))</f>
        <v>997.5</v>
      </c>
      <c r="J693" s="39">
        <f>IF(My_Payment[[#This Row],[Payment_Code]]="S",My_Payment[[#This Row],[Total AMT]]/2,IF(My_Payment[[#This Row],[Payment_Code]]="N",My_Payment[[#This Row],[Total AMT]],0))</f>
        <v>0</v>
      </c>
      <c r="P693" s="47"/>
    </row>
    <row r="694" spans="1:16">
      <c r="A694" s="38">
        <v>45207</v>
      </c>
      <c r="B694" s="37" t="s">
        <v>345</v>
      </c>
      <c r="C694" s="37" t="s">
        <v>248</v>
      </c>
      <c r="D694" s="37" t="s">
        <v>428</v>
      </c>
      <c r="E694" s="37" t="s">
        <v>418</v>
      </c>
      <c r="F694" s="38">
        <v>45232</v>
      </c>
      <c r="G694" s="37" t="s">
        <v>215</v>
      </c>
      <c r="H694" s="40">
        <v>997.5</v>
      </c>
      <c r="I694" s="39">
        <f>IF(My_Payment[[#This Row],[Payment_Code]]="S",My_Payment[[#This Row],[Total AMT]]/2,IF(My_Payment[[#This Row],[Payment_Code]]="P",My_Payment[[#This Row],[Total AMT]],0))</f>
        <v>997.5</v>
      </c>
      <c r="J694" s="39">
        <f>IF(My_Payment[[#This Row],[Payment_Code]]="S",My_Payment[[#This Row],[Total AMT]]/2,IF(My_Payment[[#This Row],[Payment_Code]]="N",My_Payment[[#This Row],[Total AMT]],0))</f>
        <v>0</v>
      </c>
    </row>
    <row r="695" spans="1:16">
      <c r="A695" s="38">
        <v>45105</v>
      </c>
      <c r="B695" s="37" t="s">
        <v>354</v>
      </c>
      <c r="C695" s="37" t="s">
        <v>248</v>
      </c>
      <c r="D695" s="37" t="s">
        <v>356</v>
      </c>
      <c r="E695" s="37" t="s">
        <v>211</v>
      </c>
      <c r="F695" s="38">
        <v>45139</v>
      </c>
      <c r="G695" s="37" t="s">
        <v>215</v>
      </c>
      <c r="H695" s="40">
        <v>338</v>
      </c>
      <c r="I695" s="39">
        <f>IF(My_Payment[[#This Row],[Payment_Code]]="S",My_Payment[[#This Row],[Total AMT]]/2,IF(My_Payment[[#This Row],[Payment_Code]]="P",My_Payment[[#This Row],[Total AMT]],0))</f>
        <v>338</v>
      </c>
      <c r="J695" s="39">
        <f>IF(My_Payment[[#This Row],[Payment_Code]]="S",My_Payment[[#This Row],[Total AMT]]/2,IF(My_Payment[[#This Row],[Payment_Code]]="N",My_Payment[[#This Row],[Total AMT]],0))</f>
        <v>0</v>
      </c>
    </row>
    <row r="696" spans="1:16">
      <c r="A696" s="38">
        <v>45115</v>
      </c>
      <c r="B696" s="37" t="s">
        <v>357</v>
      </c>
      <c r="C696" s="37" t="s">
        <v>248</v>
      </c>
      <c r="D696" s="37" t="s">
        <v>429</v>
      </c>
      <c r="E696" s="37" t="s">
        <v>211</v>
      </c>
      <c r="F696" s="38">
        <v>45143</v>
      </c>
      <c r="G696" s="37" t="s">
        <v>215</v>
      </c>
      <c r="H696" s="40">
        <v>356</v>
      </c>
      <c r="I696" s="39">
        <f>IF(My_Payment[[#This Row],[Payment_Code]]="S",My_Payment[[#This Row],[Total AMT]]/2,IF(My_Payment[[#This Row],[Payment_Code]]="P",My_Payment[[#This Row],[Total AMT]],0))</f>
        <v>356</v>
      </c>
      <c r="J696" s="39">
        <f>IF(My_Payment[[#This Row],[Payment_Code]]="S",My_Payment[[#This Row],[Total AMT]]/2,IF(My_Payment[[#This Row],[Payment_Code]]="N",My_Payment[[#This Row],[Total AMT]],0))</f>
        <v>0</v>
      </c>
    </row>
    <row r="697" spans="1:16">
      <c r="A697" s="38">
        <v>45123</v>
      </c>
      <c r="B697" s="37" t="s">
        <v>208</v>
      </c>
      <c r="C697" s="37" t="s">
        <v>209</v>
      </c>
      <c r="D697" s="37" t="s">
        <v>419</v>
      </c>
      <c r="E697" s="37" t="s">
        <v>211</v>
      </c>
      <c r="F697" s="38">
        <v>45171</v>
      </c>
      <c r="G697" s="37" t="s">
        <v>212</v>
      </c>
      <c r="H697" s="40">
        <v>838</v>
      </c>
      <c r="I697" s="39">
        <f>IF(My_Payment[[#This Row],[Payment_Code]]="S",My_Payment[[#This Row],[Total AMT]]/2,IF(My_Payment[[#This Row],[Payment_Code]]="P",My_Payment[[#This Row],[Total AMT]],0))</f>
        <v>419</v>
      </c>
      <c r="J697" s="39">
        <f>IF(My_Payment[[#This Row],[Payment_Code]]="S",My_Payment[[#This Row],[Total AMT]]/2,IF(My_Payment[[#This Row],[Payment_Code]]="N",My_Payment[[#This Row],[Total AMT]],0))</f>
        <v>419</v>
      </c>
    </row>
    <row r="698" spans="1:16">
      <c r="A698" s="38">
        <v>45123</v>
      </c>
      <c r="B698" s="37" t="s">
        <v>208</v>
      </c>
      <c r="C698" s="37" t="s">
        <v>209</v>
      </c>
      <c r="D698" s="37" t="s">
        <v>234</v>
      </c>
      <c r="E698" s="37" t="s">
        <v>211</v>
      </c>
      <c r="F698" s="38">
        <v>45171</v>
      </c>
      <c r="G698" s="37" t="s">
        <v>212</v>
      </c>
      <c r="H698" s="40">
        <v>427.5</v>
      </c>
      <c r="I698" s="39">
        <v>223.75</v>
      </c>
      <c r="J698" s="39">
        <v>203.75</v>
      </c>
    </row>
    <row r="699" spans="1:16">
      <c r="A699" s="38">
        <v>45132</v>
      </c>
      <c r="B699" s="37" t="s">
        <v>305</v>
      </c>
      <c r="C699" s="37" t="s">
        <v>226</v>
      </c>
      <c r="D699" s="37" t="s">
        <v>33</v>
      </c>
      <c r="E699" s="37" t="s">
        <v>211</v>
      </c>
      <c r="F699" s="38">
        <v>45176</v>
      </c>
      <c r="G699" s="37" t="s">
        <v>215</v>
      </c>
      <c r="H699" s="40">
        <v>189</v>
      </c>
      <c r="I699" s="39">
        <f>IF(My_Payment[[#This Row],[Payment_Code]]="S",My_Payment[[#This Row],[Total AMT]]/2,IF(My_Payment[[#This Row],[Payment_Code]]="P",My_Payment[[#This Row],[Total AMT]],0))</f>
        <v>189</v>
      </c>
      <c r="J699" s="39">
        <f>IF(My_Payment[[#This Row],[Payment_Code]]="S",My_Payment[[#This Row],[Total AMT]]/2,IF(My_Payment[[#This Row],[Payment_Code]]="N",My_Payment[[#This Row],[Total AMT]],0))</f>
        <v>0</v>
      </c>
    </row>
    <row r="700" spans="1:16">
      <c r="A700" s="38">
        <v>45135</v>
      </c>
      <c r="B700" s="37" t="s">
        <v>305</v>
      </c>
      <c r="C700" s="37" t="s">
        <v>226</v>
      </c>
      <c r="D700" s="37" t="s">
        <v>214</v>
      </c>
      <c r="E700" s="37" t="s">
        <v>211</v>
      </c>
      <c r="F700" s="38">
        <v>45176</v>
      </c>
      <c r="G700" s="37" t="s">
        <v>215</v>
      </c>
      <c r="H700" s="40">
        <v>1350</v>
      </c>
      <c r="I700" s="39">
        <f>IF(My_Payment[[#This Row],[Payment_Code]]="S",My_Payment[[#This Row],[Total AMT]]/2,IF(My_Payment[[#This Row],[Payment_Code]]="P",My_Payment[[#This Row],[Total AMT]],0))</f>
        <v>1350</v>
      </c>
      <c r="J700" s="39">
        <f>IF(My_Payment[[#This Row],[Payment_Code]]="S",My_Payment[[#This Row],[Total AMT]]/2,IF(My_Payment[[#This Row],[Payment_Code]]="N",My_Payment[[#This Row],[Total AMT]],0))</f>
        <v>0</v>
      </c>
    </row>
    <row r="701" spans="1:16">
      <c r="A701" s="38">
        <v>45136</v>
      </c>
      <c r="B701" s="37" t="s">
        <v>305</v>
      </c>
      <c r="C701" s="37" t="s">
        <v>226</v>
      </c>
      <c r="D701" s="37" t="s">
        <v>33</v>
      </c>
      <c r="E701" s="37" t="s">
        <v>211</v>
      </c>
      <c r="F701" s="38">
        <v>45176</v>
      </c>
      <c r="G701" s="37" t="s">
        <v>215</v>
      </c>
      <c r="H701" s="40">
        <v>179</v>
      </c>
      <c r="I701" s="39">
        <f>IF(My_Payment[[#This Row],[Payment_Code]]="S",My_Payment[[#This Row],[Total AMT]]/2,IF(My_Payment[[#This Row],[Payment_Code]]="P",My_Payment[[#This Row],[Total AMT]],0))</f>
        <v>179</v>
      </c>
      <c r="J701" s="39">
        <f>IF(My_Payment[[#This Row],[Payment_Code]]="S",My_Payment[[#This Row],[Total AMT]]/2,IF(My_Payment[[#This Row],[Payment_Code]]="N",My_Payment[[#This Row],[Total AMT]],0))</f>
        <v>0</v>
      </c>
    </row>
    <row r="702" spans="1:16">
      <c r="A702" s="38">
        <v>45136</v>
      </c>
      <c r="B702" s="37" t="s">
        <v>305</v>
      </c>
      <c r="C702" s="37" t="s">
        <v>226</v>
      </c>
      <c r="D702" s="37" t="s">
        <v>33</v>
      </c>
      <c r="E702" s="37" t="s">
        <v>211</v>
      </c>
      <c r="F702" s="38">
        <v>45176</v>
      </c>
      <c r="G702" s="37" t="s">
        <v>215</v>
      </c>
      <c r="H702" s="40">
        <v>198.6</v>
      </c>
      <c r="I702" s="39">
        <f>IF(My_Payment[[#This Row],[Payment_Code]]="S",My_Payment[[#This Row],[Total AMT]]/2,IF(My_Payment[[#This Row],[Payment_Code]]="P",My_Payment[[#This Row],[Total AMT]],0))</f>
        <v>198.6</v>
      </c>
      <c r="J702" s="39">
        <f>IF(My_Payment[[#This Row],[Payment_Code]]="S",My_Payment[[#This Row],[Total AMT]]/2,IF(My_Payment[[#This Row],[Payment_Code]]="N",My_Payment[[#This Row],[Total AMT]],0))</f>
        <v>0</v>
      </c>
    </row>
    <row r="703" spans="1:16">
      <c r="A703" s="38">
        <v>45139</v>
      </c>
      <c r="B703" s="37" t="s">
        <v>305</v>
      </c>
      <c r="C703" s="37" t="s">
        <v>226</v>
      </c>
      <c r="D703" s="37" t="s">
        <v>430</v>
      </c>
      <c r="E703" s="37" t="s">
        <v>211</v>
      </c>
      <c r="F703" s="38">
        <v>45176</v>
      </c>
      <c r="G703" s="37" t="s">
        <v>212</v>
      </c>
      <c r="H703" s="40">
        <v>10246.32</v>
      </c>
      <c r="I703" s="39">
        <f>IF(My_Payment[[#This Row],[Payment_Code]]="S",My_Payment[[#This Row],[Total AMT]]/2,IF(My_Payment[[#This Row],[Payment_Code]]="P",My_Payment[[#This Row],[Total AMT]],0))</f>
        <v>5123.16</v>
      </c>
      <c r="J703" s="39">
        <f>IF(My_Payment[[#This Row],[Payment_Code]]="S",My_Payment[[#This Row],[Total AMT]]/2,IF(My_Payment[[#This Row],[Payment_Code]]="N",My_Payment[[#This Row],[Total AMT]],0))</f>
        <v>5123.16</v>
      </c>
    </row>
    <row r="704" spans="1:16">
      <c r="A704" s="38">
        <v>45134</v>
      </c>
      <c r="B704" s="37" t="s">
        <v>357</v>
      </c>
      <c r="C704" s="37" t="s">
        <v>248</v>
      </c>
      <c r="D704" s="37" t="s">
        <v>431</v>
      </c>
      <c r="E704" s="37" t="s">
        <v>211</v>
      </c>
      <c r="F704" s="38">
        <v>45174</v>
      </c>
      <c r="G704" s="37" t="s">
        <v>215</v>
      </c>
      <c r="H704" s="40">
        <v>328</v>
      </c>
      <c r="I704" s="39">
        <f>IF(My_Payment[[#This Row],[Payment_Code]]="S",My_Payment[[#This Row],[Total AMT]]/2,IF(My_Payment[[#This Row],[Payment_Code]]="P",My_Payment[[#This Row],[Total AMT]],0))</f>
        <v>328</v>
      </c>
      <c r="J704" s="39">
        <f>IF(My_Payment[[#This Row],[Payment_Code]]="S",My_Payment[[#This Row],[Total AMT]]/2,IF(My_Payment[[#This Row],[Payment_Code]]="N",My_Payment[[#This Row],[Total AMT]],0))</f>
        <v>0</v>
      </c>
    </row>
    <row r="705" spans="1:10">
      <c r="A705" s="38">
        <v>45179</v>
      </c>
      <c r="B705" s="37" t="s">
        <v>208</v>
      </c>
      <c r="C705" s="37" t="s">
        <v>209</v>
      </c>
      <c r="D705" s="37" t="s">
        <v>217</v>
      </c>
      <c r="E705" s="37" t="s">
        <v>211</v>
      </c>
      <c r="F705" s="38">
        <v>45232</v>
      </c>
      <c r="G705" s="37" t="s">
        <v>212</v>
      </c>
      <c r="H705" s="40">
        <v>1978.75</v>
      </c>
      <c r="I705" s="39">
        <v>1185.75</v>
      </c>
      <c r="J705" s="39">
        <v>793</v>
      </c>
    </row>
    <row r="706" spans="1:10">
      <c r="A706" s="38">
        <v>45171</v>
      </c>
      <c r="B706" s="37" t="s">
        <v>225</v>
      </c>
      <c r="C706" s="37" t="s">
        <v>226</v>
      </c>
      <c r="D706" s="37" t="s">
        <v>432</v>
      </c>
      <c r="E706" s="37" t="s">
        <v>211</v>
      </c>
      <c r="F706" s="38">
        <v>45191</v>
      </c>
      <c r="G706" s="37" t="s">
        <v>215</v>
      </c>
      <c r="H706" s="40">
        <v>2850</v>
      </c>
      <c r="I706" s="39">
        <f>IF(My_Payment[[#This Row],[Payment_Code]]="S",My_Payment[[#This Row],[Total AMT]]/2,IF(My_Payment[[#This Row],[Payment_Code]]="P",My_Payment[[#This Row],[Total AMT]],0))</f>
        <v>2850</v>
      </c>
      <c r="J706" s="39">
        <f>IF(My_Payment[[#This Row],[Payment_Code]]="S",My_Payment[[#This Row],[Total AMT]]/2,IF(My_Payment[[#This Row],[Payment_Code]]="N",My_Payment[[#This Row],[Total AMT]],0))</f>
        <v>0</v>
      </c>
    </row>
    <row r="707" spans="1:10">
      <c r="A707" s="38">
        <v>45176</v>
      </c>
      <c r="B707" s="37" t="s">
        <v>247</v>
      </c>
      <c r="C707" s="37" t="s">
        <v>248</v>
      </c>
      <c r="D707" s="37" t="s">
        <v>433</v>
      </c>
      <c r="E707" s="37" t="s">
        <v>275</v>
      </c>
      <c r="F707" s="38">
        <v>45200</v>
      </c>
      <c r="H707" s="40">
        <v>1527.16</v>
      </c>
      <c r="I707" s="39">
        <f>IF(My_Payment[[#This Row],[Payment_Code]]="S",My_Payment[[#This Row],[Total AMT]]/2,IF(My_Payment[[#This Row],[Payment_Code]]="P",My_Payment[[#This Row],[Total AMT]],0))</f>
        <v>0</v>
      </c>
      <c r="J707" s="39">
        <f>IF(My_Payment[[#This Row],[Payment_Code]]="S",My_Payment[[#This Row],[Total AMT]]/2,IF(My_Payment[[#This Row],[Payment_Code]]="N",My_Payment[[#This Row],[Total AMT]],0))</f>
        <v>0</v>
      </c>
    </row>
    <row r="708" spans="1:10">
      <c r="A708" s="38">
        <v>45206</v>
      </c>
      <c r="B708" s="37" t="s">
        <v>247</v>
      </c>
      <c r="C708" s="37" t="s">
        <v>248</v>
      </c>
      <c r="D708" s="37" t="s">
        <v>433</v>
      </c>
      <c r="E708" s="37" t="s">
        <v>276</v>
      </c>
      <c r="F708" s="38">
        <v>45231</v>
      </c>
      <c r="H708" s="40">
        <v>1527.08</v>
      </c>
      <c r="I708" s="39">
        <f>IF(My_Payment[[#This Row],[Payment_Code]]="S",My_Payment[[#This Row],[Total AMT]]/2,IF(My_Payment[[#This Row],[Payment_Code]]="P",My_Payment[[#This Row],[Total AMT]],0))</f>
        <v>0</v>
      </c>
      <c r="J708" s="39">
        <f>IF(My_Payment[[#This Row],[Payment_Code]]="S",My_Payment[[#This Row],[Total AMT]]/2,IF(My_Payment[[#This Row],[Payment_Code]]="N",My_Payment[[#This Row],[Total AMT]],0))</f>
        <v>0</v>
      </c>
    </row>
    <row r="709" spans="1:10">
      <c r="A709" s="38">
        <v>45237</v>
      </c>
      <c r="B709" s="37" t="s">
        <v>247</v>
      </c>
      <c r="C709" s="37" t="s">
        <v>248</v>
      </c>
      <c r="D709" s="37" t="s">
        <v>433</v>
      </c>
      <c r="E709" s="37" t="s">
        <v>277</v>
      </c>
      <c r="F709" s="38">
        <v>45261</v>
      </c>
      <c r="H709" s="40">
        <v>1527.08</v>
      </c>
      <c r="I709" s="39">
        <f>IF(My_Payment[[#This Row],[Payment_Code]]="S",My_Payment[[#This Row],[Total AMT]]/2,IF(My_Payment[[#This Row],[Payment_Code]]="P",My_Payment[[#This Row],[Total AMT]],0))</f>
        <v>0</v>
      </c>
      <c r="J709" s="39">
        <f>IF(My_Payment[[#This Row],[Payment_Code]]="S",My_Payment[[#This Row],[Total AMT]]/2,IF(My_Payment[[#This Row],[Payment_Code]]="N",My_Payment[[#This Row],[Total AMT]],0))</f>
        <v>0</v>
      </c>
    </row>
    <row r="710" spans="1:10">
      <c r="A710" s="38">
        <v>45267</v>
      </c>
      <c r="B710" s="37" t="s">
        <v>247</v>
      </c>
      <c r="C710" s="37" t="s">
        <v>248</v>
      </c>
      <c r="D710" s="37" t="s">
        <v>433</v>
      </c>
      <c r="E710" s="37" t="s">
        <v>278</v>
      </c>
      <c r="F710" s="38">
        <v>45292</v>
      </c>
      <c r="H710" s="40">
        <v>1527.08</v>
      </c>
      <c r="I710" s="39">
        <f>IF(My_Payment[[#This Row],[Payment_Code]]="S",My_Payment[[#This Row],[Total AMT]]/2,IF(My_Payment[[#This Row],[Payment_Code]]="P",My_Payment[[#This Row],[Total AMT]],0))</f>
        <v>0</v>
      </c>
      <c r="J710" s="39">
        <f>IF(My_Payment[[#This Row],[Payment_Code]]="S",My_Payment[[#This Row],[Total AMT]]/2,IF(My_Payment[[#This Row],[Payment_Code]]="N",My_Payment[[#This Row],[Total AMT]],0))</f>
        <v>0</v>
      </c>
    </row>
    <row r="711" spans="1:10">
      <c r="A711" s="38">
        <v>45298</v>
      </c>
      <c r="B711" s="37" t="s">
        <v>247</v>
      </c>
      <c r="C711" s="37" t="s">
        <v>248</v>
      </c>
      <c r="D711" s="37" t="s">
        <v>433</v>
      </c>
      <c r="E711" s="37" t="s">
        <v>279</v>
      </c>
      <c r="F711" s="38">
        <v>45323</v>
      </c>
      <c r="H711" s="40">
        <v>1527.08</v>
      </c>
      <c r="I711" s="39">
        <f>IF(My_Payment[[#This Row],[Payment_Code]]="S",My_Payment[[#This Row],[Total AMT]]/2,IF(My_Payment[[#This Row],[Payment_Code]]="P",My_Payment[[#This Row],[Total AMT]],0))</f>
        <v>0</v>
      </c>
      <c r="J711" s="39">
        <f>IF(My_Payment[[#This Row],[Payment_Code]]="S",My_Payment[[#This Row],[Total AMT]]/2,IF(My_Payment[[#This Row],[Payment_Code]]="N",My_Payment[[#This Row],[Total AMT]],0))</f>
        <v>0</v>
      </c>
    </row>
    <row r="712" spans="1:10">
      <c r="A712" s="38">
        <v>45329</v>
      </c>
      <c r="B712" s="37" t="s">
        <v>247</v>
      </c>
      <c r="C712" s="37" t="s">
        <v>248</v>
      </c>
      <c r="D712" s="37" t="s">
        <v>433</v>
      </c>
      <c r="E712" s="37" t="s">
        <v>280</v>
      </c>
      <c r="F712" s="38">
        <v>45352</v>
      </c>
      <c r="H712" s="40">
        <v>1527.08</v>
      </c>
      <c r="I712" s="39">
        <f>IF(My_Payment[[#This Row],[Payment_Code]]="S",My_Payment[[#This Row],[Total AMT]]/2,IF(My_Payment[[#This Row],[Payment_Code]]="P",My_Payment[[#This Row],[Total AMT]],0))</f>
        <v>0</v>
      </c>
      <c r="J712" s="39">
        <f>IF(My_Payment[[#This Row],[Payment_Code]]="S",My_Payment[[#This Row],[Total AMT]]/2,IF(My_Payment[[#This Row],[Payment_Code]]="N",My_Payment[[#This Row],[Total AMT]],0))</f>
        <v>0</v>
      </c>
    </row>
    <row r="713" spans="1:10">
      <c r="A713" s="38">
        <v>45358</v>
      </c>
      <c r="B713" s="37" t="s">
        <v>247</v>
      </c>
      <c r="C713" s="37" t="s">
        <v>248</v>
      </c>
      <c r="D713" s="37" t="s">
        <v>433</v>
      </c>
      <c r="E713" s="37" t="s">
        <v>281</v>
      </c>
      <c r="F713" s="38">
        <v>45383</v>
      </c>
      <c r="H713" s="40">
        <v>1527.08</v>
      </c>
      <c r="I713" s="39">
        <f>IF(My_Payment[[#This Row],[Payment_Code]]="S",My_Payment[[#This Row],[Total AMT]]/2,IF(My_Payment[[#This Row],[Payment_Code]]="P",My_Payment[[#This Row],[Total AMT]],0))</f>
        <v>0</v>
      </c>
      <c r="J713" s="39">
        <f>IF(My_Payment[[#This Row],[Payment_Code]]="S",My_Payment[[#This Row],[Total AMT]]/2,IF(My_Payment[[#This Row],[Payment_Code]]="N",My_Payment[[#This Row],[Total AMT]],0))</f>
        <v>0</v>
      </c>
    </row>
    <row r="714" spans="1:10">
      <c r="A714" s="38">
        <v>45389</v>
      </c>
      <c r="B714" s="37" t="s">
        <v>298</v>
      </c>
      <c r="C714" s="37" t="s">
        <v>299</v>
      </c>
      <c r="D714" s="37" t="s">
        <v>433</v>
      </c>
      <c r="E714" s="37" t="s">
        <v>282</v>
      </c>
      <c r="F714" s="38">
        <v>45413</v>
      </c>
      <c r="H714" s="40">
        <v>1527.08</v>
      </c>
      <c r="I714" s="39">
        <f>IF(My_Payment[[#This Row],[Payment_Code]]="S",My_Payment[[#This Row],[Total AMT]]/2,IF(My_Payment[[#This Row],[Payment_Code]]="P",My_Payment[[#This Row],[Total AMT]],0))</f>
        <v>0</v>
      </c>
      <c r="J714" s="39">
        <f>IF(My_Payment[[#This Row],[Payment_Code]]="S",My_Payment[[#This Row],[Total AMT]]/2,IF(My_Payment[[#This Row],[Payment_Code]]="N",My_Payment[[#This Row],[Total AMT]],0))</f>
        <v>0</v>
      </c>
    </row>
    <row r="715" spans="1:10">
      <c r="A715" s="38">
        <v>45419</v>
      </c>
      <c r="B715" s="37" t="s">
        <v>298</v>
      </c>
      <c r="C715" s="37" t="s">
        <v>299</v>
      </c>
      <c r="D715" s="37" t="s">
        <v>433</v>
      </c>
      <c r="E715" s="37" t="s">
        <v>283</v>
      </c>
      <c r="F715" s="38">
        <v>45444</v>
      </c>
      <c r="H715" s="40">
        <v>1527.08</v>
      </c>
      <c r="I715" s="39">
        <f>IF(My_Payment[[#This Row],[Payment_Code]]="S",My_Payment[[#This Row],[Total AMT]]/2,IF(My_Payment[[#This Row],[Payment_Code]]="P",My_Payment[[#This Row],[Total AMT]],0))</f>
        <v>0</v>
      </c>
      <c r="J715" s="39">
        <f>IF(My_Payment[[#This Row],[Payment_Code]]="S",My_Payment[[#This Row],[Total AMT]]/2,IF(My_Payment[[#This Row],[Payment_Code]]="N",My_Payment[[#This Row],[Total AMT]],0))</f>
        <v>0</v>
      </c>
    </row>
    <row r="716" spans="1:10">
      <c r="A716" s="38">
        <v>45450</v>
      </c>
      <c r="B716" s="37" t="s">
        <v>298</v>
      </c>
      <c r="C716" s="37" t="s">
        <v>299</v>
      </c>
      <c r="D716" s="37" t="s">
        <v>433</v>
      </c>
      <c r="E716" s="37" t="s">
        <v>284</v>
      </c>
      <c r="F716" s="38">
        <v>45474</v>
      </c>
      <c r="H716" s="40">
        <v>1527.08</v>
      </c>
      <c r="I716" s="39">
        <f>IF(My_Payment[[#This Row],[Payment_Code]]="S",My_Payment[[#This Row],[Total AMT]]/2,IF(My_Payment[[#This Row],[Payment_Code]]="P",My_Payment[[#This Row],[Total AMT]],0))</f>
        <v>0</v>
      </c>
      <c r="J716" s="39">
        <f>IF(My_Payment[[#This Row],[Payment_Code]]="S",My_Payment[[#This Row],[Total AMT]]/2,IF(My_Payment[[#This Row],[Payment_Code]]="N",My_Payment[[#This Row],[Total AMT]],0))</f>
        <v>0</v>
      </c>
    </row>
    <row r="717" spans="1:10">
      <c r="A717" s="38">
        <v>45480</v>
      </c>
      <c r="B717" s="37" t="s">
        <v>298</v>
      </c>
      <c r="C717" s="37" t="s">
        <v>299</v>
      </c>
      <c r="D717" s="37" t="s">
        <v>433</v>
      </c>
      <c r="E717" s="37" t="s">
        <v>285</v>
      </c>
      <c r="F717" s="38">
        <v>45505</v>
      </c>
      <c r="H717" s="40">
        <v>1527.08</v>
      </c>
      <c r="I717" s="39">
        <f>IF(My_Payment[[#This Row],[Payment_Code]]="S",My_Payment[[#This Row],[Total AMT]]/2,IF(My_Payment[[#This Row],[Payment_Code]]="P",My_Payment[[#This Row],[Total AMT]],0))</f>
        <v>0</v>
      </c>
      <c r="J717" s="39">
        <f>IF(My_Payment[[#This Row],[Payment_Code]]="S",My_Payment[[#This Row],[Total AMT]]/2,IF(My_Payment[[#This Row],[Payment_Code]]="N",My_Payment[[#This Row],[Total AMT]],0))</f>
        <v>0</v>
      </c>
    </row>
    <row r="718" spans="1:10">
      <c r="A718" s="38">
        <v>45511</v>
      </c>
      <c r="B718" s="37" t="s">
        <v>298</v>
      </c>
      <c r="C718" s="37" t="s">
        <v>299</v>
      </c>
      <c r="D718" s="37" t="s">
        <v>433</v>
      </c>
      <c r="E718" s="37" t="s">
        <v>286</v>
      </c>
      <c r="F718" s="38">
        <v>45536</v>
      </c>
      <c r="H718" s="40">
        <v>1527.08</v>
      </c>
      <c r="I718" s="39">
        <f>IF(My_Payment[[#This Row],[Payment_Code]]="S",My_Payment[[#This Row],[Total AMT]]/2,IF(My_Payment[[#This Row],[Payment_Code]]="P",My_Payment[[#This Row],[Total AMT]],0))</f>
        <v>0</v>
      </c>
      <c r="J718" s="39">
        <f>IF(My_Payment[[#This Row],[Payment_Code]]="S",My_Payment[[#This Row],[Total AMT]]/2,IF(My_Payment[[#This Row],[Payment_Code]]="N",My_Payment[[#This Row],[Total AMT]],0))</f>
        <v>0</v>
      </c>
    </row>
    <row r="719" spans="1:10">
      <c r="A719" s="38">
        <v>45542</v>
      </c>
      <c r="B719" s="37" t="s">
        <v>298</v>
      </c>
      <c r="C719" s="37" t="s">
        <v>299</v>
      </c>
      <c r="D719" s="37" t="s">
        <v>433</v>
      </c>
      <c r="E719" s="37" t="s">
        <v>287</v>
      </c>
      <c r="F719" s="38">
        <v>45566</v>
      </c>
      <c r="H719" s="40">
        <v>1527.08</v>
      </c>
      <c r="I719" s="39">
        <f>IF(My_Payment[[#This Row],[Payment_Code]]="S",My_Payment[[#This Row],[Total AMT]]/2,IF(My_Payment[[#This Row],[Payment_Code]]="P",My_Payment[[#This Row],[Total AMT]],0))</f>
        <v>0</v>
      </c>
      <c r="J719" s="39">
        <f>IF(My_Payment[[#This Row],[Payment_Code]]="S",My_Payment[[#This Row],[Total AMT]]/2,IF(My_Payment[[#This Row],[Payment_Code]]="N",My_Payment[[#This Row],[Total AMT]],0))</f>
        <v>0</v>
      </c>
    </row>
    <row r="720" spans="1:10">
      <c r="A720" s="38">
        <v>45572</v>
      </c>
      <c r="B720" s="37" t="s">
        <v>298</v>
      </c>
      <c r="C720" s="37" t="s">
        <v>299</v>
      </c>
      <c r="D720" s="37" t="s">
        <v>433</v>
      </c>
      <c r="E720" s="37" t="s">
        <v>288</v>
      </c>
      <c r="F720" s="38">
        <v>45597</v>
      </c>
      <c r="H720" s="40">
        <v>1527.08</v>
      </c>
      <c r="I720" s="39">
        <f>IF(My_Payment[[#This Row],[Payment_Code]]="S",My_Payment[[#This Row],[Total AMT]]/2,IF(My_Payment[[#This Row],[Payment_Code]]="P",My_Payment[[#This Row],[Total AMT]],0))</f>
        <v>0</v>
      </c>
      <c r="J720" s="39">
        <f>IF(My_Payment[[#This Row],[Payment_Code]]="S",My_Payment[[#This Row],[Total AMT]]/2,IF(My_Payment[[#This Row],[Payment_Code]]="N",My_Payment[[#This Row],[Total AMT]],0))</f>
        <v>0</v>
      </c>
    </row>
    <row r="721" spans="1:10">
      <c r="A721" s="38">
        <v>45603</v>
      </c>
      <c r="B721" s="37" t="s">
        <v>298</v>
      </c>
      <c r="C721" s="37" t="s">
        <v>299</v>
      </c>
      <c r="D721" s="37" t="s">
        <v>433</v>
      </c>
      <c r="E721" s="37" t="s">
        <v>289</v>
      </c>
      <c r="F721" s="38">
        <v>45627</v>
      </c>
      <c r="H721" s="40">
        <v>1527.08</v>
      </c>
      <c r="I721" s="39">
        <f>IF(My_Payment[[#This Row],[Payment_Code]]="S",My_Payment[[#This Row],[Total AMT]]/2,IF(My_Payment[[#This Row],[Payment_Code]]="P",My_Payment[[#This Row],[Total AMT]],0))</f>
        <v>0</v>
      </c>
      <c r="J721" s="39">
        <f>IF(My_Payment[[#This Row],[Payment_Code]]="S",My_Payment[[#This Row],[Total AMT]]/2,IF(My_Payment[[#This Row],[Payment_Code]]="N",My_Payment[[#This Row],[Total AMT]],0))</f>
        <v>0</v>
      </c>
    </row>
    <row r="722" spans="1:10">
      <c r="A722" s="38">
        <v>45633</v>
      </c>
      <c r="B722" s="37" t="s">
        <v>298</v>
      </c>
      <c r="C722" s="37" t="s">
        <v>299</v>
      </c>
      <c r="D722" s="37" t="s">
        <v>433</v>
      </c>
      <c r="E722" s="37" t="s">
        <v>290</v>
      </c>
      <c r="F722" s="38">
        <v>45658</v>
      </c>
      <c r="H722" s="40">
        <v>1527.08</v>
      </c>
      <c r="I722" s="39">
        <f>IF(My_Payment[[#This Row],[Payment_Code]]="S",My_Payment[[#This Row],[Total AMT]]/2,IF(My_Payment[[#This Row],[Payment_Code]]="P",My_Payment[[#This Row],[Total AMT]],0))</f>
        <v>0</v>
      </c>
      <c r="J722" s="39">
        <f>IF(My_Payment[[#This Row],[Payment_Code]]="S",My_Payment[[#This Row],[Total AMT]]/2,IF(My_Payment[[#This Row],[Payment_Code]]="N",My_Payment[[#This Row],[Total AMT]],0))</f>
        <v>0</v>
      </c>
    </row>
    <row r="723" spans="1:10">
      <c r="A723" s="38">
        <v>45664</v>
      </c>
      <c r="B723" s="37" t="s">
        <v>298</v>
      </c>
      <c r="C723" s="37" t="s">
        <v>299</v>
      </c>
      <c r="D723" s="37" t="s">
        <v>433</v>
      </c>
      <c r="E723" s="37" t="s">
        <v>291</v>
      </c>
      <c r="F723" s="38">
        <v>45689</v>
      </c>
      <c r="H723" s="40">
        <v>1527.08</v>
      </c>
      <c r="I723" s="39">
        <f>IF(My_Payment[[#This Row],[Payment_Code]]="S",My_Payment[[#This Row],[Total AMT]]/2,IF(My_Payment[[#This Row],[Payment_Code]]="P",My_Payment[[#This Row],[Total AMT]],0))</f>
        <v>0</v>
      </c>
      <c r="J723" s="39">
        <f>IF(My_Payment[[#This Row],[Payment_Code]]="S",My_Payment[[#This Row],[Total AMT]]/2,IF(My_Payment[[#This Row],[Payment_Code]]="N",My_Payment[[#This Row],[Total AMT]],0))</f>
        <v>0</v>
      </c>
    </row>
    <row r="724" spans="1:10">
      <c r="A724" s="38">
        <v>45695</v>
      </c>
      <c r="B724" s="37" t="s">
        <v>298</v>
      </c>
      <c r="C724" s="37" t="s">
        <v>299</v>
      </c>
      <c r="D724" s="37" t="s">
        <v>433</v>
      </c>
      <c r="E724" s="37" t="s">
        <v>292</v>
      </c>
      <c r="F724" s="38">
        <v>45717</v>
      </c>
      <c r="H724" s="40">
        <v>1527.08</v>
      </c>
      <c r="I724" s="39">
        <f>IF(My_Payment[[#This Row],[Payment_Code]]="S",My_Payment[[#This Row],[Total AMT]]/2,IF(My_Payment[[#This Row],[Payment_Code]]="P",My_Payment[[#This Row],[Total AMT]],0))</f>
        <v>0</v>
      </c>
      <c r="J724" s="39">
        <f>IF(My_Payment[[#This Row],[Payment_Code]]="S",My_Payment[[#This Row],[Total AMT]]/2,IF(My_Payment[[#This Row],[Payment_Code]]="N",My_Payment[[#This Row],[Total AMT]],0))</f>
        <v>0</v>
      </c>
    </row>
    <row r="725" spans="1:10">
      <c r="A725" s="38">
        <v>45723</v>
      </c>
      <c r="B725" s="37" t="s">
        <v>298</v>
      </c>
      <c r="C725" s="37" t="s">
        <v>299</v>
      </c>
      <c r="D725" s="37" t="s">
        <v>433</v>
      </c>
      <c r="E725" s="37" t="s">
        <v>293</v>
      </c>
      <c r="F725" s="38">
        <v>45748</v>
      </c>
      <c r="H725" s="40">
        <v>1527.08</v>
      </c>
      <c r="I725" s="39">
        <f>IF(My_Payment[[#This Row],[Payment_Code]]="S",My_Payment[[#This Row],[Total AMT]]/2,IF(My_Payment[[#This Row],[Payment_Code]]="P",My_Payment[[#This Row],[Total AMT]],0))</f>
        <v>0</v>
      </c>
      <c r="J725" s="39">
        <f>IF(My_Payment[[#This Row],[Payment_Code]]="S",My_Payment[[#This Row],[Total AMT]]/2,IF(My_Payment[[#This Row],[Payment_Code]]="N",My_Payment[[#This Row],[Total AMT]],0))</f>
        <v>0</v>
      </c>
    </row>
    <row r="726" spans="1:10">
      <c r="A726" s="38">
        <v>45754</v>
      </c>
      <c r="B726" s="37" t="s">
        <v>298</v>
      </c>
      <c r="C726" s="37" t="s">
        <v>299</v>
      </c>
      <c r="D726" s="37" t="s">
        <v>433</v>
      </c>
      <c r="E726" s="37" t="s">
        <v>294</v>
      </c>
      <c r="F726" s="38">
        <v>45778</v>
      </c>
      <c r="H726" s="40">
        <v>1527.08</v>
      </c>
      <c r="I726" s="39">
        <f>IF(My_Payment[[#This Row],[Payment_Code]]="S",My_Payment[[#This Row],[Total AMT]]/2,IF(My_Payment[[#This Row],[Payment_Code]]="P",My_Payment[[#This Row],[Total AMT]],0))</f>
        <v>0</v>
      </c>
      <c r="J726" s="39">
        <f>IF(My_Payment[[#This Row],[Payment_Code]]="S",My_Payment[[#This Row],[Total AMT]]/2,IF(My_Payment[[#This Row],[Payment_Code]]="N",My_Payment[[#This Row],[Total AMT]],0))</f>
        <v>0</v>
      </c>
    </row>
    <row r="727" spans="1:10">
      <c r="A727" s="38">
        <v>45784</v>
      </c>
      <c r="B727" s="37" t="s">
        <v>298</v>
      </c>
      <c r="C727" s="37" t="s">
        <v>299</v>
      </c>
      <c r="D727" s="37" t="s">
        <v>433</v>
      </c>
      <c r="E727" s="37" t="s">
        <v>295</v>
      </c>
      <c r="F727" s="38">
        <v>45809</v>
      </c>
      <c r="H727" s="40">
        <v>1527.08</v>
      </c>
      <c r="I727" s="39">
        <f>IF(My_Payment[[#This Row],[Payment_Code]]="S",My_Payment[[#This Row],[Total AMT]]/2,IF(My_Payment[[#This Row],[Payment_Code]]="P",My_Payment[[#This Row],[Total AMT]],0))</f>
        <v>0</v>
      </c>
      <c r="J727" s="39">
        <f>IF(My_Payment[[#This Row],[Payment_Code]]="S",My_Payment[[#This Row],[Total AMT]]/2,IF(My_Payment[[#This Row],[Payment_Code]]="N",My_Payment[[#This Row],[Total AMT]],0))</f>
        <v>0</v>
      </c>
    </row>
    <row r="728" spans="1:10">
      <c r="A728" s="38">
        <v>45815</v>
      </c>
      <c r="B728" s="37" t="s">
        <v>298</v>
      </c>
      <c r="C728" s="37" t="s">
        <v>299</v>
      </c>
      <c r="D728" s="37" t="s">
        <v>433</v>
      </c>
      <c r="E728" s="37" t="s">
        <v>296</v>
      </c>
      <c r="F728" s="38">
        <v>45839</v>
      </c>
      <c r="H728" s="40">
        <v>1527.08</v>
      </c>
      <c r="I728" s="39">
        <f>IF(My_Payment[[#This Row],[Payment_Code]]="S",My_Payment[[#This Row],[Total AMT]]/2,IF(My_Payment[[#This Row],[Payment_Code]]="P",My_Payment[[#This Row],[Total AMT]],0))</f>
        <v>0</v>
      </c>
      <c r="J728" s="39">
        <f>IF(My_Payment[[#This Row],[Payment_Code]]="S",My_Payment[[#This Row],[Total AMT]]/2,IF(My_Payment[[#This Row],[Payment_Code]]="N",My_Payment[[#This Row],[Total AMT]],0))</f>
        <v>0</v>
      </c>
    </row>
    <row r="729" spans="1:10">
      <c r="A729" s="38">
        <v>45845</v>
      </c>
      <c r="B729" s="37" t="s">
        <v>298</v>
      </c>
      <c r="C729" s="37" t="s">
        <v>299</v>
      </c>
      <c r="D729" s="37" t="s">
        <v>433</v>
      </c>
      <c r="E729" s="37" t="s">
        <v>297</v>
      </c>
      <c r="F729" s="38">
        <v>45870</v>
      </c>
      <c r="H729" s="40">
        <v>1527.08</v>
      </c>
      <c r="I729" s="39">
        <f>IF(My_Payment[[#This Row],[Payment_Code]]="S",My_Payment[[#This Row],[Total AMT]]/2,IF(My_Payment[[#This Row],[Payment_Code]]="P",My_Payment[[#This Row],[Total AMT]],0))</f>
        <v>0</v>
      </c>
      <c r="J729" s="39">
        <f>IF(My_Payment[[#This Row],[Payment_Code]]="S",My_Payment[[#This Row],[Total AMT]]/2,IF(My_Payment[[#This Row],[Payment_Code]]="N",My_Payment[[#This Row],[Total AMT]],0))</f>
        <v>0</v>
      </c>
    </row>
    <row r="730" spans="1:10">
      <c r="A730" s="38">
        <v>45876</v>
      </c>
      <c r="B730" s="37" t="s">
        <v>298</v>
      </c>
      <c r="C730" s="37" t="s">
        <v>299</v>
      </c>
      <c r="D730" s="37" t="s">
        <v>433</v>
      </c>
      <c r="E730" s="37" t="s">
        <v>252</v>
      </c>
      <c r="F730" s="38">
        <v>45901</v>
      </c>
      <c r="H730" s="40">
        <v>1527.08</v>
      </c>
      <c r="I730" s="39">
        <f>IF(My_Payment[[#This Row],[Payment_Code]]="S",My_Payment[[#This Row],[Total AMT]]/2,IF(My_Payment[[#This Row],[Payment_Code]]="P",My_Payment[[#This Row],[Total AMT]],0))</f>
        <v>0</v>
      </c>
      <c r="J730" s="39">
        <f>IF(My_Payment[[#This Row],[Payment_Code]]="S",My_Payment[[#This Row],[Total AMT]]/2,IF(My_Payment[[#This Row],[Payment_Code]]="N",My_Payment[[#This Row],[Total AMT]],0))</f>
        <v>0</v>
      </c>
    </row>
    <row r="731" spans="1:10">
      <c r="A731" s="38">
        <v>45158</v>
      </c>
      <c r="B731" s="37" t="s">
        <v>305</v>
      </c>
      <c r="C731" s="37" t="s">
        <v>226</v>
      </c>
      <c r="D731" s="37" t="s">
        <v>372</v>
      </c>
      <c r="E731" s="37" t="s">
        <v>211</v>
      </c>
      <c r="F731" s="38">
        <v>45206</v>
      </c>
      <c r="G731" s="37" t="s">
        <v>212</v>
      </c>
      <c r="H731" s="40">
        <v>660</v>
      </c>
      <c r="I731" s="39">
        <f>IF(My_Payment[[#This Row],[Payment_Code]]="S",My_Payment[[#This Row],[Total AMT]]/2,IF(My_Payment[[#This Row],[Payment_Code]]="P",My_Payment[[#This Row],[Total AMT]],0))</f>
        <v>330</v>
      </c>
      <c r="J731" s="39">
        <f>IF(My_Payment[[#This Row],[Payment_Code]]="S",My_Payment[[#This Row],[Total AMT]]/2,IF(My_Payment[[#This Row],[Payment_Code]]="N",My_Payment[[#This Row],[Total AMT]],0))</f>
        <v>330</v>
      </c>
    </row>
    <row r="732" spans="1:10">
      <c r="A732" s="38">
        <v>45158</v>
      </c>
      <c r="B732" s="37" t="s">
        <v>305</v>
      </c>
      <c r="C732" s="37" t="s">
        <v>226</v>
      </c>
      <c r="D732" s="37" t="s">
        <v>331</v>
      </c>
      <c r="E732" s="37" t="s">
        <v>211</v>
      </c>
      <c r="F732" s="38">
        <v>45206</v>
      </c>
      <c r="G732" s="37" t="s">
        <v>212</v>
      </c>
      <c r="H732" s="40">
        <v>943</v>
      </c>
      <c r="I732" s="39">
        <f>IF(My_Payment[[#This Row],[Payment_Code]]="S",My_Payment[[#This Row],[Total AMT]]/2,IF(My_Payment[[#This Row],[Payment_Code]]="P",My_Payment[[#This Row],[Total AMT]],0))</f>
        <v>471.5</v>
      </c>
      <c r="J732" s="39">
        <f>IF(My_Payment[[#This Row],[Payment_Code]]="S",My_Payment[[#This Row],[Total AMT]]/2,IF(My_Payment[[#This Row],[Payment_Code]]="N",My_Payment[[#This Row],[Total AMT]],0))</f>
        <v>471.5</v>
      </c>
    </row>
    <row r="733" spans="1:10">
      <c r="A733" s="38">
        <v>45158</v>
      </c>
      <c r="B733" s="37" t="s">
        <v>305</v>
      </c>
      <c r="C733" s="37" t="s">
        <v>226</v>
      </c>
      <c r="D733" s="37" t="s">
        <v>434</v>
      </c>
      <c r="E733" s="37" t="s">
        <v>211</v>
      </c>
      <c r="F733" s="38">
        <v>45206</v>
      </c>
      <c r="G733" s="37" t="s">
        <v>212</v>
      </c>
      <c r="H733" s="40">
        <v>741.08</v>
      </c>
      <c r="I733" s="39">
        <f>IF(My_Payment[[#This Row],[Payment_Code]]="S",My_Payment[[#This Row],[Total AMT]]/2,IF(My_Payment[[#This Row],[Payment_Code]]="P",My_Payment[[#This Row],[Total AMT]],0))</f>
        <v>370.54</v>
      </c>
      <c r="J733" s="39">
        <f>IF(My_Payment[[#This Row],[Payment_Code]]="S",My_Payment[[#This Row],[Total AMT]]/2,IF(My_Payment[[#This Row],[Payment_Code]]="N",My_Payment[[#This Row],[Total AMT]],0))</f>
        <v>370.54</v>
      </c>
    </row>
    <row r="734" spans="1:10">
      <c r="A734" s="38">
        <v>45166</v>
      </c>
      <c r="B734" s="37" t="s">
        <v>305</v>
      </c>
      <c r="C734" s="37" t="s">
        <v>226</v>
      </c>
      <c r="D734" s="37" t="s">
        <v>435</v>
      </c>
      <c r="E734" s="37" t="s">
        <v>211</v>
      </c>
      <c r="F734" s="38">
        <v>45206</v>
      </c>
      <c r="G734" s="37" t="s">
        <v>215</v>
      </c>
      <c r="H734" s="40">
        <v>590</v>
      </c>
      <c r="I734" s="39">
        <f>IF(My_Payment[[#This Row],[Payment_Code]]="S",My_Payment[[#This Row],[Total AMT]]/2,IF(My_Payment[[#This Row],[Payment_Code]]="P",My_Payment[[#This Row],[Total AMT]],0))</f>
        <v>590</v>
      </c>
      <c r="J734" s="39">
        <f>IF(My_Payment[[#This Row],[Payment_Code]]="S",My_Payment[[#This Row],[Total AMT]]/2,IF(My_Payment[[#This Row],[Payment_Code]]="N",My_Payment[[#This Row],[Total AMT]],0))</f>
        <v>0</v>
      </c>
    </row>
    <row r="735" spans="1:10">
      <c r="A735" s="38">
        <v>45172</v>
      </c>
      <c r="B735" s="37" t="s">
        <v>305</v>
      </c>
      <c r="C735" s="37" t="s">
        <v>226</v>
      </c>
      <c r="D735" s="37" t="s">
        <v>233</v>
      </c>
      <c r="E735" s="37" t="s">
        <v>211</v>
      </c>
      <c r="F735" s="38">
        <v>45206</v>
      </c>
      <c r="G735" s="37" t="s">
        <v>212</v>
      </c>
      <c r="H735" s="40">
        <v>812</v>
      </c>
      <c r="I735" s="39">
        <f>IF(My_Payment[[#This Row],[Payment_Code]]="S",My_Payment[[#This Row],[Total AMT]]/2,IF(My_Payment[[#This Row],[Payment_Code]]="P",My_Payment[[#This Row],[Total AMT]],0))</f>
        <v>406</v>
      </c>
      <c r="J735" s="39">
        <f>IF(My_Payment[[#This Row],[Payment_Code]]="S",My_Payment[[#This Row],[Total AMT]]/2,IF(My_Payment[[#This Row],[Payment_Code]]="N",My_Payment[[#This Row],[Total AMT]],0))</f>
        <v>406</v>
      </c>
    </row>
    <row r="736" spans="1:10">
      <c r="A736" s="38">
        <v>45152</v>
      </c>
      <c r="B736" s="37" t="s">
        <v>357</v>
      </c>
      <c r="C736" s="37" t="s">
        <v>248</v>
      </c>
      <c r="D736" s="37" t="s">
        <v>436</v>
      </c>
      <c r="E736" s="37" t="s">
        <v>211</v>
      </c>
      <c r="F736" s="38">
        <v>45174</v>
      </c>
      <c r="G736" s="37" t="s">
        <v>215</v>
      </c>
      <c r="H736" s="40">
        <v>129</v>
      </c>
      <c r="I736" s="39">
        <f>IF(My_Payment[[#This Row],[Payment_Code]]="S",My_Payment[[#This Row],[Total AMT]]/2,IF(My_Payment[[#This Row],[Payment_Code]]="P",My_Payment[[#This Row],[Total AMT]],0))</f>
        <v>129</v>
      </c>
      <c r="J736" s="39">
        <f>IF(My_Payment[[#This Row],[Payment_Code]]="S",My_Payment[[#This Row],[Total AMT]]/2,IF(My_Payment[[#This Row],[Payment_Code]]="N",My_Payment[[#This Row],[Total AMT]],0))</f>
        <v>0</v>
      </c>
    </row>
    <row r="737" spans="1:10">
      <c r="A737" s="38">
        <v>45165</v>
      </c>
      <c r="B737" s="37" t="s">
        <v>357</v>
      </c>
      <c r="C737" s="37" t="s">
        <v>248</v>
      </c>
      <c r="D737" s="37" t="s">
        <v>437</v>
      </c>
      <c r="E737" s="37" t="s">
        <v>211</v>
      </c>
      <c r="F737" s="38">
        <v>45204</v>
      </c>
      <c r="G737" s="37" t="s">
        <v>215</v>
      </c>
      <c r="H737" s="40">
        <v>361</v>
      </c>
      <c r="I737" s="39">
        <f>IF(My_Payment[[#This Row],[Payment_Code]]="S",My_Payment[[#This Row],[Total AMT]]/2,IF(My_Payment[[#This Row],[Payment_Code]]="P",My_Payment[[#This Row],[Total AMT]],0))</f>
        <v>361</v>
      </c>
      <c r="J737" s="39">
        <f>IF(My_Payment[[#This Row],[Payment_Code]]="S",My_Payment[[#This Row],[Total AMT]]/2,IF(My_Payment[[#This Row],[Payment_Code]]="N",My_Payment[[#This Row],[Total AMT]],0))</f>
        <v>0</v>
      </c>
    </row>
    <row r="738" spans="1:10">
      <c r="A738" s="38">
        <v>45186</v>
      </c>
      <c r="B738" s="37" t="s">
        <v>305</v>
      </c>
      <c r="C738" s="37" t="s">
        <v>226</v>
      </c>
      <c r="D738" s="37" t="s">
        <v>332</v>
      </c>
      <c r="E738" s="37" t="s">
        <v>211</v>
      </c>
      <c r="F738" s="38">
        <v>45206</v>
      </c>
      <c r="G738" s="37" t="s">
        <v>212</v>
      </c>
      <c r="H738" s="40">
        <v>1260</v>
      </c>
      <c r="I738" s="39">
        <f>IF(My_Payment[[#This Row],[Payment_Code]]="S",My_Payment[[#This Row],[Total AMT]]/2,IF(My_Payment[[#This Row],[Payment_Code]]="P",My_Payment[[#This Row],[Total AMT]],0))</f>
        <v>630</v>
      </c>
      <c r="J738" s="39">
        <f>IF(My_Payment[[#This Row],[Payment_Code]]="S",My_Payment[[#This Row],[Total AMT]]/2,IF(My_Payment[[#This Row],[Payment_Code]]="N",My_Payment[[#This Row],[Total AMT]],0))</f>
        <v>630</v>
      </c>
    </row>
    <row r="739" spans="1:10">
      <c r="A739" s="38">
        <v>45186</v>
      </c>
      <c r="B739" s="37" t="s">
        <v>357</v>
      </c>
      <c r="C739" s="37" t="s">
        <v>248</v>
      </c>
      <c r="D739" s="37" t="s">
        <v>438</v>
      </c>
      <c r="E739" s="37" t="s">
        <v>211</v>
      </c>
      <c r="F739" s="38">
        <v>45204</v>
      </c>
      <c r="G739" s="37" t="s">
        <v>215</v>
      </c>
      <c r="H739" s="40">
        <v>185</v>
      </c>
      <c r="I739" s="39">
        <f>IF(My_Payment[[#This Row],[Payment_Code]]="S",My_Payment[[#This Row],[Total AMT]]/2,IF(My_Payment[[#This Row],[Payment_Code]]="P",My_Payment[[#This Row],[Total AMT]],0))</f>
        <v>185</v>
      </c>
      <c r="J739" s="39">
        <f>IF(My_Payment[[#This Row],[Payment_Code]]="S",My_Payment[[#This Row],[Total AMT]]/2,IF(My_Payment[[#This Row],[Payment_Code]]="N",My_Payment[[#This Row],[Total AMT]],0))</f>
        <v>0</v>
      </c>
    </row>
    <row r="740" spans="1:10">
      <c r="A740" s="38">
        <v>45210</v>
      </c>
      <c r="B740" s="37" t="s">
        <v>357</v>
      </c>
      <c r="C740" s="37" t="s">
        <v>248</v>
      </c>
      <c r="D740" s="37" t="s">
        <v>439</v>
      </c>
      <c r="E740" s="37" t="s">
        <v>211</v>
      </c>
      <c r="F740" s="38">
        <v>45235</v>
      </c>
      <c r="G740" s="37" t="s">
        <v>215</v>
      </c>
      <c r="H740" s="40">
        <v>441</v>
      </c>
      <c r="I740" s="39">
        <f>IF(My_Payment[[#This Row],[Payment_Code]]="S",My_Payment[[#This Row],[Total AMT]]/2,IF(My_Payment[[#This Row],[Payment_Code]]="P",My_Payment[[#This Row],[Total AMT]],0))</f>
        <v>441</v>
      </c>
      <c r="J740" s="39">
        <f>IF(My_Payment[[#This Row],[Payment_Code]]="S",My_Payment[[#This Row],[Total AMT]]/2,IF(My_Payment[[#This Row],[Payment_Code]]="N",My_Payment[[#This Row],[Total AMT]],0))</f>
        <v>0</v>
      </c>
    </row>
    <row r="741" spans="1:10">
      <c r="A741" s="38">
        <v>45210</v>
      </c>
      <c r="B741" s="37" t="s">
        <v>357</v>
      </c>
      <c r="C741" s="37" t="s">
        <v>248</v>
      </c>
      <c r="D741" s="37" t="s">
        <v>440</v>
      </c>
      <c r="E741" s="37" t="s">
        <v>324</v>
      </c>
      <c r="F741" s="38">
        <v>45235</v>
      </c>
      <c r="G741" s="37" t="s">
        <v>215</v>
      </c>
      <c r="H741" s="40">
        <v>376</v>
      </c>
      <c r="I741" s="39">
        <f>IF(My_Payment[[#This Row],[Payment_Code]]="S",My_Payment[[#This Row],[Total AMT]]/2,IF(My_Payment[[#This Row],[Payment_Code]]="P",My_Payment[[#This Row],[Total AMT]],0))</f>
        <v>376</v>
      </c>
      <c r="J741" s="39">
        <f>IF(My_Payment[[#This Row],[Payment_Code]]="S",My_Payment[[#This Row],[Total AMT]]/2,IF(My_Payment[[#This Row],[Payment_Code]]="N",My_Payment[[#This Row],[Total AMT]],0))</f>
        <v>0</v>
      </c>
    </row>
    <row r="742" spans="1:10">
      <c r="A742" s="38">
        <v>45241</v>
      </c>
      <c r="B742" s="37" t="s">
        <v>357</v>
      </c>
      <c r="C742" s="37" t="s">
        <v>248</v>
      </c>
      <c r="D742" s="37" t="s">
        <v>440</v>
      </c>
      <c r="E742" s="37" t="s">
        <v>327</v>
      </c>
      <c r="F742" s="38">
        <v>45265</v>
      </c>
      <c r="G742" s="37" t="s">
        <v>215</v>
      </c>
      <c r="H742" s="40">
        <v>376</v>
      </c>
      <c r="I742" s="39">
        <f>IF(My_Payment[[#This Row],[Payment_Code]]="S",My_Payment[[#This Row],[Total AMT]]/2,IF(My_Payment[[#This Row],[Payment_Code]]="P",My_Payment[[#This Row],[Total AMT]],0))</f>
        <v>376</v>
      </c>
      <c r="J742" s="39">
        <f>IF(My_Payment[[#This Row],[Payment_Code]]="S",My_Payment[[#This Row],[Total AMT]]/2,IF(My_Payment[[#This Row],[Payment_Code]]="N",My_Payment[[#This Row],[Total AMT]],0))</f>
        <v>0</v>
      </c>
    </row>
    <row r="743" spans="1:10">
      <c r="A743" s="38">
        <v>45242</v>
      </c>
      <c r="B743" s="37" t="s">
        <v>357</v>
      </c>
      <c r="C743" s="37" t="s">
        <v>248</v>
      </c>
      <c r="D743" s="37" t="s">
        <v>440</v>
      </c>
      <c r="E743" s="37" t="s">
        <v>80</v>
      </c>
      <c r="F743" s="38">
        <v>45296</v>
      </c>
      <c r="G743" s="37" t="s">
        <v>215</v>
      </c>
      <c r="H743" s="40">
        <v>376</v>
      </c>
      <c r="I743" s="39">
        <f>IF(My_Payment[[#This Row],[Payment_Code]]="S",My_Payment[[#This Row],[Total AMT]]/2,IF(My_Payment[[#This Row],[Payment_Code]]="P",My_Payment[[#This Row],[Total AMT]],0))</f>
        <v>376</v>
      </c>
      <c r="J743" s="39">
        <f>IF(My_Payment[[#This Row],[Payment_Code]]="S",My_Payment[[#This Row],[Total AMT]]/2,IF(My_Payment[[#This Row],[Payment_Code]]="N",My_Payment[[#This Row],[Total AMT]],0))</f>
        <v>0</v>
      </c>
    </row>
    <row r="744" spans="1:10">
      <c r="A744" s="38">
        <v>45192</v>
      </c>
      <c r="B744" s="37" t="s">
        <v>345</v>
      </c>
      <c r="C744" s="37" t="s">
        <v>248</v>
      </c>
      <c r="D744" s="37" t="s">
        <v>347</v>
      </c>
      <c r="E744" s="37" t="s">
        <v>211</v>
      </c>
      <c r="F744" s="38">
        <v>45232</v>
      </c>
      <c r="G744" s="37" t="s">
        <v>212</v>
      </c>
      <c r="H744" s="40">
        <v>17901</v>
      </c>
      <c r="I744" s="39">
        <f>IF(My_Payment[[#This Row],[Payment_Code]]="S",My_Payment[[#This Row],[Total AMT]]/2,IF(My_Payment[[#This Row],[Payment_Code]]="P",My_Payment[[#This Row],[Total AMT]],0))</f>
        <v>8950.5</v>
      </c>
      <c r="J744" s="39">
        <f>IF(My_Payment[[#This Row],[Payment_Code]]="S",My_Payment[[#This Row],[Total AMT]]/2,IF(My_Payment[[#This Row],[Payment_Code]]="N",My_Payment[[#This Row],[Total AMT]],0))</f>
        <v>8950.5</v>
      </c>
    </row>
    <row r="745" spans="1:10">
      <c r="A745" s="38">
        <v>45214</v>
      </c>
      <c r="B745" s="37" t="s">
        <v>208</v>
      </c>
      <c r="C745" s="37" t="s">
        <v>209</v>
      </c>
      <c r="D745" s="37" t="s">
        <v>441</v>
      </c>
      <c r="E745" s="37" t="s">
        <v>211</v>
      </c>
      <c r="F745" s="38">
        <v>45262</v>
      </c>
      <c r="G745" s="37" t="s">
        <v>212</v>
      </c>
      <c r="H745" s="40">
        <v>399</v>
      </c>
      <c r="I745" s="39">
        <f>IF(My_Payment[[#This Row],[Payment_Code]]="S",My_Payment[[#This Row],[Total AMT]]/2,IF(My_Payment[[#This Row],[Payment_Code]]="P",My_Payment[[#This Row],[Total AMT]],0))</f>
        <v>199.5</v>
      </c>
      <c r="J745" s="39">
        <f>IF(My_Payment[[#This Row],[Payment_Code]]="S",My_Payment[[#This Row],[Total AMT]]/2,IF(My_Payment[[#This Row],[Payment_Code]]="N",My_Payment[[#This Row],[Total AMT]],0))</f>
        <v>199.5</v>
      </c>
    </row>
    <row r="746" spans="1:10">
      <c r="A746" s="38">
        <v>45214</v>
      </c>
      <c r="B746" s="37" t="s">
        <v>208</v>
      </c>
      <c r="C746" s="37" t="s">
        <v>209</v>
      </c>
      <c r="D746" s="37" t="s">
        <v>442</v>
      </c>
      <c r="E746" s="37" t="s">
        <v>211</v>
      </c>
      <c r="F746" s="38">
        <v>45262</v>
      </c>
      <c r="G746" s="37" t="s">
        <v>212</v>
      </c>
      <c r="H746" s="40">
        <v>1119.22</v>
      </c>
      <c r="I746" s="39">
        <f>IF(My_Payment[[#This Row],[Payment_Code]]="S",My_Payment[[#This Row],[Total AMT]]/2,IF(My_Payment[[#This Row],[Payment_Code]]="P",My_Payment[[#This Row],[Total AMT]],0))</f>
        <v>559.61</v>
      </c>
      <c r="J746" s="39">
        <f>IF(My_Payment[[#This Row],[Payment_Code]]="S",My_Payment[[#This Row],[Total AMT]]/2,IF(My_Payment[[#This Row],[Payment_Code]]="N",My_Payment[[#This Row],[Total AMT]],0))</f>
        <v>559.61</v>
      </c>
    </row>
    <row r="747" spans="1:10">
      <c r="A747" s="38">
        <v>45214</v>
      </c>
      <c r="B747" s="37" t="s">
        <v>208</v>
      </c>
      <c r="C747" s="37" t="s">
        <v>209</v>
      </c>
      <c r="D747" s="37" t="s">
        <v>427</v>
      </c>
      <c r="E747" s="37" t="s">
        <v>211</v>
      </c>
      <c r="F747" s="38">
        <v>45262</v>
      </c>
      <c r="G747" s="37" t="s">
        <v>212</v>
      </c>
      <c r="H747" s="40">
        <v>680</v>
      </c>
      <c r="I747" s="39">
        <f>IF(My_Payment[[#This Row],[Payment_Code]]="S",My_Payment[[#This Row],[Total AMT]]/2,IF(My_Payment[[#This Row],[Payment_Code]]="P",My_Payment[[#This Row],[Total AMT]],0))</f>
        <v>340</v>
      </c>
      <c r="J747" s="39">
        <f>IF(My_Payment[[#This Row],[Payment_Code]]="S",My_Payment[[#This Row],[Total AMT]]/2,IF(My_Payment[[#This Row],[Payment_Code]]="N",My_Payment[[#This Row],[Total AMT]],0))</f>
        <v>340</v>
      </c>
    </row>
    <row r="748" spans="1:10">
      <c r="A748" s="38">
        <v>45221</v>
      </c>
      <c r="B748" s="37" t="s">
        <v>208</v>
      </c>
      <c r="C748" s="37" t="s">
        <v>209</v>
      </c>
      <c r="D748" s="37" t="s">
        <v>217</v>
      </c>
      <c r="E748" s="37" t="s">
        <v>211</v>
      </c>
      <c r="F748" s="38">
        <v>45262</v>
      </c>
      <c r="G748" s="37" t="s">
        <v>212</v>
      </c>
      <c r="H748" s="40">
        <v>1757.5</v>
      </c>
      <c r="I748" s="39">
        <v>897.75</v>
      </c>
      <c r="J748" s="39">
        <v>859.75</v>
      </c>
    </row>
    <row r="749" spans="1:10">
      <c r="A749" s="38">
        <v>45207</v>
      </c>
      <c r="B749" s="37" t="s">
        <v>225</v>
      </c>
      <c r="C749" s="37" t="s">
        <v>226</v>
      </c>
      <c r="D749" s="37" t="s">
        <v>443</v>
      </c>
      <c r="E749" s="37" t="s">
        <v>211</v>
      </c>
      <c r="F749" s="38">
        <v>45252</v>
      </c>
      <c r="G749" s="37" t="s">
        <v>212</v>
      </c>
      <c r="H749" s="40">
        <v>596.85</v>
      </c>
      <c r="I749" s="39">
        <f>IF(My_Payment[[#This Row],[Payment_Code]]="S",My_Payment[[#This Row],[Total AMT]]/2,IF(My_Payment[[#This Row],[Payment_Code]]="P",My_Payment[[#This Row],[Total AMT]],0))</f>
        <v>298.42500000000001</v>
      </c>
      <c r="J749" s="39">
        <f>IF(My_Payment[[#This Row],[Payment_Code]]="S",My_Payment[[#This Row],[Total AMT]]/2,IF(My_Payment[[#This Row],[Payment_Code]]="N",My_Payment[[#This Row],[Total AMT]],0))</f>
        <v>298.42500000000001</v>
      </c>
    </row>
    <row r="750" spans="1:10">
      <c r="A750" s="38">
        <v>45193</v>
      </c>
      <c r="B750" s="37" t="s">
        <v>305</v>
      </c>
      <c r="C750" s="37" t="s">
        <v>226</v>
      </c>
      <c r="D750" s="37" t="s">
        <v>444</v>
      </c>
      <c r="E750" s="37" t="s">
        <v>211</v>
      </c>
      <c r="F750" s="38">
        <v>45237</v>
      </c>
      <c r="G750" s="37" t="s">
        <v>212</v>
      </c>
      <c r="H750" s="40">
        <v>527</v>
      </c>
      <c r="I750" s="39">
        <v>265.5</v>
      </c>
      <c r="J750" s="39">
        <v>261.5</v>
      </c>
    </row>
    <row r="751" spans="1:10">
      <c r="A751" s="38">
        <v>45199</v>
      </c>
      <c r="B751" s="37" t="s">
        <v>305</v>
      </c>
      <c r="C751" s="37" t="s">
        <v>226</v>
      </c>
      <c r="D751" s="37" t="s">
        <v>33</v>
      </c>
      <c r="E751" s="37" t="s">
        <v>211</v>
      </c>
      <c r="F751" s="38">
        <v>45237</v>
      </c>
      <c r="G751" s="37" t="s">
        <v>215</v>
      </c>
      <c r="H751" s="40">
        <v>198.6</v>
      </c>
      <c r="I751" s="39">
        <f>IF(My_Payment[[#This Row],[Payment_Code]]="S",My_Payment[[#This Row],[Total AMT]]/2,IF(My_Payment[[#This Row],[Payment_Code]]="P",My_Payment[[#This Row],[Total AMT]],0))</f>
        <v>198.6</v>
      </c>
      <c r="J751" s="39">
        <f>IF(My_Payment[[#This Row],[Payment_Code]]="S",My_Payment[[#This Row],[Total AMT]]/2,IF(My_Payment[[#This Row],[Payment_Code]]="N",My_Payment[[#This Row],[Total AMT]],0))</f>
        <v>0</v>
      </c>
    </row>
    <row r="752" spans="1:10">
      <c r="A752" s="38">
        <v>45200</v>
      </c>
      <c r="B752" s="37" t="s">
        <v>305</v>
      </c>
      <c r="C752" s="37" t="s">
        <v>226</v>
      </c>
      <c r="D752" s="37" t="s">
        <v>233</v>
      </c>
      <c r="E752" s="37" t="s">
        <v>211</v>
      </c>
      <c r="F752" s="38">
        <v>45237</v>
      </c>
      <c r="G752" s="37" t="s">
        <v>212</v>
      </c>
      <c r="H752" s="40">
        <v>681</v>
      </c>
      <c r="I752" s="39">
        <f>IF(My_Payment[[#This Row],[Payment_Code]]="S",My_Payment[[#This Row],[Total AMT]]/2,IF(My_Payment[[#This Row],[Payment_Code]]="P",My_Payment[[#This Row],[Total AMT]],0))</f>
        <v>340.5</v>
      </c>
      <c r="J752" s="39">
        <f>IF(My_Payment[[#This Row],[Payment_Code]]="S",My_Payment[[#This Row],[Total AMT]]/2,IF(My_Payment[[#This Row],[Payment_Code]]="N",My_Payment[[#This Row],[Total AMT]],0))</f>
        <v>340.5</v>
      </c>
    </row>
    <row r="753" spans="1:10">
      <c r="A753" s="38">
        <v>45213</v>
      </c>
      <c r="B753" s="37" t="s">
        <v>305</v>
      </c>
      <c r="C753" s="37" t="s">
        <v>226</v>
      </c>
      <c r="D753" s="37" t="s">
        <v>33</v>
      </c>
      <c r="E753" s="37" t="s">
        <v>211</v>
      </c>
      <c r="F753" s="38">
        <v>45237</v>
      </c>
      <c r="G753" s="37" t="s">
        <v>215</v>
      </c>
      <c r="H753" s="40">
        <v>179</v>
      </c>
      <c r="I753" s="39">
        <f>IF(My_Payment[[#This Row],[Payment_Code]]="S",My_Payment[[#This Row],[Total AMT]]/2,IF(My_Payment[[#This Row],[Payment_Code]]="P",My_Payment[[#This Row],[Total AMT]],0))</f>
        <v>179</v>
      </c>
      <c r="J753" s="39">
        <f>IF(My_Payment[[#This Row],[Payment_Code]]="S",My_Payment[[#This Row],[Total AMT]]/2,IF(My_Payment[[#This Row],[Payment_Code]]="N",My_Payment[[#This Row],[Total AMT]],0))</f>
        <v>0</v>
      </c>
    </row>
    <row r="754" spans="1:10">
      <c r="A754" s="38">
        <v>45308</v>
      </c>
      <c r="B754" s="37" t="s">
        <v>373</v>
      </c>
      <c r="C754" s="37" t="s">
        <v>209</v>
      </c>
      <c r="D754" s="37" t="s">
        <v>410</v>
      </c>
      <c r="E754" s="37" t="s">
        <v>112</v>
      </c>
      <c r="F754" s="38">
        <v>45323</v>
      </c>
      <c r="G754" s="37" t="s">
        <v>215</v>
      </c>
      <c r="H754" s="40">
        <v>395.1</v>
      </c>
      <c r="I754" s="39">
        <f>IF(My_Payment[[#This Row],[Payment_Code]]="S",My_Payment[[#This Row],[Total AMT]]/2,IF(My_Payment[[#This Row],[Payment_Code]]="P",My_Payment[[#This Row],[Total AMT]],0))</f>
        <v>395.1</v>
      </c>
      <c r="J754" s="39">
        <f>IF(My_Payment[[#This Row],[Payment_Code]]="S",My_Payment[[#This Row],[Total AMT]]/2,IF(My_Payment[[#This Row],[Payment_Code]]="N",My_Payment[[#This Row],[Total AMT]],0))</f>
        <v>0</v>
      </c>
    </row>
    <row r="755" spans="1:10">
      <c r="A755" s="38">
        <v>45192</v>
      </c>
      <c r="B755" s="37" t="s">
        <v>345</v>
      </c>
      <c r="C755" s="37" t="s">
        <v>248</v>
      </c>
      <c r="D755" s="37" t="s">
        <v>347</v>
      </c>
      <c r="E755" s="37" t="s">
        <v>211</v>
      </c>
      <c r="F755" s="38">
        <v>45232</v>
      </c>
      <c r="G755" s="37" t="s">
        <v>212</v>
      </c>
      <c r="H755" s="40"/>
      <c r="I755" s="39">
        <f>IF(My_Payment[[#This Row],[Payment_Code]]="S",My_Payment[[#This Row],[Total AMT]]/2,IF(My_Payment[[#This Row],[Payment_Code]]="P",My_Payment[[#This Row],[Total AMT]],0))</f>
        <v>0</v>
      </c>
      <c r="J755" s="39">
        <v>-5000</v>
      </c>
    </row>
    <row r="756" spans="1:10">
      <c r="A756" s="38">
        <v>45249</v>
      </c>
      <c r="B756" s="37" t="s">
        <v>208</v>
      </c>
      <c r="C756" s="37" t="s">
        <v>209</v>
      </c>
      <c r="D756" s="37" t="s">
        <v>140</v>
      </c>
      <c r="E756" s="37" t="s">
        <v>211</v>
      </c>
      <c r="F756" s="38">
        <v>45293</v>
      </c>
      <c r="G756" s="37" t="s">
        <v>212</v>
      </c>
      <c r="H756" s="40">
        <v>308.25</v>
      </c>
      <c r="I756" s="39">
        <v>197.62</v>
      </c>
      <c r="J756" s="39">
        <v>110.63</v>
      </c>
    </row>
    <row r="757" spans="1:10">
      <c r="A757" s="38">
        <v>45217</v>
      </c>
      <c r="B757" s="37" t="s">
        <v>305</v>
      </c>
      <c r="C757" s="37" t="s">
        <v>226</v>
      </c>
      <c r="D757" s="37" t="s">
        <v>445</v>
      </c>
      <c r="E757" s="37" t="s">
        <v>211</v>
      </c>
      <c r="F757" s="38">
        <v>45267</v>
      </c>
      <c r="G757" s="37" t="s">
        <v>215</v>
      </c>
      <c r="H757" s="40">
        <v>892</v>
      </c>
      <c r="I757" s="39">
        <f>IF(My_Payment[[#This Row],[Payment_Code]]="S",My_Payment[[#This Row],[Total AMT]]/2,IF(My_Payment[[#This Row],[Payment_Code]]="P",My_Payment[[#This Row],[Total AMT]],0))</f>
        <v>892</v>
      </c>
      <c r="J757" s="39">
        <f>IF(My_Payment[[#This Row],[Payment_Code]]="S",My_Payment[[#This Row],[Total AMT]]/2,IF(My_Payment[[#This Row],[Payment_Code]]="N",My_Payment[[#This Row],[Total AMT]],0))</f>
        <v>0</v>
      </c>
    </row>
    <row r="758" spans="1:10">
      <c r="A758" s="38">
        <v>45221</v>
      </c>
      <c r="B758" s="37" t="s">
        <v>305</v>
      </c>
      <c r="C758" s="37" t="s">
        <v>226</v>
      </c>
      <c r="D758" s="37" t="s">
        <v>446</v>
      </c>
      <c r="E758" s="37" t="s">
        <v>211</v>
      </c>
      <c r="F758" s="38">
        <v>45267</v>
      </c>
      <c r="G758" s="37" t="s">
        <v>212</v>
      </c>
      <c r="H758" s="40">
        <v>1189</v>
      </c>
      <c r="I758" s="39">
        <f>IF(My_Payment[[#This Row],[Payment_Code]]="S",My_Payment[[#This Row],[Total AMT]]/2,IF(My_Payment[[#This Row],[Payment_Code]]="P",My_Payment[[#This Row],[Total AMT]],0))</f>
        <v>594.5</v>
      </c>
      <c r="J758" s="39">
        <f>IF(My_Payment[[#This Row],[Payment_Code]]="S",My_Payment[[#This Row],[Total AMT]]/2,IF(My_Payment[[#This Row],[Payment_Code]]="N",My_Payment[[#This Row],[Total AMT]],0))</f>
        <v>594.5</v>
      </c>
    </row>
    <row r="759" spans="1:10">
      <c r="A759" s="38">
        <v>45228</v>
      </c>
      <c r="B759" s="37" t="s">
        <v>305</v>
      </c>
      <c r="C759" s="37" t="s">
        <v>226</v>
      </c>
      <c r="D759" s="37" t="s">
        <v>233</v>
      </c>
      <c r="E759" s="37" t="s">
        <v>211</v>
      </c>
      <c r="F759" s="38">
        <v>45267</v>
      </c>
      <c r="G759" s="37" t="s">
        <v>212</v>
      </c>
      <c r="H759" s="40">
        <v>875</v>
      </c>
      <c r="I759" s="39">
        <f>IF(My_Payment[[#This Row],[Payment_Code]]="S",My_Payment[[#This Row],[Total AMT]]/2,IF(My_Payment[[#This Row],[Payment_Code]]="P",My_Payment[[#This Row],[Total AMT]],0))</f>
        <v>437.5</v>
      </c>
      <c r="J759" s="39">
        <f>IF(My_Payment[[#This Row],[Payment_Code]]="S",My_Payment[[#This Row],[Total AMT]]/2,IF(My_Payment[[#This Row],[Payment_Code]]="N",My_Payment[[#This Row],[Total AMT]],0))</f>
        <v>437.5</v>
      </c>
    </row>
    <row r="760" spans="1:10">
      <c r="A760" s="38">
        <v>45228</v>
      </c>
      <c r="B760" s="37" t="s">
        <v>305</v>
      </c>
      <c r="C760" s="37" t="s">
        <v>226</v>
      </c>
      <c r="D760" s="37" t="s">
        <v>33</v>
      </c>
      <c r="E760" s="37" t="s">
        <v>211</v>
      </c>
      <c r="F760" s="38">
        <v>45267</v>
      </c>
      <c r="G760" s="37" t="s">
        <v>215</v>
      </c>
      <c r="H760" s="40">
        <v>198.6</v>
      </c>
      <c r="I760" s="39">
        <f>IF(My_Payment[[#This Row],[Payment_Code]]="S",My_Payment[[#This Row],[Total AMT]]/2,IF(My_Payment[[#This Row],[Payment_Code]]="P",My_Payment[[#This Row],[Total AMT]],0))</f>
        <v>198.6</v>
      </c>
      <c r="J760" s="39">
        <f>IF(My_Payment[[#This Row],[Payment_Code]]="S",My_Payment[[#This Row],[Total AMT]]/2,IF(My_Payment[[#This Row],[Payment_Code]]="N",My_Payment[[#This Row],[Total AMT]],0))</f>
        <v>0</v>
      </c>
    </row>
    <row r="761" spans="1:10">
      <c r="A761" s="38">
        <v>45235</v>
      </c>
      <c r="B761" s="37" t="s">
        <v>305</v>
      </c>
      <c r="C761" s="37" t="s">
        <v>226</v>
      </c>
      <c r="D761" s="37" t="s">
        <v>316</v>
      </c>
      <c r="E761" s="37" t="s">
        <v>211</v>
      </c>
      <c r="F761" s="38">
        <v>45267</v>
      </c>
      <c r="G761" s="37" t="s">
        <v>212</v>
      </c>
      <c r="H761" s="40">
        <v>955</v>
      </c>
      <c r="I761" s="39">
        <f>IF(My_Payment[[#This Row],[Payment_Code]]="S",My_Payment[[#This Row],[Total AMT]]/2,IF(My_Payment[[#This Row],[Payment_Code]]="P",My_Payment[[#This Row],[Total AMT]],0))</f>
        <v>477.5</v>
      </c>
      <c r="J761" s="39">
        <f>IF(My_Payment[[#This Row],[Payment_Code]]="S",My_Payment[[#This Row],[Total AMT]]/2,IF(My_Payment[[#This Row],[Payment_Code]]="N",My_Payment[[#This Row],[Total AMT]],0))</f>
        <v>477.5</v>
      </c>
    </row>
    <row r="762" spans="1:10">
      <c r="A762" s="38">
        <v>45238</v>
      </c>
      <c r="B762" s="37" t="s">
        <v>305</v>
      </c>
      <c r="C762" s="37" t="s">
        <v>226</v>
      </c>
      <c r="D762" s="37" t="s">
        <v>33</v>
      </c>
      <c r="E762" s="37" t="s">
        <v>211</v>
      </c>
      <c r="F762" s="38">
        <v>45267</v>
      </c>
      <c r="G762" s="37" t="s">
        <v>215</v>
      </c>
      <c r="H762" s="40">
        <v>283.5</v>
      </c>
      <c r="I762" s="39">
        <f>IF(My_Payment[[#This Row],[Payment_Code]]="S",My_Payment[[#This Row],[Total AMT]]/2,IF(My_Payment[[#This Row],[Payment_Code]]="P",My_Payment[[#This Row],[Total AMT]],0))</f>
        <v>283.5</v>
      </c>
      <c r="J762" s="39">
        <f>IF(My_Payment[[#This Row],[Payment_Code]]="S",My_Payment[[#This Row],[Total AMT]]/2,IF(My_Payment[[#This Row],[Payment_Code]]="N",My_Payment[[#This Row],[Total AMT]],0))</f>
        <v>0</v>
      </c>
    </row>
    <row r="763" spans="1:10">
      <c r="A763" s="38">
        <v>45249</v>
      </c>
      <c r="B763" s="37" t="s">
        <v>305</v>
      </c>
      <c r="C763" s="37" t="s">
        <v>226</v>
      </c>
      <c r="D763" s="37" t="s">
        <v>214</v>
      </c>
      <c r="E763" s="37" t="s">
        <v>211</v>
      </c>
      <c r="F763" s="38">
        <v>45298</v>
      </c>
      <c r="G763" s="37" t="s">
        <v>215</v>
      </c>
      <c r="H763" s="40">
        <v>1320</v>
      </c>
      <c r="I763" s="39">
        <f>IF(My_Payment[[#This Row],[Payment_Code]]="S",My_Payment[[#This Row],[Total AMT]]/2,IF(My_Payment[[#This Row],[Payment_Code]]="P",My_Payment[[#This Row],[Total AMT]],0))</f>
        <v>1320</v>
      </c>
      <c r="J763" s="39">
        <f>IF(My_Payment[[#This Row],[Payment_Code]]="S",My_Payment[[#This Row],[Total AMT]]/2,IF(My_Payment[[#This Row],[Payment_Code]]="N",My_Payment[[#This Row],[Total AMT]],0))</f>
        <v>0</v>
      </c>
    </row>
    <row r="764" spans="1:10">
      <c r="A764" s="38">
        <v>45249</v>
      </c>
      <c r="B764" s="37" t="s">
        <v>305</v>
      </c>
      <c r="C764" s="37" t="s">
        <v>226</v>
      </c>
      <c r="D764" s="37" t="s">
        <v>447</v>
      </c>
      <c r="E764" s="37" t="s">
        <v>211</v>
      </c>
      <c r="F764" s="38">
        <v>45298</v>
      </c>
      <c r="G764" s="37" t="s">
        <v>212</v>
      </c>
      <c r="H764" s="40">
        <v>1583.07</v>
      </c>
      <c r="I764" s="39">
        <f>IF(My_Payment[[#This Row],[Payment_Code]]="S",My_Payment[[#This Row],[Total AMT]]/2,IF(My_Payment[[#This Row],[Payment_Code]]="P",My_Payment[[#This Row],[Total AMT]],0))</f>
        <v>791.53499999999997</v>
      </c>
      <c r="J764" s="39">
        <f>IF(My_Payment[[#This Row],[Payment_Code]]="S",My_Payment[[#This Row],[Total AMT]]/2,IF(My_Payment[[#This Row],[Payment_Code]]="N",My_Payment[[#This Row],[Total AMT]],0))</f>
        <v>791.53499999999997</v>
      </c>
    </row>
    <row r="765" spans="1:10">
      <c r="A765" s="38">
        <v>45250</v>
      </c>
      <c r="B765" s="37" t="s">
        <v>305</v>
      </c>
      <c r="C765" s="37" t="s">
        <v>226</v>
      </c>
      <c r="D765" s="37" t="s">
        <v>214</v>
      </c>
      <c r="E765" s="37" t="s">
        <v>211</v>
      </c>
      <c r="F765" s="38">
        <v>45298</v>
      </c>
      <c r="G765" s="37" t="s">
        <v>215</v>
      </c>
      <c r="H765" s="40">
        <v>-8</v>
      </c>
      <c r="I765" s="39">
        <f>IF(My_Payment[[#This Row],[Payment_Code]]="S",My_Payment[[#This Row],[Total AMT]]/2,IF(My_Payment[[#This Row],[Payment_Code]]="P",My_Payment[[#This Row],[Total AMT]],0))</f>
        <v>-8</v>
      </c>
      <c r="J765" s="39">
        <f>IF(My_Payment[[#This Row],[Payment_Code]]="S",My_Payment[[#This Row],[Total AMT]]/2,IF(My_Payment[[#This Row],[Payment_Code]]="N",My_Payment[[#This Row],[Total AMT]],0))</f>
        <v>0</v>
      </c>
    </row>
    <row r="766" spans="1:10">
      <c r="A766" s="38">
        <v>45247</v>
      </c>
      <c r="B766" s="37" t="s">
        <v>357</v>
      </c>
      <c r="C766" s="37" t="s">
        <v>248</v>
      </c>
      <c r="D766" s="37" t="s">
        <v>448</v>
      </c>
      <c r="E766" s="37" t="s">
        <v>211</v>
      </c>
      <c r="F766" s="38">
        <v>45265</v>
      </c>
      <c r="G766" s="37" t="s">
        <v>215</v>
      </c>
      <c r="H766" s="40">
        <v>1116</v>
      </c>
      <c r="I766" s="39">
        <f>IF(My_Payment[[#This Row],[Payment_Code]]="S",My_Payment[[#This Row],[Total AMT]]/2,IF(My_Payment[[#This Row],[Payment_Code]]="P",My_Payment[[#This Row],[Total AMT]],0))</f>
        <v>1116</v>
      </c>
      <c r="J766" s="39">
        <f>IF(My_Payment[[#This Row],[Payment_Code]]="S",My_Payment[[#This Row],[Total AMT]]/2,IF(My_Payment[[#This Row],[Payment_Code]]="N",My_Payment[[#This Row],[Total AMT]],0))</f>
        <v>0</v>
      </c>
    </row>
    <row r="767" spans="1:10">
      <c r="A767" s="38">
        <v>45263</v>
      </c>
      <c r="B767" s="37" t="s">
        <v>208</v>
      </c>
      <c r="C767" s="37" t="s">
        <v>209</v>
      </c>
      <c r="D767" s="37" t="s">
        <v>217</v>
      </c>
      <c r="E767" s="37" t="s">
        <v>211</v>
      </c>
      <c r="F767" s="38">
        <v>45293</v>
      </c>
      <c r="G767" s="37" t="s">
        <v>212</v>
      </c>
      <c r="H767" s="40">
        <v>1989.25</v>
      </c>
      <c r="I767" s="39">
        <v>907.13</v>
      </c>
      <c r="J767" s="39">
        <v>1082.1199999999999</v>
      </c>
    </row>
    <row r="768" spans="1:10">
      <c r="A768" s="38">
        <v>45271</v>
      </c>
      <c r="B768" s="37" t="s">
        <v>208</v>
      </c>
      <c r="C768" s="37" t="s">
        <v>209</v>
      </c>
      <c r="D768" s="37" t="s">
        <v>341</v>
      </c>
      <c r="E768" s="37" t="s">
        <v>211</v>
      </c>
      <c r="F768" s="38">
        <v>45324</v>
      </c>
      <c r="G768" s="37" t="s">
        <v>212</v>
      </c>
      <c r="H768" s="40">
        <v>1063.26</v>
      </c>
      <c r="I768" s="39">
        <f>IF(My_Payment[[#This Row],[Payment_Code]]="S",My_Payment[[#This Row],[Total AMT]]/2,IF(My_Payment[[#This Row],[Payment_Code]]="P",My_Payment[[#This Row],[Total AMT]],0))</f>
        <v>531.63</v>
      </c>
      <c r="J768" s="39">
        <f>IF(My_Payment[[#This Row],[Payment_Code]]="S",My_Payment[[#This Row],[Total AMT]]/2,IF(My_Payment[[#This Row],[Payment_Code]]="N",My_Payment[[#This Row],[Total AMT]],0))</f>
        <v>531.63</v>
      </c>
    </row>
    <row r="769" spans="1:10">
      <c r="A769" s="38">
        <v>45292</v>
      </c>
      <c r="B769" s="37" t="s">
        <v>208</v>
      </c>
      <c r="C769" s="37" t="s">
        <v>209</v>
      </c>
      <c r="D769" s="37" t="s">
        <v>217</v>
      </c>
      <c r="E769" s="37" t="s">
        <v>211</v>
      </c>
      <c r="F769" s="38">
        <v>45324</v>
      </c>
      <c r="G769" s="37" t="s">
        <v>212</v>
      </c>
      <c r="H769" s="40">
        <v>1401.25</v>
      </c>
      <c r="I769" s="39">
        <v>977.12</v>
      </c>
      <c r="J769" s="39">
        <v>424.13</v>
      </c>
    </row>
    <row r="770" spans="1:10">
      <c r="A770" s="38">
        <v>45596</v>
      </c>
      <c r="B770" s="37" t="s">
        <v>222</v>
      </c>
      <c r="C770" s="37" t="s">
        <v>209</v>
      </c>
      <c r="D770" s="37" t="s">
        <v>224</v>
      </c>
      <c r="E770" s="37" t="s">
        <v>211</v>
      </c>
      <c r="F770" s="38">
        <v>45628</v>
      </c>
      <c r="G770" s="37" t="s">
        <v>215</v>
      </c>
      <c r="H770" s="40">
        <v>0</v>
      </c>
      <c r="I770" s="39">
        <f>IF(My_Payment[[#This Row],[Payment_Code]]="S",My_Payment[[#This Row],[Total AMT]]/2,IF(My_Payment[[#This Row],[Payment_Code]]="P",My_Payment[[#This Row],[Total AMT]],0))</f>
        <v>0</v>
      </c>
      <c r="J770" s="39">
        <f>IF(My_Payment[[#This Row],[Payment_Code]]="S",My_Payment[[#This Row],[Total AMT]]/2,IF(My_Payment[[#This Row],[Payment_Code]]="N",My_Payment[[#This Row],[Total AMT]],0))</f>
        <v>0</v>
      </c>
    </row>
    <row r="771" spans="1:10">
      <c r="A771" s="38">
        <v>45294</v>
      </c>
      <c r="B771" s="37" t="s">
        <v>225</v>
      </c>
      <c r="C771" s="37" t="s">
        <v>226</v>
      </c>
      <c r="D771" s="37" t="s">
        <v>227</v>
      </c>
      <c r="E771" s="37" t="s">
        <v>211</v>
      </c>
      <c r="F771" s="38">
        <v>45344</v>
      </c>
      <c r="G771" s="37" t="s">
        <v>215</v>
      </c>
      <c r="H771" s="40">
        <v>419</v>
      </c>
      <c r="I771" s="39">
        <f>IF(My_Payment[[#This Row],[Payment_Code]]="S",My_Payment[[#This Row],[Total AMT]]/2,IF(My_Payment[[#This Row],[Payment_Code]]="P",My_Payment[[#This Row],[Total AMT]],0))</f>
        <v>419</v>
      </c>
      <c r="J771" s="39">
        <f>IF(My_Payment[[#This Row],[Payment_Code]]="S",My_Payment[[#This Row],[Total AMT]]/2,IF(My_Payment[[#This Row],[Payment_Code]]="N",My_Payment[[#This Row],[Total AMT]],0))</f>
        <v>0</v>
      </c>
    </row>
    <row r="772" spans="1:10">
      <c r="A772" s="38">
        <v>45299</v>
      </c>
      <c r="B772" s="37" t="s">
        <v>225</v>
      </c>
      <c r="C772" s="37" t="s">
        <v>226</v>
      </c>
      <c r="D772" s="37" t="s">
        <v>392</v>
      </c>
      <c r="E772" s="37" t="s">
        <v>211</v>
      </c>
      <c r="F772" s="38">
        <v>45344</v>
      </c>
      <c r="G772" s="37" t="s">
        <v>215</v>
      </c>
      <c r="H772" s="40">
        <v>139</v>
      </c>
      <c r="I772" s="39">
        <f>IF(My_Payment[[#This Row],[Payment_Code]]="S",My_Payment[[#This Row],[Total AMT]]/2,IF(My_Payment[[#This Row],[Payment_Code]]="P",My_Payment[[#This Row],[Total AMT]],0))</f>
        <v>139</v>
      </c>
      <c r="J772" s="39">
        <f>IF(My_Payment[[#This Row],[Payment_Code]]="S",My_Payment[[#This Row],[Total AMT]]/2,IF(My_Payment[[#This Row],[Payment_Code]]="N",My_Payment[[#This Row],[Total AMT]],0))</f>
        <v>0</v>
      </c>
    </row>
    <row r="773" spans="1:10">
      <c r="A773" s="38">
        <v>45325</v>
      </c>
      <c r="B773" s="37" t="s">
        <v>225</v>
      </c>
      <c r="C773" s="37" t="s">
        <v>226</v>
      </c>
      <c r="D773" s="37" t="s">
        <v>227</v>
      </c>
      <c r="E773" s="37" t="s">
        <v>211</v>
      </c>
      <c r="F773" s="38">
        <v>45373</v>
      </c>
      <c r="G773" s="37" t="s">
        <v>212</v>
      </c>
      <c r="H773" s="40">
        <v>419</v>
      </c>
      <c r="I773" s="39">
        <v>219</v>
      </c>
      <c r="J773" s="39">
        <v>200</v>
      </c>
    </row>
    <row r="774" spans="1:10">
      <c r="A774" s="38">
        <v>45330</v>
      </c>
      <c r="B774" s="37" t="s">
        <v>225</v>
      </c>
      <c r="C774" s="37" t="s">
        <v>226</v>
      </c>
      <c r="D774" s="37" t="s">
        <v>392</v>
      </c>
      <c r="E774" s="37" t="s">
        <v>211</v>
      </c>
      <c r="F774" s="38">
        <v>45373</v>
      </c>
      <c r="G774" s="37" t="s">
        <v>215</v>
      </c>
      <c r="H774" s="40">
        <v>139</v>
      </c>
      <c r="I774" s="39">
        <f>IF(My_Payment[[#This Row],[Payment_Code]]="S",My_Payment[[#This Row],[Total AMT]]/2,IF(My_Payment[[#This Row],[Payment_Code]]="P",My_Payment[[#This Row],[Total AMT]],0))</f>
        <v>139</v>
      </c>
      <c r="J774" s="39">
        <f>IF(My_Payment[[#This Row],[Payment_Code]]="S",My_Payment[[#This Row],[Total AMT]]/2,IF(My_Payment[[#This Row],[Payment_Code]]="N",My_Payment[[#This Row],[Total AMT]],0))</f>
        <v>0</v>
      </c>
    </row>
    <row r="775" spans="1:10">
      <c r="A775" s="38">
        <v>45379</v>
      </c>
      <c r="B775" s="37" t="s">
        <v>225</v>
      </c>
      <c r="C775" s="37" t="s">
        <v>226</v>
      </c>
      <c r="D775" s="37" t="s">
        <v>227</v>
      </c>
      <c r="E775" s="37" t="s">
        <v>211</v>
      </c>
      <c r="F775" s="38">
        <v>45404</v>
      </c>
      <c r="G775" s="37" t="s">
        <v>212</v>
      </c>
      <c r="H775" s="40">
        <f>419+99</f>
        <v>518</v>
      </c>
      <c r="I775" s="39">
        <v>219</v>
      </c>
      <c r="J775" s="39">
        <v>299</v>
      </c>
    </row>
    <row r="776" spans="1:10">
      <c r="A776" s="38">
        <v>45359</v>
      </c>
      <c r="B776" s="37" t="s">
        <v>225</v>
      </c>
      <c r="C776" s="37" t="s">
        <v>226</v>
      </c>
      <c r="D776" s="37" t="s">
        <v>392</v>
      </c>
      <c r="E776" s="37" t="s">
        <v>211</v>
      </c>
      <c r="F776" s="38">
        <v>45404</v>
      </c>
      <c r="G776" s="37" t="s">
        <v>215</v>
      </c>
      <c r="H776" s="40">
        <v>139</v>
      </c>
      <c r="I776" s="39">
        <f>IF(My_Payment[[#This Row],[Payment_Code]]="S",My_Payment[[#This Row],[Total AMT]]/2,IF(My_Payment[[#This Row],[Payment_Code]]="P",My_Payment[[#This Row],[Total AMT]],0))</f>
        <v>139</v>
      </c>
      <c r="J776" s="39">
        <f>IF(My_Payment[[#This Row],[Payment_Code]]="S",My_Payment[[#This Row],[Total AMT]]/2,IF(My_Payment[[#This Row],[Payment_Code]]="N",My_Payment[[#This Row],[Total AMT]],0))</f>
        <v>0</v>
      </c>
    </row>
    <row r="777" spans="1:10">
      <c r="A777" s="38">
        <v>45410</v>
      </c>
      <c r="B777" s="37" t="s">
        <v>225</v>
      </c>
      <c r="C777" s="37" t="s">
        <v>226</v>
      </c>
      <c r="D777" s="37" t="s">
        <v>227</v>
      </c>
      <c r="E777" s="37" t="s">
        <v>211</v>
      </c>
      <c r="F777" s="38">
        <v>45434</v>
      </c>
      <c r="G777" s="37" t="s">
        <v>212</v>
      </c>
      <c r="H777" s="40">
        <f>419+99</f>
        <v>518</v>
      </c>
      <c r="I777" s="39">
        <v>219</v>
      </c>
      <c r="J777" s="39">
        <v>299</v>
      </c>
    </row>
    <row r="778" spans="1:10">
      <c r="A778" s="38">
        <v>45390</v>
      </c>
      <c r="B778" s="37" t="s">
        <v>225</v>
      </c>
      <c r="C778" s="37" t="s">
        <v>226</v>
      </c>
      <c r="D778" s="37" t="s">
        <v>392</v>
      </c>
      <c r="E778" s="37" t="s">
        <v>211</v>
      </c>
      <c r="F778" s="38">
        <v>45434</v>
      </c>
      <c r="G778" s="37" t="s">
        <v>215</v>
      </c>
      <c r="H778" s="40">
        <v>139</v>
      </c>
      <c r="I778" s="39">
        <f>IF(My_Payment[[#This Row],[Payment_Code]]="S",My_Payment[[#This Row],[Total AMT]]/2,IF(My_Payment[[#This Row],[Payment_Code]]="P",My_Payment[[#This Row],[Total AMT]],0))</f>
        <v>139</v>
      </c>
      <c r="J778" s="39">
        <f>IF(My_Payment[[#This Row],[Payment_Code]]="S",My_Payment[[#This Row],[Total AMT]]/2,IF(My_Payment[[#This Row],[Payment_Code]]="N",My_Payment[[#This Row],[Total AMT]],0))</f>
        <v>0</v>
      </c>
    </row>
    <row r="779" spans="1:10">
      <c r="A779" s="38">
        <v>45440</v>
      </c>
      <c r="B779" s="37" t="s">
        <v>225</v>
      </c>
      <c r="C779" s="37" t="s">
        <v>226</v>
      </c>
      <c r="D779" s="37" t="s">
        <v>227</v>
      </c>
      <c r="E779" s="37" t="s">
        <v>211</v>
      </c>
      <c r="F779" s="38">
        <v>45465</v>
      </c>
      <c r="G779" s="37" t="s">
        <v>212</v>
      </c>
      <c r="H779" s="40">
        <f>419+99</f>
        <v>518</v>
      </c>
      <c r="I779" s="39">
        <v>219</v>
      </c>
      <c r="J779" s="39">
        <v>299</v>
      </c>
    </row>
    <row r="780" spans="1:10">
      <c r="A780" s="38">
        <v>45420</v>
      </c>
      <c r="B780" s="37" t="s">
        <v>225</v>
      </c>
      <c r="C780" s="37" t="s">
        <v>226</v>
      </c>
      <c r="D780" s="37" t="s">
        <v>392</v>
      </c>
      <c r="E780" s="37" t="s">
        <v>211</v>
      </c>
      <c r="F780" s="38">
        <v>45465</v>
      </c>
      <c r="G780" s="37" t="s">
        <v>215</v>
      </c>
      <c r="H780" s="40">
        <v>139</v>
      </c>
      <c r="I780" s="39">
        <f>IF(My_Payment[[#This Row],[Payment_Code]]="S",My_Payment[[#This Row],[Total AMT]]/2,IF(My_Payment[[#This Row],[Payment_Code]]="P",My_Payment[[#This Row],[Total AMT]],0))</f>
        <v>139</v>
      </c>
      <c r="J780" s="39">
        <f>IF(My_Payment[[#This Row],[Payment_Code]]="S",My_Payment[[#This Row],[Total AMT]]/2,IF(My_Payment[[#This Row],[Payment_Code]]="N",My_Payment[[#This Row],[Total AMT]],0))</f>
        <v>0</v>
      </c>
    </row>
    <row r="781" spans="1:10">
      <c r="A781" s="38">
        <v>45471</v>
      </c>
      <c r="B781" s="37" t="s">
        <v>225</v>
      </c>
      <c r="C781" s="37" t="s">
        <v>226</v>
      </c>
      <c r="D781" s="37" t="s">
        <v>227</v>
      </c>
      <c r="E781" s="37" t="s">
        <v>211</v>
      </c>
      <c r="F781" s="38">
        <v>45495</v>
      </c>
      <c r="G781" s="37" t="s">
        <v>212</v>
      </c>
      <c r="H781" s="40">
        <f>419+99</f>
        <v>518</v>
      </c>
      <c r="I781" s="39">
        <v>219</v>
      </c>
      <c r="J781" s="39">
        <v>299</v>
      </c>
    </row>
    <row r="782" spans="1:10">
      <c r="A782" s="38">
        <v>45451</v>
      </c>
      <c r="B782" s="37" t="s">
        <v>225</v>
      </c>
      <c r="C782" s="37" t="s">
        <v>226</v>
      </c>
      <c r="D782" s="37" t="s">
        <v>392</v>
      </c>
      <c r="E782" s="37" t="s">
        <v>211</v>
      </c>
      <c r="F782" s="38">
        <v>45495</v>
      </c>
      <c r="G782" s="37" t="s">
        <v>215</v>
      </c>
      <c r="H782" s="40">
        <v>139</v>
      </c>
      <c r="I782" s="39">
        <f>IF(My_Payment[[#This Row],[Payment_Code]]="S",My_Payment[[#This Row],[Total AMT]]/2,IF(My_Payment[[#This Row],[Payment_Code]]="P",My_Payment[[#This Row],[Total AMT]],0))</f>
        <v>139</v>
      </c>
      <c r="J782" s="39">
        <f>IF(My_Payment[[#This Row],[Payment_Code]]="S",My_Payment[[#This Row],[Total AMT]]/2,IF(My_Payment[[#This Row],[Payment_Code]]="N",My_Payment[[#This Row],[Total AMT]],0))</f>
        <v>0</v>
      </c>
    </row>
    <row r="783" spans="1:10">
      <c r="A783" s="38">
        <v>45501</v>
      </c>
      <c r="B783" s="37" t="s">
        <v>225</v>
      </c>
      <c r="C783" s="37" t="s">
        <v>226</v>
      </c>
      <c r="D783" s="37" t="s">
        <v>227</v>
      </c>
      <c r="E783" s="37" t="s">
        <v>211</v>
      </c>
      <c r="F783" s="38">
        <v>45526</v>
      </c>
      <c r="G783" s="37" t="s">
        <v>212</v>
      </c>
      <c r="H783" s="40">
        <f>419+99</f>
        <v>518</v>
      </c>
      <c r="I783" s="39">
        <v>219</v>
      </c>
      <c r="J783" s="39">
        <v>299</v>
      </c>
    </row>
    <row r="784" spans="1:10">
      <c r="A784" s="38">
        <v>45481</v>
      </c>
      <c r="B784" s="37" t="s">
        <v>225</v>
      </c>
      <c r="C784" s="37" t="s">
        <v>226</v>
      </c>
      <c r="D784" s="37" t="s">
        <v>392</v>
      </c>
      <c r="E784" s="37" t="s">
        <v>211</v>
      </c>
      <c r="F784" s="38">
        <v>45526</v>
      </c>
      <c r="G784" s="37" t="s">
        <v>215</v>
      </c>
      <c r="H784" s="40">
        <v>139</v>
      </c>
      <c r="I784" s="39">
        <f>IF(My_Payment[[#This Row],[Payment_Code]]="S",My_Payment[[#This Row],[Total AMT]]/2,IF(My_Payment[[#This Row],[Payment_Code]]="P",My_Payment[[#This Row],[Total AMT]],0))</f>
        <v>139</v>
      </c>
      <c r="J784" s="39">
        <f>IF(My_Payment[[#This Row],[Payment_Code]]="S",My_Payment[[#This Row],[Total AMT]]/2,IF(My_Payment[[#This Row],[Payment_Code]]="N",My_Payment[[#This Row],[Total AMT]],0))</f>
        <v>0</v>
      </c>
    </row>
    <row r="785" spans="1:10">
      <c r="A785" s="38">
        <v>45532</v>
      </c>
      <c r="B785" s="37" t="s">
        <v>225</v>
      </c>
      <c r="C785" s="37" t="s">
        <v>226</v>
      </c>
      <c r="D785" s="37" t="s">
        <v>227</v>
      </c>
      <c r="E785" s="37" t="s">
        <v>211</v>
      </c>
      <c r="F785" s="38">
        <v>45557</v>
      </c>
      <c r="G785" s="37" t="s">
        <v>212</v>
      </c>
      <c r="H785" s="40">
        <f>419+99</f>
        <v>518</v>
      </c>
      <c r="I785" s="39">
        <v>219</v>
      </c>
      <c r="J785" s="39">
        <v>299</v>
      </c>
    </row>
    <row r="786" spans="1:10">
      <c r="A786" s="38">
        <v>45512</v>
      </c>
      <c r="B786" s="37" t="s">
        <v>225</v>
      </c>
      <c r="C786" s="37" t="s">
        <v>226</v>
      </c>
      <c r="D786" s="37" t="s">
        <v>392</v>
      </c>
      <c r="E786" s="37" t="s">
        <v>211</v>
      </c>
      <c r="F786" s="38">
        <v>45557</v>
      </c>
      <c r="G786" s="37" t="s">
        <v>215</v>
      </c>
      <c r="H786" s="40">
        <v>139</v>
      </c>
      <c r="I786" s="39">
        <f>IF(My_Payment[[#This Row],[Payment_Code]]="S",My_Payment[[#This Row],[Total AMT]]/2,IF(My_Payment[[#This Row],[Payment_Code]]="P",My_Payment[[#This Row],[Total AMT]],0))</f>
        <v>139</v>
      </c>
      <c r="J786" s="39">
        <f>IF(My_Payment[[#This Row],[Payment_Code]]="S",My_Payment[[#This Row],[Total AMT]]/2,IF(My_Payment[[#This Row],[Payment_Code]]="N",My_Payment[[#This Row],[Total AMT]],0))</f>
        <v>0</v>
      </c>
    </row>
    <row r="787" spans="1:10">
      <c r="A787" s="38">
        <v>45563</v>
      </c>
      <c r="B787" s="37" t="s">
        <v>225</v>
      </c>
      <c r="C787" s="37" t="s">
        <v>226</v>
      </c>
      <c r="D787" s="37" t="s">
        <v>227</v>
      </c>
      <c r="E787" s="37" t="s">
        <v>211</v>
      </c>
      <c r="F787" s="38">
        <v>45587</v>
      </c>
      <c r="G787" s="37" t="s">
        <v>212</v>
      </c>
      <c r="H787" s="40">
        <f>419+99</f>
        <v>518</v>
      </c>
      <c r="I787" s="39">
        <v>219</v>
      </c>
      <c r="J787" s="39">
        <v>299</v>
      </c>
    </row>
    <row r="788" spans="1:10">
      <c r="A788" s="38">
        <v>45543</v>
      </c>
      <c r="B788" s="37" t="s">
        <v>225</v>
      </c>
      <c r="C788" s="37" t="s">
        <v>226</v>
      </c>
      <c r="D788" s="37" t="s">
        <v>392</v>
      </c>
      <c r="E788" s="37" t="s">
        <v>211</v>
      </c>
      <c r="F788" s="38">
        <v>45587</v>
      </c>
      <c r="G788" s="37" t="s">
        <v>215</v>
      </c>
      <c r="H788" s="40">
        <v>139</v>
      </c>
      <c r="I788" s="39">
        <f>IF(My_Payment[[#This Row],[Payment_Code]]="S",My_Payment[[#This Row],[Total AMT]]/2,IF(My_Payment[[#This Row],[Payment_Code]]="P",My_Payment[[#This Row],[Total AMT]],0))</f>
        <v>139</v>
      </c>
      <c r="J788" s="39">
        <f>IF(My_Payment[[#This Row],[Payment_Code]]="S",My_Payment[[#This Row],[Total AMT]]/2,IF(My_Payment[[#This Row],[Payment_Code]]="N",My_Payment[[#This Row],[Total AMT]],0))</f>
        <v>0</v>
      </c>
    </row>
    <row r="789" spans="1:10">
      <c r="A789" s="38">
        <v>45593</v>
      </c>
      <c r="B789" s="37" t="s">
        <v>225</v>
      </c>
      <c r="C789" s="37" t="s">
        <v>226</v>
      </c>
      <c r="D789" s="37" t="s">
        <v>227</v>
      </c>
      <c r="E789" s="37" t="s">
        <v>211</v>
      </c>
      <c r="F789" s="38">
        <v>45618</v>
      </c>
      <c r="G789" s="37" t="s">
        <v>212</v>
      </c>
      <c r="H789" s="40">
        <f>419+99</f>
        <v>518</v>
      </c>
      <c r="I789" s="39">
        <v>219</v>
      </c>
      <c r="J789" s="39">
        <v>299</v>
      </c>
    </row>
    <row r="790" spans="1:10">
      <c r="A790" s="38">
        <v>45573</v>
      </c>
      <c r="B790" s="37" t="s">
        <v>225</v>
      </c>
      <c r="C790" s="37" t="s">
        <v>226</v>
      </c>
      <c r="D790" s="37" t="s">
        <v>392</v>
      </c>
      <c r="E790" s="37" t="s">
        <v>211</v>
      </c>
      <c r="F790" s="38">
        <v>45618</v>
      </c>
      <c r="G790" s="37" t="s">
        <v>215</v>
      </c>
      <c r="H790" s="40">
        <v>139</v>
      </c>
      <c r="I790" s="39">
        <f>IF(My_Payment[[#This Row],[Payment_Code]]="S",My_Payment[[#This Row],[Total AMT]]/2,IF(My_Payment[[#This Row],[Payment_Code]]="P",My_Payment[[#This Row],[Total AMT]],0))</f>
        <v>139</v>
      </c>
      <c r="J790" s="39">
        <f>IF(My_Payment[[#This Row],[Payment_Code]]="S",My_Payment[[#This Row],[Total AMT]]/2,IF(My_Payment[[#This Row],[Payment_Code]]="N",My_Payment[[#This Row],[Total AMT]],0))</f>
        <v>0</v>
      </c>
    </row>
    <row r="791" spans="1:10">
      <c r="A791" s="38">
        <v>45624</v>
      </c>
      <c r="B791" s="37" t="s">
        <v>225</v>
      </c>
      <c r="C791" s="37" t="s">
        <v>226</v>
      </c>
      <c r="D791" s="37" t="s">
        <v>227</v>
      </c>
      <c r="E791" s="37" t="s">
        <v>211</v>
      </c>
      <c r="F791" s="38">
        <v>45648</v>
      </c>
      <c r="G791" s="37" t="s">
        <v>212</v>
      </c>
      <c r="H791" s="40">
        <f>419+99</f>
        <v>518</v>
      </c>
      <c r="I791" s="39">
        <v>219</v>
      </c>
      <c r="J791" s="39">
        <v>299</v>
      </c>
    </row>
    <row r="792" spans="1:10">
      <c r="A792" s="38">
        <v>45604</v>
      </c>
      <c r="B792" s="37" t="s">
        <v>225</v>
      </c>
      <c r="C792" s="37" t="s">
        <v>226</v>
      </c>
      <c r="D792" s="37" t="s">
        <v>392</v>
      </c>
      <c r="E792" s="37" t="s">
        <v>211</v>
      </c>
      <c r="F792" s="38">
        <v>45648</v>
      </c>
      <c r="G792" s="37" t="s">
        <v>215</v>
      </c>
      <c r="H792" s="40">
        <v>139</v>
      </c>
      <c r="I792" s="39">
        <f>IF(My_Payment[[#This Row],[Payment_Code]]="S",My_Payment[[#This Row],[Total AMT]]/2,IF(My_Payment[[#This Row],[Payment_Code]]="P",My_Payment[[#This Row],[Total AMT]],0))</f>
        <v>139</v>
      </c>
      <c r="J792" s="39">
        <f>IF(My_Payment[[#This Row],[Payment_Code]]="S",My_Payment[[#This Row],[Total AMT]]/2,IF(My_Payment[[#This Row],[Payment_Code]]="N",My_Payment[[#This Row],[Total AMT]],0))</f>
        <v>0</v>
      </c>
    </row>
    <row r="793" spans="1:10">
      <c r="A793" s="38">
        <v>45654</v>
      </c>
      <c r="B793" s="37" t="s">
        <v>225</v>
      </c>
      <c r="C793" s="37" t="s">
        <v>226</v>
      </c>
      <c r="D793" s="37" t="s">
        <v>227</v>
      </c>
      <c r="E793" s="37" t="s">
        <v>211</v>
      </c>
      <c r="F793" s="38">
        <v>45679</v>
      </c>
      <c r="G793" s="37" t="s">
        <v>212</v>
      </c>
      <c r="H793" s="40">
        <f>419+99</f>
        <v>518</v>
      </c>
      <c r="I793" s="39">
        <v>219</v>
      </c>
      <c r="J793" s="39">
        <v>299</v>
      </c>
    </row>
    <row r="794" spans="1:10">
      <c r="A794" s="38">
        <v>45634</v>
      </c>
      <c r="B794" s="37" t="s">
        <v>225</v>
      </c>
      <c r="C794" s="37" t="s">
        <v>226</v>
      </c>
      <c r="D794" s="37" t="s">
        <v>392</v>
      </c>
      <c r="E794" s="37" t="s">
        <v>211</v>
      </c>
      <c r="F794" s="38">
        <v>45679</v>
      </c>
      <c r="G794" s="37" t="s">
        <v>215</v>
      </c>
      <c r="H794" s="40">
        <v>139</v>
      </c>
      <c r="I794" s="39">
        <f>IF(My_Payment[[#This Row],[Payment_Code]]="S",My_Payment[[#This Row],[Total AMT]]/2,IF(My_Payment[[#This Row],[Payment_Code]]="P",My_Payment[[#This Row],[Total AMT]],0))</f>
        <v>139</v>
      </c>
      <c r="J794" s="39">
        <f>IF(My_Payment[[#This Row],[Payment_Code]]="S",My_Payment[[#This Row],[Total AMT]]/2,IF(My_Payment[[#This Row],[Payment_Code]]="N",My_Payment[[#This Row],[Total AMT]],0))</f>
        <v>0</v>
      </c>
    </row>
    <row r="795" spans="1:10">
      <c r="A795" s="38">
        <v>45263</v>
      </c>
      <c r="B795" s="37" t="s">
        <v>305</v>
      </c>
      <c r="C795" s="37" t="s">
        <v>226</v>
      </c>
      <c r="D795" s="37" t="s">
        <v>419</v>
      </c>
      <c r="E795" s="37" t="s">
        <v>211</v>
      </c>
      <c r="F795" s="38">
        <v>45298</v>
      </c>
      <c r="G795" s="37" t="s">
        <v>212</v>
      </c>
      <c r="H795" s="40">
        <v>907</v>
      </c>
      <c r="I795" s="39">
        <f>IF(My_Payment[[#This Row],[Payment_Code]]="S",My_Payment[[#This Row],[Total AMT]]/2,IF(My_Payment[[#This Row],[Payment_Code]]="P",My_Payment[[#This Row],[Total AMT]],0))</f>
        <v>453.5</v>
      </c>
      <c r="J795" s="39">
        <f>IF(My_Payment[[#This Row],[Payment_Code]]="S",My_Payment[[#This Row],[Total AMT]]/2,IF(My_Payment[[#This Row],[Payment_Code]]="N",My_Payment[[#This Row],[Total AMT]],0))</f>
        <v>453.5</v>
      </c>
    </row>
    <row r="796" spans="1:10">
      <c r="A796" s="38">
        <v>45265</v>
      </c>
      <c r="B796" s="37" t="s">
        <v>305</v>
      </c>
      <c r="C796" s="37" t="s">
        <v>226</v>
      </c>
      <c r="D796" s="37" t="s">
        <v>449</v>
      </c>
      <c r="E796" s="37" t="s">
        <v>211</v>
      </c>
      <c r="F796" s="38">
        <v>45298</v>
      </c>
      <c r="G796" s="37" t="s">
        <v>215</v>
      </c>
      <c r="H796" s="40">
        <v>2992</v>
      </c>
      <c r="I796" s="39">
        <f>IF(My_Payment[[#This Row],[Payment_Code]]="S",My_Payment[[#This Row],[Total AMT]]/2,IF(My_Payment[[#This Row],[Payment_Code]]="P",My_Payment[[#This Row],[Total AMT]],0))</f>
        <v>2992</v>
      </c>
      <c r="J796" s="39">
        <f>IF(My_Payment[[#This Row],[Payment_Code]]="S",My_Payment[[#This Row],[Total AMT]]/2,IF(My_Payment[[#This Row],[Payment_Code]]="N",My_Payment[[#This Row],[Total AMT]],0))</f>
        <v>0</v>
      </c>
    </row>
    <row r="797" spans="1:10">
      <c r="A797" s="38">
        <v>45284</v>
      </c>
      <c r="B797" s="37" t="s">
        <v>305</v>
      </c>
      <c r="C797" s="37" t="s">
        <v>226</v>
      </c>
      <c r="D797" s="37" t="s">
        <v>450</v>
      </c>
      <c r="E797" s="37" t="s">
        <v>211</v>
      </c>
      <c r="F797" s="38">
        <v>45329</v>
      </c>
      <c r="G797" s="37" t="s">
        <v>215</v>
      </c>
      <c r="H797" s="40">
        <v>519</v>
      </c>
      <c r="I797" s="39">
        <f>IF(My_Payment[[#This Row],[Payment_Code]]="S",My_Payment[[#This Row],[Total AMT]]/2,IF(My_Payment[[#This Row],[Payment_Code]]="P",My_Payment[[#This Row],[Total AMT]],0))</f>
        <v>519</v>
      </c>
      <c r="J797" s="39">
        <f>IF(My_Payment[[#This Row],[Payment_Code]]="S",My_Payment[[#This Row],[Total AMT]]/2,IF(My_Payment[[#This Row],[Payment_Code]]="N",My_Payment[[#This Row],[Total AMT]],0))</f>
        <v>0</v>
      </c>
    </row>
    <row r="798" spans="1:10">
      <c r="A798" s="38">
        <v>45287</v>
      </c>
      <c r="B798" s="37" t="s">
        <v>305</v>
      </c>
      <c r="C798" s="37" t="s">
        <v>226</v>
      </c>
      <c r="D798" s="37" t="s">
        <v>33</v>
      </c>
      <c r="E798" s="37" t="s">
        <v>211</v>
      </c>
      <c r="F798" s="38">
        <v>45329</v>
      </c>
      <c r="G798" s="37" t="s">
        <v>215</v>
      </c>
      <c r="H798" s="40">
        <v>198.6</v>
      </c>
      <c r="I798" s="39">
        <f>IF(My_Payment[[#This Row],[Payment_Code]]="S",My_Payment[[#This Row],[Total AMT]]/2,IF(My_Payment[[#This Row],[Payment_Code]]="P",My_Payment[[#This Row],[Total AMT]],0))</f>
        <v>198.6</v>
      </c>
      <c r="J798" s="39">
        <f>IF(My_Payment[[#This Row],[Payment_Code]]="S",My_Payment[[#This Row],[Total AMT]]/2,IF(My_Payment[[#This Row],[Payment_Code]]="N",My_Payment[[#This Row],[Total AMT]],0))</f>
        <v>0</v>
      </c>
    </row>
    <row r="799" spans="1:10">
      <c r="A799" s="38">
        <v>45290</v>
      </c>
      <c r="B799" s="37" t="s">
        <v>305</v>
      </c>
      <c r="C799" s="37" t="s">
        <v>226</v>
      </c>
      <c r="D799" s="37" t="s">
        <v>33</v>
      </c>
      <c r="E799" s="37" t="s">
        <v>211</v>
      </c>
      <c r="F799" s="38">
        <v>45329</v>
      </c>
      <c r="G799" s="37" t="s">
        <v>215</v>
      </c>
      <c r="H799" s="40">
        <v>164.25</v>
      </c>
      <c r="I799" s="39">
        <f>IF(My_Payment[[#This Row],[Payment_Code]]="S",My_Payment[[#This Row],[Total AMT]]/2,IF(My_Payment[[#This Row],[Payment_Code]]="P",My_Payment[[#This Row],[Total AMT]],0))</f>
        <v>164.25</v>
      </c>
      <c r="J799" s="39">
        <f>IF(My_Payment[[#This Row],[Payment_Code]]="S",My_Payment[[#This Row],[Total AMT]]/2,IF(My_Payment[[#This Row],[Payment_Code]]="N",My_Payment[[#This Row],[Total AMT]],0))</f>
        <v>0</v>
      </c>
    </row>
    <row r="800" spans="1:10">
      <c r="A800" s="38">
        <v>45292</v>
      </c>
      <c r="B800" s="37" t="s">
        <v>305</v>
      </c>
      <c r="C800" s="37" t="s">
        <v>226</v>
      </c>
      <c r="D800" s="37" t="s">
        <v>332</v>
      </c>
      <c r="E800" s="37" t="s">
        <v>211</v>
      </c>
      <c r="F800" s="38">
        <v>45329</v>
      </c>
      <c r="G800" s="37" t="s">
        <v>212</v>
      </c>
      <c r="H800" s="40">
        <v>3515</v>
      </c>
      <c r="I800" s="39">
        <f>IF(My_Payment[[#This Row],[Payment_Code]]="S",My_Payment[[#This Row],[Total AMT]]/2,IF(My_Payment[[#This Row],[Payment_Code]]="P",My_Payment[[#This Row],[Total AMT]],0))</f>
        <v>1757.5</v>
      </c>
      <c r="J800" s="39">
        <f>IF(My_Payment[[#This Row],[Payment_Code]]="S",My_Payment[[#This Row],[Total AMT]]/2,IF(My_Payment[[#This Row],[Payment_Code]]="N",My_Payment[[#This Row],[Total AMT]],0))</f>
        <v>1757.5</v>
      </c>
    </row>
    <row r="801" spans="1:10">
      <c r="A801" s="38">
        <v>45311</v>
      </c>
      <c r="B801" s="37" t="s">
        <v>348</v>
      </c>
      <c r="C801" s="37" t="s">
        <v>209</v>
      </c>
      <c r="D801" s="37" t="s">
        <v>48</v>
      </c>
      <c r="E801" s="37" t="s">
        <v>211</v>
      </c>
      <c r="F801" s="38">
        <v>45352</v>
      </c>
      <c r="G801" s="37" t="s">
        <v>215</v>
      </c>
      <c r="H801" s="40">
        <v>854.93</v>
      </c>
      <c r="I801" s="39">
        <f>IF(My_Payment[[#This Row],[Payment_Code]]="S",My_Payment[[#This Row],[Total AMT]]/2,IF(My_Payment[[#This Row],[Payment_Code]]="P",My_Payment[[#This Row],[Total AMT]],0))</f>
        <v>854.93</v>
      </c>
      <c r="J801" s="39">
        <f>IF(My_Payment[[#This Row],[Payment_Code]]="S",My_Payment[[#This Row],[Total AMT]]/2,IF(My_Payment[[#This Row],[Payment_Code]]="N",My_Payment[[#This Row],[Total AMT]],0))</f>
        <v>0</v>
      </c>
    </row>
    <row r="802" spans="1:10">
      <c r="A802" s="38">
        <v>45311</v>
      </c>
      <c r="B802" s="37" t="s">
        <v>348</v>
      </c>
      <c r="C802" s="37" t="s">
        <v>209</v>
      </c>
      <c r="D802" s="37" t="s">
        <v>49</v>
      </c>
      <c r="E802" s="37" t="s">
        <v>211</v>
      </c>
      <c r="F802" s="38">
        <v>45352</v>
      </c>
      <c r="G802" s="37" t="s">
        <v>215</v>
      </c>
      <c r="H802" s="40">
        <v>1603.93</v>
      </c>
      <c r="I802" s="39">
        <f>IF(My_Payment[[#This Row],[Payment_Code]]="S",My_Payment[[#This Row],[Total AMT]]/2,IF(My_Payment[[#This Row],[Payment_Code]]="P",My_Payment[[#This Row],[Total AMT]],0))</f>
        <v>1603.93</v>
      </c>
      <c r="J802" s="39">
        <f>IF(My_Payment[[#This Row],[Payment_Code]]="S",My_Payment[[#This Row],[Total AMT]]/2,IF(My_Payment[[#This Row],[Payment_Code]]="N",My_Payment[[#This Row],[Total AMT]],0))</f>
        <v>0</v>
      </c>
    </row>
    <row r="803" spans="1:10">
      <c r="A803" s="38">
        <v>45309</v>
      </c>
      <c r="B803" s="37" t="s">
        <v>348</v>
      </c>
      <c r="C803" s="37" t="s">
        <v>209</v>
      </c>
      <c r="D803" s="37" t="s">
        <v>81</v>
      </c>
      <c r="E803" s="37" t="s">
        <v>211</v>
      </c>
      <c r="F803" s="38">
        <v>45352</v>
      </c>
      <c r="G803" s="37" t="s">
        <v>215</v>
      </c>
      <c r="H803" s="40">
        <f>699*1.07</f>
        <v>747.93000000000006</v>
      </c>
      <c r="I803" s="39">
        <f>IF(My_Payment[[#This Row],[Payment_Code]]="S",My_Payment[[#This Row],[Total AMT]]/2,IF(My_Payment[[#This Row],[Payment_Code]]="P",My_Payment[[#This Row],[Total AMT]],0))</f>
        <v>747.93000000000006</v>
      </c>
      <c r="J803" s="39">
        <f>IF(My_Payment[[#This Row],[Payment_Code]]="S",My_Payment[[#This Row],[Total AMT]]/2,IF(My_Payment[[#This Row],[Payment_Code]]="N",My_Payment[[#This Row],[Total AMT]],0))</f>
        <v>0</v>
      </c>
    </row>
    <row r="804" spans="1:10">
      <c r="A804" s="38">
        <v>45339</v>
      </c>
      <c r="B804" s="37" t="s">
        <v>348</v>
      </c>
      <c r="C804" s="37" t="s">
        <v>209</v>
      </c>
      <c r="D804" s="37" t="s">
        <v>20</v>
      </c>
      <c r="E804" s="37" t="s">
        <v>211</v>
      </c>
      <c r="F804" s="38">
        <v>45352</v>
      </c>
      <c r="G804" s="37" t="s">
        <v>215</v>
      </c>
      <c r="H804" s="40">
        <f>SUM(H801:H803)*-0.25%+0.01</f>
        <v>-8.0069750000000006</v>
      </c>
      <c r="I804" s="39">
        <f>IF(My_Payment[[#This Row],[Payment_Code]]="S",My_Payment[[#This Row],[Total AMT]]/2,IF(My_Payment[[#This Row],[Payment_Code]]="P",My_Payment[[#This Row],[Total AMT]],0))</f>
        <v>-8.0069750000000006</v>
      </c>
      <c r="J804" s="39">
        <f>IF(My_Payment[[#This Row],[Payment_Code]]="S",My_Payment[[#This Row],[Total AMT]]/2,IF(My_Payment[[#This Row],[Payment_Code]]="N",My_Payment[[#This Row],[Total AMT]],0))</f>
        <v>0</v>
      </c>
    </row>
    <row r="805" spans="1:10">
      <c r="A805" s="38">
        <v>45342</v>
      </c>
      <c r="B805" s="37" t="s">
        <v>348</v>
      </c>
      <c r="C805" s="37" t="s">
        <v>209</v>
      </c>
      <c r="D805" s="37" t="s">
        <v>48</v>
      </c>
      <c r="E805" s="37" t="s">
        <v>211</v>
      </c>
      <c r="F805" s="38">
        <v>45383</v>
      </c>
      <c r="G805" s="37" t="s">
        <v>215</v>
      </c>
      <c r="H805" s="40">
        <v>854.93</v>
      </c>
      <c r="I805" s="39">
        <f>IF(My_Payment[[#This Row],[Payment_Code]]="S",My_Payment[[#This Row],[Total AMT]]/2,IF(My_Payment[[#This Row],[Payment_Code]]="P",My_Payment[[#This Row],[Total AMT]],0))</f>
        <v>854.93</v>
      </c>
      <c r="J805" s="39">
        <f>IF(My_Payment[[#This Row],[Payment_Code]]="S",My_Payment[[#This Row],[Total AMT]]/2,IF(My_Payment[[#This Row],[Payment_Code]]="N",My_Payment[[#This Row],[Total AMT]],0))</f>
        <v>0</v>
      </c>
    </row>
    <row r="806" spans="1:10">
      <c r="A806" s="38">
        <v>45342</v>
      </c>
      <c r="B806" s="37" t="s">
        <v>348</v>
      </c>
      <c r="C806" s="37" t="s">
        <v>209</v>
      </c>
      <c r="D806" s="37" t="s">
        <v>49</v>
      </c>
      <c r="E806" s="37" t="s">
        <v>211</v>
      </c>
      <c r="F806" s="38">
        <v>45383</v>
      </c>
      <c r="G806" s="37" t="s">
        <v>215</v>
      </c>
      <c r="H806" s="40">
        <v>1603.93</v>
      </c>
      <c r="I806" s="39">
        <f>IF(My_Payment[[#This Row],[Payment_Code]]="S",My_Payment[[#This Row],[Total AMT]]/2,IF(My_Payment[[#This Row],[Payment_Code]]="P",My_Payment[[#This Row],[Total AMT]],0))</f>
        <v>1603.93</v>
      </c>
      <c r="J806" s="39">
        <f>IF(My_Payment[[#This Row],[Payment_Code]]="S",My_Payment[[#This Row],[Total AMT]]/2,IF(My_Payment[[#This Row],[Payment_Code]]="N",My_Payment[[#This Row],[Total AMT]],0))</f>
        <v>0</v>
      </c>
    </row>
    <row r="807" spans="1:10">
      <c r="A807" s="38">
        <v>45340</v>
      </c>
      <c r="B807" s="37" t="s">
        <v>348</v>
      </c>
      <c r="C807" s="37" t="s">
        <v>209</v>
      </c>
      <c r="D807" s="37" t="s">
        <v>81</v>
      </c>
      <c r="E807" s="37" t="s">
        <v>211</v>
      </c>
      <c r="F807" s="38">
        <v>45383</v>
      </c>
      <c r="G807" s="37" t="s">
        <v>215</v>
      </c>
      <c r="H807" s="40">
        <f t="shared" ref="H807" si="0">699*1.07</f>
        <v>747.93000000000006</v>
      </c>
      <c r="I807" s="39">
        <f>IF(My_Payment[[#This Row],[Payment_Code]]="S",My_Payment[[#This Row],[Total AMT]]/2,IF(My_Payment[[#This Row],[Payment_Code]]="P",My_Payment[[#This Row],[Total AMT]],0))</f>
        <v>747.93000000000006</v>
      </c>
      <c r="J807" s="39">
        <f>IF(My_Payment[[#This Row],[Payment_Code]]="S",My_Payment[[#This Row],[Total AMT]]/2,IF(My_Payment[[#This Row],[Payment_Code]]="N",My_Payment[[#This Row],[Total AMT]],0))</f>
        <v>0</v>
      </c>
    </row>
    <row r="808" spans="1:10">
      <c r="A808" s="38">
        <v>45368</v>
      </c>
      <c r="B808" s="37" t="s">
        <v>348</v>
      </c>
      <c r="C808" s="37" t="s">
        <v>209</v>
      </c>
      <c r="D808" s="37" t="s">
        <v>20</v>
      </c>
      <c r="E808" s="37" t="s">
        <v>211</v>
      </c>
      <c r="F808" s="38">
        <v>45383</v>
      </c>
      <c r="G808" s="37" t="s">
        <v>215</v>
      </c>
      <c r="H808" s="40">
        <f t="shared" ref="H808" si="1">SUM(H805:H807)*-0.25%+0.01</f>
        <v>-8.0069750000000006</v>
      </c>
      <c r="I808" s="39">
        <f>IF(My_Payment[[#This Row],[Payment_Code]]="S",My_Payment[[#This Row],[Total AMT]]/2,IF(My_Payment[[#This Row],[Payment_Code]]="P",My_Payment[[#This Row],[Total AMT]],0))</f>
        <v>-8.0069750000000006</v>
      </c>
      <c r="J808" s="39">
        <f>IF(My_Payment[[#This Row],[Payment_Code]]="S",My_Payment[[#This Row],[Total AMT]]/2,IF(My_Payment[[#This Row],[Payment_Code]]="N",My_Payment[[#This Row],[Total AMT]],0))</f>
        <v>0</v>
      </c>
    </row>
    <row r="809" spans="1:10">
      <c r="A809" s="38">
        <v>45371</v>
      </c>
      <c r="B809" s="37" t="s">
        <v>348</v>
      </c>
      <c r="C809" s="37" t="s">
        <v>209</v>
      </c>
      <c r="D809" s="37" t="s">
        <v>48</v>
      </c>
      <c r="E809" s="37" t="s">
        <v>211</v>
      </c>
      <c r="F809" s="38">
        <v>45413</v>
      </c>
      <c r="G809" s="37" t="s">
        <v>215</v>
      </c>
      <c r="H809" s="40">
        <v>854.93</v>
      </c>
      <c r="I809" s="39">
        <f>IF(My_Payment[[#This Row],[Payment_Code]]="S",My_Payment[[#This Row],[Total AMT]]/2,IF(My_Payment[[#This Row],[Payment_Code]]="P",My_Payment[[#This Row],[Total AMT]],0))</f>
        <v>854.93</v>
      </c>
      <c r="J809" s="39">
        <f>IF(My_Payment[[#This Row],[Payment_Code]]="S",My_Payment[[#This Row],[Total AMT]]/2,IF(My_Payment[[#This Row],[Payment_Code]]="N",My_Payment[[#This Row],[Total AMT]],0))</f>
        <v>0</v>
      </c>
    </row>
    <row r="810" spans="1:10">
      <c r="A810" s="38">
        <v>45371</v>
      </c>
      <c r="B810" s="37" t="s">
        <v>348</v>
      </c>
      <c r="C810" s="37" t="s">
        <v>209</v>
      </c>
      <c r="D810" s="37" t="s">
        <v>49</v>
      </c>
      <c r="E810" s="37" t="s">
        <v>211</v>
      </c>
      <c r="F810" s="38">
        <v>45413</v>
      </c>
      <c r="G810" s="37" t="s">
        <v>215</v>
      </c>
      <c r="H810" s="40">
        <v>1603.93</v>
      </c>
      <c r="I810" s="39">
        <f>IF(My_Payment[[#This Row],[Payment_Code]]="S",My_Payment[[#This Row],[Total AMT]]/2,IF(My_Payment[[#This Row],[Payment_Code]]="P",My_Payment[[#This Row],[Total AMT]],0))</f>
        <v>1603.93</v>
      </c>
      <c r="J810" s="39">
        <f>IF(My_Payment[[#This Row],[Payment_Code]]="S",My_Payment[[#This Row],[Total AMT]]/2,IF(My_Payment[[#This Row],[Payment_Code]]="N",My_Payment[[#This Row],[Total AMT]],0))</f>
        <v>0</v>
      </c>
    </row>
    <row r="811" spans="1:10">
      <c r="A811" s="38">
        <v>45369</v>
      </c>
      <c r="B811" s="37" t="s">
        <v>348</v>
      </c>
      <c r="C811" s="37" t="s">
        <v>209</v>
      </c>
      <c r="D811" s="37" t="s">
        <v>81</v>
      </c>
      <c r="E811" s="37" t="s">
        <v>211</v>
      </c>
      <c r="F811" s="38">
        <v>45413</v>
      </c>
      <c r="G811" s="37" t="s">
        <v>215</v>
      </c>
      <c r="H811" s="40">
        <f t="shared" ref="H811" si="2">699*1.07</f>
        <v>747.93000000000006</v>
      </c>
      <c r="I811" s="39">
        <f>IF(My_Payment[[#This Row],[Payment_Code]]="S",My_Payment[[#This Row],[Total AMT]]/2,IF(My_Payment[[#This Row],[Payment_Code]]="P",My_Payment[[#This Row],[Total AMT]],0))</f>
        <v>747.93000000000006</v>
      </c>
      <c r="J811" s="39">
        <f>IF(My_Payment[[#This Row],[Payment_Code]]="S",My_Payment[[#This Row],[Total AMT]]/2,IF(My_Payment[[#This Row],[Payment_Code]]="N",My_Payment[[#This Row],[Total AMT]],0))</f>
        <v>0</v>
      </c>
    </row>
    <row r="812" spans="1:10">
      <c r="A812" s="38">
        <v>45399</v>
      </c>
      <c r="B812" s="37" t="s">
        <v>348</v>
      </c>
      <c r="C812" s="37" t="s">
        <v>209</v>
      </c>
      <c r="D812" s="37" t="s">
        <v>20</v>
      </c>
      <c r="E812" s="37" t="s">
        <v>211</v>
      </c>
      <c r="F812" s="38">
        <v>45413</v>
      </c>
      <c r="G812" s="37" t="s">
        <v>215</v>
      </c>
      <c r="H812" s="40">
        <f t="shared" ref="H812" si="3">SUM(H809:H811)*-0.25%+0.01</f>
        <v>-8.0069750000000006</v>
      </c>
      <c r="I812" s="39">
        <f>IF(My_Payment[[#This Row],[Payment_Code]]="S",My_Payment[[#This Row],[Total AMT]]/2,IF(My_Payment[[#This Row],[Payment_Code]]="P",My_Payment[[#This Row],[Total AMT]],0))</f>
        <v>-8.0069750000000006</v>
      </c>
      <c r="J812" s="39">
        <f>IF(My_Payment[[#This Row],[Payment_Code]]="S",My_Payment[[#This Row],[Total AMT]]/2,IF(My_Payment[[#This Row],[Payment_Code]]="N",My_Payment[[#This Row],[Total AMT]],0))</f>
        <v>0</v>
      </c>
    </row>
    <row r="813" spans="1:10">
      <c r="A813" s="38">
        <v>45402</v>
      </c>
      <c r="B813" s="37" t="s">
        <v>348</v>
      </c>
      <c r="C813" s="37" t="s">
        <v>209</v>
      </c>
      <c r="D813" s="37" t="s">
        <v>48</v>
      </c>
      <c r="E813" s="37" t="s">
        <v>211</v>
      </c>
      <c r="F813" s="38">
        <v>45444</v>
      </c>
      <c r="G813" s="37" t="s">
        <v>215</v>
      </c>
      <c r="H813" s="40">
        <v>854.93</v>
      </c>
      <c r="I813" s="39">
        <f>IF(My_Payment[[#This Row],[Payment_Code]]="S",My_Payment[[#This Row],[Total AMT]]/2,IF(My_Payment[[#This Row],[Payment_Code]]="P",My_Payment[[#This Row],[Total AMT]],0))</f>
        <v>854.93</v>
      </c>
      <c r="J813" s="39">
        <f>IF(My_Payment[[#This Row],[Payment_Code]]="S",My_Payment[[#This Row],[Total AMT]]/2,IF(My_Payment[[#This Row],[Payment_Code]]="N",My_Payment[[#This Row],[Total AMT]],0))</f>
        <v>0</v>
      </c>
    </row>
    <row r="814" spans="1:10">
      <c r="A814" s="38">
        <v>45402</v>
      </c>
      <c r="B814" s="37" t="s">
        <v>348</v>
      </c>
      <c r="C814" s="37" t="s">
        <v>209</v>
      </c>
      <c r="D814" s="37" t="s">
        <v>49</v>
      </c>
      <c r="E814" s="37" t="s">
        <v>211</v>
      </c>
      <c r="F814" s="38">
        <v>45444</v>
      </c>
      <c r="G814" s="37" t="s">
        <v>215</v>
      </c>
      <c r="H814" s="40">
        <v>1603.93</v>
      </c>
      <c r="I814" s="39">
        <f>IF(My_Payment[[#This Row],[Payment_Code]]="S",My_Payment[[#This Row],[Total AMT]]/2,IF(My_Payment[[#This Row],[Payment_Code]]="P",My_Payment[[#This Row],[Total AMT]],0))</f>
        <v>1603.93</v>
      </c>
      <c r="J814" s="39">
        <f>IF(My_Payment[[#This Row],[Payment_Code]]="S",My_Payment[[#This Row],[Total AMT]]/2,IF(My_Payment[[#This Row],[Payment_Code]]="N",My_Payment[[#This Row],[Total AMT]],0))</f>
        <v>0</v>
      </c>
    </row>
    <row r="815" spans="1:10">
      <c r="A815" s="38">
        <v>45400</v>
      </c>
      <c r="B815" s="37" t="s">
        <v>348</v>
      </c>
      <c r="C815" s="37" t="s">
        <v>209</v>
      </c>
      <c r="D815" s="37" t="s">
        <v>81</v>
      </c>
      <c r="E815" s="37" t="s">
        <v>211</v>
      </c>
      <c r="F815" s="38">
        <v>45444</v>
      </c>
      <c r="G815" s="37" t="s">
        <v>215</v>
      </c>
      <c r="H815" s="40">
        <f t="shared" ref="H815" si="4">699*1.07</f>
        <v>747.93000000000006</v>
      </c>
      <c r="I815" s="39">
        <f>IF(My_Payment[[#This Row],[Payment_Code]]="S",My_Payment[[#This Row],[Total AMT]]/2,IF(My_Payment[[#This Row],[Payment_Code]]="P",My_Payment[[#This Row],[Total AMT]],0))</f>
        <v>747.93000000000006</v>
      </c>
      <c r="J815" s="39">
        <f>IF(My_Payment[[#This Row],[Payment_Code]]="S",My_Payment[[#This Row],[Total AMT]]/2,IF(My_Payment[[#This Row],[Payment_Code]]="N",My_Payment[[#This Row],[Total AMT]],0))</f>
        <v>0</v>
      </c>
    </row>
    <row r="816" spans="1:10">
      <c r="A816" s="38">
        <v>45429</v>
      </c>
      <c r="B816" s="37" t="s">
        <v>348</v>
      </c>
      <c r="C816" s="37" t="s">
        <v>209</v>
      </c>
      <c r="D816" s="37" t="s">
        <v>20</v>
      </c>
      <c r="E816" s="37" t="s">
        <v>211</v>
      </c>
      <c r="F816" s="38">
        <v>45444</v>
      </c>
      <c r="G816" s="37" t="s">
        <v>215</v>
      </c>
      <c r="H816" s="40">
        <f t="shared" ref="H816" si="5">SUM(H813:H815)*-0.25%+0.01</f>
        <v>-8.0069750000000006</v>
      </c>
      <c r="I816" s="39">
        <f>IF(My_Payment[[#This Row],[Payment_Code]]="S",My_Payment[[#This Row],[Total AMT]]/2,IF(My_Payment[[#This Row],[Payment_Code]]="P",My_Payment[[#This Row],[Total AMT]],0))</f>
        <v>-8.0069750000000006</v>
      </c>
      <c r="J816" s="39">
        <f>IF(My_Payment[[#This Row],[Payment_Code]]="S",My_Payment[[#This Row],[Total AMT]]/2,IF(My_Payment[[#This Row],[Payment_Code]]="N",My_Payment[[#This Row],[Total AMT]],0))</f>
        <v>0</v>
      </c>
    </row>
    <row r="817" spans="1:10">
      <c r="A817" s="38">
        <v>45432</v>
      </c>
      <c r="B817" s="37" t="s">
        <v>348</v>
      </c>
      <c r="C817" s="37" t="s">
        <v>209</v>
      </c>
      <c r="D817" s="37" t="s">
        <v>48</v>
      </c>
      <c r="E817" s="37" t="s">
        <v>211</v>
      </c>
      <c r="F817" s="38">
        <v>45474</v>
      </c>
      <c r="G817" s="37" t="s">
        <v>215</v>
      </c>
      <c r="H817" s="40">
        <v>854.93</v>
      </c>
      <c r="I817" s="39">
        <f>IF(My_Payment[[#This Row],[Payment_Code]]="S",My_Payment[[#This Row],[Total AMT]]/2,IF(My_Payment[[#This Row],[Payment_Code]]="P",My_Payment[[#This Row],[Total AMT]],0))</f>
        <v>854.93</v>
      </c>
      <c r="J817" s="39">
        <f>IF(My_Payment[[#This Row],[Payment_Code]]="S",My_Payment[[#This Row],[Total AMT]]/2,IF(My_Payment[[#This Row],[Payment_Code]]="N",My_Payment[[#This Row],[Total AMT]],0))</f>
        <v>0</v>
      </c>
    </row>
    <row r="818" spans="1:10">
      <c r="A818" s="38">
        <v>45432</v>
      </c>
      <c r="B818" s="37" t="s">
        <v>348</v>
      </c>
      <c r="C818" s="37" t="s">
        <v>209</v>
      </c>
      <c r="D818" s="37" t="s">
        <v>49</v>
      </c>
      <c r="E818" s="37" t="s">
        <v>211</v>
      </c>
      <c r="F818" s="38">
        <v>45474</v>
      </c>
      <c r="G818" s="37" t="s">
        <v>215</v>
      </c>
      <c r="H818" s="40">
        <v>1603.93</v>
      </c>
      <c r="I818" s="39">
        <f>IF(My_Payment[[#This Row],[Payment_Code]]="S",My_Payment[[#This Row],[Total AMT]]/2,IF(My_Payment[[#This Row],[Payment_Code]]="P",My_Payment[[#This Row],[Total AMT]],0))</f>
        <v>1603.93</v>
      </c>
      <c r="J818" s="39">
        <f>IF(My_Payment[[#This Row],[Payment_Code]]="S",My_Payment[[#This Row],[Total AMT]]/2,IF(My_Payment[[#This Row],[Payment_Code]]="N",My_Payment[[#This Row],[Total AMT]],0))</f>
        <v>0</v>
      </c>
    </row>
    <row r="819" spans="1:10">
      <c r="A819" s="38">
        <v>45430</v>
      </c>
      <c r="B819" s="37" t="s">
        <v>348</v>
      </c>
      <c r="C819" s="37" t="s">
        <v>209</v>
      </c>
      <c r="D819" s="37" t="s">
        <v>81</v>
      </c>
      <c r="E819" s="37" t="s">
        <v>211</v>
      </c>
      <c r="F819" s="38">
        <v>45474</v>
      </c>
      <c r="G819" s="37" t="s">
        <v>215</v>
      </c>
      <c r="H819" s="40">
        <f t="shared" ref="H819" si="6">699*1.07</f>
        <v>747.93000000000006</v>
      </c>
      <c r="I819" s="39">
        <f>IF(My_Payment[[#This Row],[Payment_Code]]="S",My_Payment[[#This Row],[Total AMT]]/2,IF(My_Payment[[#This Row],[Payment_Code]]="P",My_Payment[[#This Row],[Total AMT]],0))</f>
        <v>747.93000000000006</v>
      </c>
      <c r="J819" s="39">
        <f>IF(My_Payment[[#This Row],[Payment_Code]]="S",My_Payment[[#This Row],[Total AMT]]/2,IF(My_Payment[[#This Row],[Payment_Code]]="N",My_Payment[[#This Row],[Total AMT]],0))</f>
        <v>0</v>
      </c>
    </row>
    <row r="820" spans="1:10">
      <c r="A820" s="38">
        <v>45460</v>
      </c>
      <c r="B820" s="37" t="s">
        <v>348</v>
      </c>
      <c r="C820" s="37" t="s">
        <v>209</v>
      </c>
      <c r="D820" s="37" t="s">
        <v>20</v>
      </c>
      <c r="E820" s="37" t="s">
        <v>211</v>
      </c>
      <c r="F820" s="38">
        <v>45474</v>
      </c>
      <c r="G820" s="37" t="s">
        <v>215</v>
      </c>
      <c r="H820" s="40">
        <f t="shared" ref="H820" si="7">SUM(H817:H819)*-0.25%+0.01</f>
        <v>-8.0069750000000006</v>
      </c>
      <c r="I820" s="39">
        <f>IF(My_Payment[[#This Row],[Payment_Code]]="S",My_Payment[[#This Row],[Total AMT]]/2,IF(My_Payment[[#This Row],[Payment_Code]]="P",My_Payment[[#This Row],[Total AMT]],0))</f>
        <v>-8.0069750000000006</v>
      </c>
      <c r="J820" s="39">
        <f>IF(My_Payment[[#This Row],[Payment_Code]]="S",My_Payment[[#This Row],[Total AMT]]/2,IF(My_Payment[[#This Row],[Payment_Code]]="N",My_Payment[[#This Row],[Total AMT]],0))</f>
        <v>0</v>
      </c>
    </row>
    <row r="821" spans="1:10">
      <c r="A821" s="38">
        <v>45463</v>
      </c>
      <c r="B821" s="37" t="s">
        <v>348</v>
      </c>
      <c r="C821" s="37" t="s">
        <v>209</v>
      </c>
      <c r="D821" s="37" t="s">
        <v>48</v>
      </c>
      <c r="E821" s="37" t="s">
        <v>211</v>
      </c>
      <c r="F821" s="38">
        <v>45505</v>
      </c>
      <c r="G821" s="37" t="s">
        <v>215</v>
      </c>
      <c r="H821" s="40">
        <f>1064.4</f>
        <v>1064.4000000000001</v>
      </c>
      <c r="I821" s="39">
        <f>IF(My_Payment[[#This Row],[Payment_Code]]="S",My_Payment[[#This Row],[Total AMT]]/2,IF(My_Payment[[#This Row],[Payment_Code]]="P",My_Payment[[#This Row],[Total AMT]],0))</f>
        <v>1064.4000000000001</v>
      </c>
      <c r="J821" s="39">
        <f>IF(My_Payment[[#This Row],[Payment_Code]]="S",My_Payment[[#This Row],[Total AMT]]/2,IF(My_Payment[[#This Row],[Payment_Code]]="N",My_Payment[[#This Row],[Total AMT]],0))</f>
        <v>0</v>
      </c>
    </row>
    <row r="822" spans="1:10">
      <c r="A822" s="38">
        <v>45463</v>
      </c>
      <c r="B822" s="37" t="s">
        <v>348</v>
      </c>
      <c r="C822" s="37" t="s">
        <v>209</v>
      </c>
      <c r="D822" s="37" t="s">
        <v>49</v>
      </c>
      <c r="E822" s="37" t="s">
        <v>211</v>
      </c>
      <c r="F822" s="38">
        <v>45505</v>
      </c>
      <c r="G822" s="37" t="s">
        <v>215</v>
      </c>
      <c r="H822" s="40">
        <v>1603.93</v>
      </c>
      <c r="I822" s="39">
        <f>IF(My_Payment[[#This Row],[Payment_Code]]="S",My_Payment[[#This Row],[Total AMT]]/2,IF(My_Payment[[#This Row],[Payment_Code]]="P",My_Payment[[#This Row],[Total AMT]],0))</f>
        <v>1603.93</v>
      </c>
      <c r="J822" s="39">
        <f>IF(My_Payment[[#This Row],[Payment_Code]]="S",My_Payment[[#This Row],[Total AMT]]/2,IF(My_Payment[[#This Row],[Payment_Code]]="N",My_Payment[[#This Row],[Total AMT]],0))</f>
        <v>0</v>
      </c>
    </row>
    <row r="823" spans="1:10">
      <c r="A823" s="38">
        <v>45461</v>
      </c>
      <c r="B823" s="37" t="s">
        <v>348</v>
      </c>
      <c r="C823" s="37" t="s">
        <v>209</v>
      </c>
      <c r="D823" s="37" t="s">
        <v>81</v>
      </c>
      <c r="E823" s="37" t="s">
        <v>211</v>
      </c>
      <c r="F823" s="38">
        <v>45505</v>
      </c>
      <c r="G823" s="37" t="s">
        <v>215</v>
      </c>
      <c r="H823" s="40">
        <f t="shared" ref="H823" si="8">699*1.07</f>
        <v>747.93000000000006</v>
      </c>
      <c r="I823" s="39">
        <f>IF(My_Payment[[#This Row],[Payment_Code]]="S",My_Payment[[#This Row],[Total AMT]]/2,IF(My_Payment[[#This Row],[Payment_Code]]="P",My_Payment[[#This Row],[Total AMT]],0))</f>
        <v>747.93000000000006</v>
      </c>
      <c r="J823" s="39">
        <f>IF(My_Payment[[#This Row],[Payment_Code]]="S",My_Payment[[#This Row],[Total AMT]]/2,IF(My_Payment[[#This Row],[Payment_Code]]="N",My_Payment[[#This Row],[Total AMT]],0))</f>
        <v>0</v>
      </c>
    </row>
    <row r="824" spans="1:10">
      <c r="A824" s="38">
        <v>45490</v>
      </c>
      <c r="B824" s="37" t="s">
        <v>348</v>
      </c>
      <c r="C824" s="37" t="s">
        <v>209</v>
      </c>
      <c r="D824" s="37" t="s">
        <v>20</v>
      </c>
      <c r="E824" s="37" t="s">
        <v>211</v>
      </c>
      <c r="F824" s="38">
        <v>45505</v>
      </c>
      <c r="G824" s="37" t="s">
        <v>215</v>
      </c>
      <c r="H824" s="40">
        <f>SUM(H821:H823)*-0.25%</f>
        <v>-8.5406500000000012</v>
      </c>
      <c r="I824" s="39">
        <f>IF(My_Payment[[#This Row],[Payment_Code]]="S",My_Payment[[#This Row],[Total AMT]]/2,IF(My_Payment[[#This Row],[Payment_Code]]="P",My_Payment[[#This Row],[Total AMT]],0))</f>
        <v>-8.5406500000000012</v>
      </c>
      <c r="J824" s="39">
        <f>IF(My_Payment[[#This Row],[Payment_Code]]="S",My_Payment[[#This Row],[Total AMT]]/2,IF(My_Payment[[#This Row],[Payment_Code]]="N",My_Payment[[#This Row],[Total AMT]],0))</f>
        <v>0</v>
      </c>
    </row>
    <row r="825" spans="1:10">
      <c r="A825" s="38">
        <v>45493</v>
      </c>
      <c r="B825" s="37" t="s">
        <v>348</v>
      </c>
      <c r="C825" s="37" t="s">
        <v>209</v>
      </c>
      <c r="D825" s="37" t="s">
        <v>48</v>
      </c>
      <c r="E825" s="37" t="s">
        <v>211</v>
      </c>
      <c r="F825" s="38">
        <v>45536</v>
      </c>
      <c r="G825" s="37" t="s">
        <v>215</v>
      </c>
      <c r="H825" s="40">
        <f>982.26+3.21</f>
        <v>985.47</v>
      </c>
      <c r="I825" s="39">
        <f>IF(My_Payment[[#This Row],[Payment_Code]]="S",My_Payment[[#This Row],[Total AMT]]/2,IF(My_Payment[[#This Row],[Payment_Code]]="P",My_Payment[[#This Row],[Total AMT]],0))</f>
        <v>985.47</v>
      </c>
      <c r="J825" s="39">
        <f>IF(My_Payment[[#This Row],[Payment_Code]]="S",My_Payment[[#This Row],[Total AMT]]/2,IF(My_Payment[[#This Row],[Payment_Code]]="N",My_Payment[[#This Row],[Total AMT]],0))</f>
        <v>0</v>
      </c>
    </row>
    <row r="826" spans="1:10">
      <c r="A826" s="38">
        <v>45493</v>
      </c>
      <c r="B826" s="37" t="s">
        <v>348</v>
      </c>
      <c r="C826" s="37" t="s">
        <v>209</v>
      </c>
      <c r="D826" s="37" t="s">
        <v>49</v>
      </c>
      <c r="E826" s="37" t="s">
        <v>211</v>
      </c>
      <c r="F826" s="38">
        <v>45536</v>
      </c>
      <c r="G826" s="37" t="s">
        <v>215</v>
      </c>
      <c r="H826" s="40">
        <v>1603.93</v>
      </c>
      <c r="I826" s="39">
        <f>IF(My_Payment[[#This Row],[Payment_Code]]="S",My_Payment[[#This Row],[Total AMT]]/2,IF(My_Payment[[#This Row],[Payment_Code]]="P",My_Payment[[#This Row],[Total AMT]],0))</f>
        <v>1603.93</v>
      </c>
      <c r="J826" s="39">
        <f>IF(My_Payment[[#This Row],[Payment_Code]]="S",My_Payment[[#This Row],[Total AMT]]/2,IF(My_Payment[[#This Row],[Payment_Code]]="N",My_Payment[[#This Row],[Total AMT]],0))</f>
        <v>0</v>
      </c>
    </row>
    <row r="827" spans="1:10">
      <c r="A827" s="38">
        <v>45491</v>
      </c>
      <c r="B827" s="37" t="s">
        <v>348</v>
      </c>
      <c r="C827" s="37" t="s">
        <v>209</v>
      </c>
      <c r="D827" s="37" t="s">
        <v>81</v>
      </c>
      <c r="E827" s="37" t="s">
        <v>211</v>
      </c>
      <c r="F827" s="38">
        <v>45536</v>
      </c>
      <c r="G827" s="37" t="s">
        <v>215</v>
      </c>
      <c r="H827" s="40">
        <f t="shared" ref="H827" si="9">699*1.07</f>
        <v>747.93000000000006</v>
      </c>
      <c r="I827" s="39">
        <f>IF(My_Payment[[#This Row],[Payment_Code]]="S",My_Payment[[#This Row],[Total AMT]]/2,IF(My_Payment[[#This Row],[Payment_Code]]="P",My_Payment[[#This Row],[Total AMT]],0))</f>
        <v>747.93000000000006</v>
      </c>
      <c r="J827" s="39">
        <f>IF(My_Payment[[#This Row],[Payment_Code]]="S",My_Payment[[#This Row],[Total AMT]]/2,IF(My_Payment[[#This Row],[Payment_Code]]="N",My_Payment[[#This Row],[Total AMT]],0))</f>
        <v>0</v>
      </c>
    </row>
    <row r="828" spans="1:10">
      <c r="A828" s="38">
        <v>45521</v>
      </c>
      <c r="B828" s="37" t="s">
        <v>348</v>
      </c>
      <c r="C828" s="37" t="s">
        <v>209</v>
      </c>
      <c r="D828" s="37" t="s">
        <v>20</v>
      </c>
      <c r="E828" s="37" t="s">
        <v>211</v>
      </c>
      <c r="F828" s="38">
        <v>45536</v>
      </c>
      <c r="G828" s="37" t="s">
        <v>215</v>
      </c>
      <c r="H828" s="40">
        <f>SUM(H825:H827)*-0.25%</f>
        <v>-8.3433250000000001</v>
      </c>
      <c r="I828" s="39">
        <f>IF(My_Payment[[#This Row],[Payment_Code]]="S",My_Payment[[#This Row],[Total AMT]]/2,IF(My_Payment[[#This Row],[Payment_Code]]="P",My_Payment[[#This Row],[Total AMT]],0))</f>
        <v>-8.3433250000000001</v>
      </c>
      <c r="J828" s="39">
        <f>IF(My_Payment[[#This Row],[Payment_Code]]="S",My_Payment[[#This Row],[Total AMT]]/2,IF(My_Payment[[#This Row],[Payment_Code]]="N",My_Payment[[#This Row],[Total AMT]],0))</f>
        <v>0</v>
      </c>
    </row>
    <row r="829" spans="1:10">
      <c r="A829" s="38">
        <v>45524</v>
      </c>
      <c r="B829" s="37" t="s">
        <v>348</v>
      </c>
      <c r="C829" s="37" t="s">
        <v>209</v>
      </c>
      <c r="D829" s="37" t="s">
        <v>48</v>
      </c>
      <c r="E829" s="37" t="s">
        <v>211</v>
      </c>
      <c r="F829" s="38">
        <v>45566</v>
      </c>
      <c r="G829" s="37" t="s">
        <v>215</v>
      </c>
      <c r="H829" s="40">
        <v>982.26</v>
      </c>
      <c r="I829" s="39">
        <f>IF(My_Payment[[#This Row],[Payment_Code]]="S",My_Payment[[#This Row],[Total AMT]]/2,IF(My_Payment[[#This Row],[Payment_Code]]="P",My_Payment[[#This Row],[Total AMT]],0))</f>
        <v>982.26</v>
      </c>
      <c r="J829" s="39">
        <f>IF(My_Payment[[#This Row],[Payment_Code]]="S",My_Payment[[#This Row],[Total AMT]]/2,IF(My_Payment[[#This Row],[Payment_Code]]="N",My_Payment[[#This Row],[Total AMT]],0))</f>
        <v>0</v>
      </c>
    </row>
    <row r="830" spans="1:10">
      <c r="A830" s="38">
        <v>45524</v>
      </c>
      <c r="B830" s="37" t="s">
        <v>348</v>
      </c>
      <c r="C830" s="37" t="s">
        <v>209</v>
      </c>
      <c r="D830" s="37" t="s">
        <v>49</v>
      </c>
      <c r="E830" s="37" t="s">
        <v>211</v>
      </c>
      <c r="F830" s="38">
        <v>45566</v>
      </c>
      <c r="G830" s="37" t="s">
        <v>215</v>
      </c>
      <c r="H830" s="40">
        <v>1603.93</v>
      </c>
      <c r="I830" s="39">
        <f>IF(My_Payment[[#This Row],[Payment_Code]]="S",My_Payment[[#This Row],[Total AMT]]/2,IF(My_Payment[[#This Row],[Payment_Code]]="P",My_Payment[[#This Row],[Total AMT]],0))</f>
        <v>1603.93</v>
      </c>
      <c r="J830" s="39">
        <f>IF(My_Payment[[#This Row],[Payment_Code]]="S",My_Payment[[#This Row],[Total AMT]]/2,IF(My_Payment[[#This Row],[Payment_Code]]="N",My_Payment[[#This Row],[Total AMT]],0))</f>
        <v>0</v>
      </c>
    </row>
    <row r="831" spans="1:10">
      <c r="A831" s="38">
        <v>45522</v>
      </c>
      <c r="B831" s="37" t="s">
        <v>348</v>
      </c>
      <c r="C831" s="37" t="s">
        <v>209</v>
      </c>
      <c r="D831" s="37" t="s">
        <v>81</v>
      </c>
      <c r="E831" s="37" t="s">
        <v>211</v>
      </c>
      <c r="F831" s="38">
        <v>45566</v>
      </c>
      <c r="G831" s="37" t="s">
        <v>215</v>
      </c>
      <c r="H831" s="40">
        <f t="shared" ref="H831" si="10">699*1.07</f>
        <v>747.93000000000006</v>
      </c>
      <c r="I831" s="39">
        <f>IF(My_Payment[[#This Row],[Payment_Code]]="S",My_Payment[[#This Row],[Total AMT]]/2,IF(My_Payment[[#This Row],[Payment_Code]]="P",My_Payment[[#This Row],[Total AMT]],0))</f>
        <v>747.93000000000006</v>
      </c>
      <c r="J831" s="39">
        <f>IF(My_Payment[[#This Row],[Payment_Code]]="S",My_Payment[[#This Row],[Total AMT]]/2,IF(My_Payment[[#This Row],[Payment_Code]]="N",My_Payment[[#This Row],[Total AMT]],0))</f>
        <v>0</v>
      </c>
    </row>
    <row r="832" spans="1:10">
      <c r="A832" s="38">
        <v>45552</v>
      </c>
      <c r="B832" s="37" t="s">
        <v>348</v>
      </c>
      <c r="C832" s="37" t="s">
        <v>209</v>
      </c>
      <c r="D832" s="37" t="s">
        <v>20</v>
      </c>
      <c r="E832" s="37" t="s">
        <v>211</v>
      </c>
      <c r="F832" s="38">
        <v>45566</v>
      </c>
      <c r="G832" s="37" t="s">
        <v>215</v>
      </c>
      <c r="H832" s="40">
        <f>SUM(H829:H831)*-0.25%+0.01</f>
        <v>-8.3253000000000004</v>
      </c>
      <c r="I832" s="39">
        <f>IF(My_Payment[[#This Row],[Payment_Code]]="S",My_Payment[[#This Row],[Total AMT]]/2,IF(My_Payment[[#This Row],[Payment_Code]]="P",My_Payment[[#This Row],[Total AMT]],0))</f>
        <v>-8.3253000000000004</v>
      </c>
      <c r="J832" s="39">
        <f>IF(My_Payment[[#This Row],[Payment_Code]]="S",My_Payment[[#This Row],[Total AMT]]/2,IF(My_Payment[[#This Row],[Payment_Code]]="N",My_Payment[[#This Row],[Total AMT]],0))</f>
        <v>0</v>
      </c>
    </row>
    <row r="833" spans="1:14">
      <c r="A833" s="38">
        <v>45555</v>
      </c>
      <c r="B833" s="37" t="s">
        <v>348</v>
      </c>
      <c r="C833" s="37" t="s">
        <v>209</v>
      </c>
      <c r="D833" s="37" t="s">
        <v>48</v>
      </c>
      <c r="E833" s="37" t="s">
        <v>211</v>
      </c>
      <c r="F833" s="38">
        <v>45597</v>
      </c>
      <c r="G833" s="37" t="s">
        <v>215</v>
      </c>
      <c r="H833" s="40">
        <v>982.26</v>
      </c>
      <c r="I833" s="39">
        <f>IF(My_Payment[[#This Row],[Payment_Code]]="S",My_Payment[[#This Row],[Total AMT]]/2,IF(My_Payment[[#This Row],[Payment_Code]]="P",My_Payment[[#This Row],[Total AMT]],0))</f>
        <v>982.26</v>
      </c>
      <c r="J833" s="39">
        <f>IF(My_Payment[[#This Row],[Payment_Code]]="S",My_Payment[[#This Row],[Total AMT]]/2,IF(My_Payment[[#This Row],[Payment_Code]]="N",My_Payment[[#This Row],[Total AMT]],0))</f>
        <v>0</v>
      </c>
    </row>
    <row r="834" spans="1:14">
      <c r="A834" s="38">
        <v>45555</v>
      </c>
      <c r="B834" s="37" t="s">
        <v>348</v>
      </c>
      <c r="C834" s="37" t="s">
        <v>209</v>
      </c>
      <c r="D834" s="37" t="s">
        <v>49</v>
      </c>
      <c r="E834" s="37" t="s">
        <v>211</v>
      </c>
      <c r="F834" s="38">
        <v>45597</v>
      </c>
      <c r="G834" s="37" t="s">
        <v>215</v>
      </c>
      <c r="H834" s="40">
        <f>1603.93+141.82</f>
        <v>1745.75</v>
      </c>
      <c r="I834" s="39">
        <f>IF(My_Payment[[#This Row],[Payment_Code]]="S",My_Payment[[#This Row],[Total AMT]]/2,IF(My_Payment[[#This Row],[Payment_Code]]="P",My_Payment[[#This Row],[Total AMT]],0))</f>
        <v>1745.75</v>
      </c>
      <c r="J834" s="39">
        <f>IF(My_Payment[[#This Row],[Payment_Code]]="S",My_Payment[[#This Row],[Total AMT]]/2,IF(My_Payment[[#This Row],[Payment_Code]]="N",My_Payment[[#This Row],[Total AMT]],0))</f>
        <v>0</v>
      </c>
    </row>
    <row r="835" spans="1:14">
      <c r="A835" s="38">
        <v>45553</v>
      </c>
      <c r="B835" s="37" t="s">
        <v>348</v>
      </c>
      <c r="C835" s="37" t="s">
        <v>209</v>
      </c>
      <c r="D835" s="37" t="s">
        <v>81</v>
      </c>
      <c r="E835" s="37" t="s">
        <v>211</v>
      </c>
      <c r="F835" s="38">
        <v>45597</v>
      </c>
      <c r="G835" s="37" t="s">
        <v>215</v>
      </c>
      <c r="H835" s="40">
        <f t="shared" ref="H835" si="11">699*1.07</f>
        <v>747.93000000000006</v>
      </c>
      <c r="I835" s="39">
        <f>IF(My_Payment[[#This Row],[Payment_Code]]="S",My_Payment[[#This Row],[Total AMT]]/2,IF(My_Payment[[#This Row],[Payment_Code]]="P",My_Payment[[#This Row],[Total AMT]],0))</f>
        <v>747.93000000000006</v>
      </c>
      <c r="J835" s="39">
        <f>IF(My_Payment[[#This Row],[Payment_Code]]="S",My_Payment[[#This Row],[Total AMT]]/2,IF(My_Payment[[#This Row],[Payment_Code]]="N",My_Payment[[#This Row],[Total AMT]],0))</f>
        <v>0</v>
      </c>
      <c r="N835" s="39"/>
    </row>
    <row r="836" spans="1:14">
      <c r="A836" s="38">
        <v>45582</v>
      </c>
      <c r="B836" s="37" t="s">
        <v>348</v>
      </c>
      <c r="C836" s="37" t="s">
        <v>209</v>
      </c>
      <c r="D836" s="37" t="s">
        <v>20</v>
      </c>
      <c r="E836" s="37" t="s">
        <v>211</v>
      </c>
      <c r="F836" s="38">
        <v>45597</v>
      </c>
      <c r="G836" s="37" t="s">
        <v>215</v>
      </c>
      <c r="H836" s="40">
        <f>SUM(H833:H835)*-0.25%+0.01</f>
        <v>-8.6798500000000018</v>
      </c>
      <c r="I836" s="39">
        <f>IF(My_Payment[[#This Row],[Payment_Code]]="S",My_Payment[[#This Row],[Total AMT]]/2,IF(My_Payment[[#This Row],[Payment_Code]]="P",My_Payment[[#This Row],[Total AMT]],0))</f>
        <v>-8.6798500000000018</v>
      </c>
      <c r="J836" s="39">
        <f>IF(My_Payment[[#This Row],[Payment_Code]]="S",My_Payment[[#This Row],[Total AMT]]/2,IF(My_Payment[[#This Row],[Payment_Code]]="N",My_Payment[[#This Row],[Total AMT]],0))</f>
        <v>0</v>
      </c>
      <c r="N836" s="39"/>
    </row>
    <row r="837" spans="1:14">
      <c r="A837" s="38">
        <v>45585</v>
      </c>
      <c r="B837" s="37" t="s">
        <v>348</v>
      </c>
      <c r="C837" s="37" t="s">
        <v>209</v>
      </c>
      <c r="D837" s="37" t="s">
        <v>48</v>
      </c>
      <c r="E837" s="37" t="s">
        <v>211</v>
      </c>
      <c r="F837" s="38">
        <v>45627</v>
      </c>
      <c r="G837" s="37" t="s">
        <v>215</v>
      </c>
      <c r="H837" s="40">
        <v>982.26</v>
      </c>
      <c r="I837" s="39">
        <f>IF(My_Payment[[#This Row],[Payment_Code]]="S",My_Payment[[#This Row],[Total AMT]]/2,IF(My_Payment[[#This Row],[Payment_Code]]="P",My_Payment[[#This Row],[Total AMT]],0))</f>
        <v>982.26</v>
      </c>
      <c r="J837" s="39">
        <f>IF(My_Payment[[#This Row],[Payment_Code]]="S",My_Payment[[#This Row],[Total AMT]]/2,IF(My_Payment[[#This Row],[Payment_Code]]="N",My_Payment[[#This Row],[Total AMT]],0))</f>
        <v>0</v>
      </c>
    </row>
    <row r="838" spans="1:14">
      <c r="A838" s="38">
        <v>45585</v>
      </c>
      <c r="B838" s="37" t="s">
        <v>348</v>
      </c>
      <c r="C838" s="37" t="s">
        <v>209</v>
      </c>
      <c r="D838" s="37" t="s">
        <v>49</v>
      </c>
      <c r="E838" s="37" t="s">
        <v>211</v>
      </c>
      <c r="F838" s="38">
        <v>45627</v>
      </c>
      <c r="G838" s="37" t="s">
        <v>215</v>
      </c>
      <c r="H838" s="40">
        <f>(1412.97-268.13+155.15+466.36)*1.07</f>
        <v>1889.9945000000005</v>
      </c>
      <c r="I838" s="39">
        <f>IF(My_Payment[[#This Row],[Payment_Code]]="S",My_Payment[[#This Row],[Total AMT]]/2,IF(My_Payment[[#This Row],[Payment_Code]]="P",My_Payment[[#This Row],[Total AMT]],0))</f>
        <v>1889.9945000000005</v>
      </c>
      <c r="J838" s="39">
        <f>IF(My_Payment[[#This Row],[Payment_Code]]="S",My_Payment[[#This Row],[Total AMT]]/2,IF(My_Payment[[#This Row],[Payment_Code]]="N",My_Payment[[#This Row],[Total AMT]],0))</f>
        <v>0</v>
      </c>
    </row>
    <row r="839" spans="1:14">
      <c r="A839" s="38">
        <v>45583</v>
      </c>
      <c r="B839" s="37" t="s">
        <v>348</v>
      </c>
      <c r="C839" s="37" t="s">
        <v>209</v>
      </c>
      <c r="D839" s="37" t="s">
        <v>81</v>
      </c>
      <c r="E839" s="37" t="s">
        <v>211</v>
      </c>
      <c r="F839" s="38">
        <v>45627</v>
      </c>
      <c r="G839" s="37" t="s">
        <v>215</v>
      </c>
      <c r="H839" s="40">
        <f t="shared" ref="H839" si="12">699*1.07</f>
        <v>747.93000000000006</v>
      </c>
      <c r="I839" s="39">
        <f>IF(My_Payment[[#This Row],[Payment_Code]]="S",My_Payment[[#This Row],[Total AMT]]/2,IF(My_Payment[[#This Row],[Payment_Code]]="P",My_Payment[[#This Row],[Total AMT]],0))</f>
        <v>747.93000000000006</v>
      </c>
      <c r="J839" s="39">
        <f>IF(My_Payment[[#This Row],[Payment_Code]]="S",My_Payment[[#This Row],[Total AMT]]/2,IF(My_Payment[[#This Row],[Payment_Code]]="N",My_Payment[[#This Row],[Total AMT]],0))</f>
        <v>0</v>
      </c>
    </row>
    <row r="840" spans="1:14">
      <c r="A840" s="38">
        <v>45613</v>
      </c>
      <c r="B840" s="37" t="s">
        <v>348</v>
      </c>
      <c r="C840" s="37" t="s">
        <v>209</v>
      </c>
      <c r="D840" s="37" t="s">
        <v>20</v>
      </c>
      <c r="E840" s="37" t="s">
        <v>211</v>
      </c>
      <c r="F840" s="38">
        <v>45627</v>
      </c>
      <c r="G840" s="37" t="s">
        <v>215</v>
      </c>
      <c r="H840" s="40">
        <f>SUM(H837:H839)*-0.25%</f>
        <v>-9.0504612500000015</v>
      </c>
      <c r="I840" s="39">
        <f>IF(My_Payment[[#This Row],[Payment_Code]]="S",My_Payment[[#This Row],[Total AMT]]/2,IF(My_Payment[[#This Row],[Payment_Code]]="P",My_Payment[[#This Row],[Total AMT]],0))</f>
        <v>-9.0504612500000015</v>
      </c>
      <c r="J840" s="39">
        <f>IF(My_Payment[[#This Row],[Payment_Code]]="S",My_Payment[[#This Row],[Total AMT]]/2,IF(My_Payment[[#This Row],[Payment_Code]]="N",My_Payment[[#This Row],[Total AMT]],0))</f>
        <v>0</v>
      </c>
    </row>
    <row r="841" spans="1:14">
      <c r="A841" s="38">
        <v>45616</v>
      </c>
      <c r="B841" s="37" t="s">
        <v>348</v>
      </c>
      <c r="C841" s="37" t="s">
        <v>209</v>
      </c>
      <c r="D841" s="37" t="s">
        <v>48</v>
      </c>
      <c r="E841" s="37" t="s">
        <v>211</v>
      </c>
      <c r="F841" s="38">
        <v>45658</v>
      </c>
      <c r="G841" s="37" t="s">
        <v>215</v>
      </c>
      <c r="H841" s="40">
        <v>982.26</v>
      </c>
      <c r="I841" s="39">
        <f>IF(My_Payment[[#This Row],[Payment_Code]]="S",My_Payment[[#This Row],[Total AMT]]/2,IF(My_Payment[[#This Row],[Payment_Code]]="P",My_Payment[[#This Row],[Total AMT]],0))</f>
        <v>982.26</v>
      </c>
      <c r="J841" s="39">
        <f>IF(My_Payment[[#This Row],[Payment_Code]]="S",My_Payment[[#This Row],[Total AMT]]/2,IF(My_Payment[[#This Row],[Payment_Code]]="N",My_Payment[[#This Row],[Total AMT]],0))</f>
        <v>0</v>
      </c>
    </row>
    <row r="842" spans="1:14">
      <c r="A842" s="38">
        <v>45616</v>
      </c>
      <c r="B842" s="37" t="s">
        <v>348</v>
      </c>
      <c r="C842" s="37" t="s">
        <v>209</v>
      </c>
      <c r="D842" s="37" t="s">
        <v>49</v>
      </c>
      <c r="E842" s="37" t="s">
        <v>211</v>
      </c>
      <c r="F842" s="38">
        <v>45658</v>
      </c>
      <c r="G842" s="37" t="s">
        <v>215</v>
      </c>
      <c r="H842" s="40">
        <f>(1412.97-268.13+155.15+466.36)*1.07</f>
        <v>1889.9945000000005</v>
      </c>
      <c r="I842" s="39">
        <f>IF(My_Payment[[#This Row],[Payment_Code]]="S",My_Payment[[#This Row],[Total AMT]]/2,IF(My_Payment[[#This Row],[Payment_Code]]="P",My_Payment[[#This Row],[Total AMT]],0))</f>
        <v>1889.9945000000005</v>
      </c>
      <c r="J842" s="39">
        <f>IF(My_Payment[[#This Row],[Payment_Code]]="S",My_Payment[[#This Row],[Total AMT]]/2,IF(My_Payment[[#This Row],[Payment_Code]]="N",My_Payment[[#This Row],[Total AMT]],0))</f>
        <v>0</v>
      </c>
    </row>
    <row r="843" spans="1:14">
      <c r="A843" s="38">
        <v>45614</v>
      </c>
      <c r="B843" s="37" t="s">
        <v>348</v>
      </c>
      <c r="C843" s="37" t="s">
        <v>209</v>
      </c>
      <c r="D843" s="37" t="s">
        <v>81</v>
      </c>
      <c r="E843" s="37" t="s">
        <v>211</v>
      </c>
      <c r="F843" s="38">
        <v>45658</v>
      </c>
      <c r="G843" s="37" t="s">
        <v>215</v>
      </c>
      <c r="H843" s="40">
        <f t="shared" ref="H843" si="13">699*1.07</f>
        <v>747.93000000000006</v>
      </c>
      <c r="I843" s="39">
        <f>IF(My_Payment[[#This Row],[Payment_Code]]="S",My_Payment[[#This Row],[Total AMT]]/2,IF(My_Payment[[#This Row],[Payment_Code]]="P",My_Payment[[#This Row],[Total AMT]],0))</f>
        <v>747.93000000000006</v>
      </c>
      <c r="J843" s="39">
        <f>IF(My_Payment[[#This Row],[Payment_Code]]="S",My_Payment[[#This Row],[Total AMT]]/2,IF(My_Payment[[#This Row],[Payment_Code]]="N",My_Payment[[#This Row],[Total AMT]],0))</f>
        <v>0</v>
      </c>
    </row>
    <row r="844" spans="1:14">
      <c r="A844" s="38">
        <v>45643</v>
      </c>
      <c r="B844" s="37" t="s">
        <v>348</v>
      </c>
      <c r="C844" s="37" t="s">
        <v>209</v>
      </c>
      <c r="D844" s="37" t="s">
        <v>20</v>
      </c>
      <c r="E844" s="37" t="s">
        <v>211</v>
      </c>
      <c r="F844" s="38">
        <v>45658</v>
      </c>
      <c r="G844" s="37" t="s">
        <v>215</v>
      </c>
      <c r="H844" s="40">
        <f>SUM(H841:H843)*-0.25%</f>
        <v>-9.0504612500000015</v>
      </c>
      <c r="I844" s="39">
        <f>IF(My_Payment[[#This Row],[Payment_Code]]="S",My_Payment[[#This Row],[Total AMT]]/2,IF(My_Payment[[#This Row],[Payment_Code]]="P",My_Payment[[#This Row],[Total AMT]],0))</f>
        <v>-9.0504612500000015</v>
      </c>
      <c r="J844" s="39">
        <f>IF(My_Payment[[#This Row],[Payment_Code]]="S",My_Payment[[#This Row],[Total AMT]]/2,IF(My_Payment[[#This Row],[Payment_Code]]="N",My_Payment[[#This Row],[Total AMT]],0))</f>
        <v>0</v>
      </c>
    </row>
    <row r="845" spans="1:14">
      <c r="A845" s="38">
        <v>45646</v>
      </c>
      <c r="B845" s="37" t="s">
        <v>348</v>
      </c>
      <c r="C845" s="37" t="s">
        <v>209</v>
      </c>
      <c r="D845" s="37" t="s">
        <v>48</v>
      </c>
      <c r="E845" s="37" t="s">
        <v>211</v>
      </c>
      <c r="F845" s="38">
        <v>45689</v>
      </c>
      <c r="G845" s="37" t="s">
        <v>215</v>
      </c>
      <c r="H845" s="40">
        <v>982.26</v>
      </c>
      <c r="I845" s="39">
        <f>IF(My_Payment[[#This Row],[Payment_Code]]="S",My_Payment[[#This Row],[Total AMT]]/2,IF(My_Payment[[#This Row],[Payment_Code]]="P",My_Payment[[#This Row],[Total AMT]],0))</f>
        <v>982.26</v>
      </c>
      <c r="J845" s="39">
        <f>IF(My_Payment[[#This Row],[Payment_Code]]="S",My_Payment[[#This Row],[Total AMT]]/2,IF(My_Payment[[#This Row],[Payment_Code]]="N",My_Payment[[#This Row],[Total AMT]],0))</f>
        <v>0</v>
      </c>
    </row>
    <row r="846" spans="1:14">
      <c r="A846" s="38">
        <v>45646</v>
      </c>
      <c r="B846" s="37" t="s">
        <v>348</v>
      </c>
      <c r="C846" s="37" t="s">
        <v>209</v>
      </c>
      <c r="D846" s="37" t="s">
        <v>49</v>
      </c>
      <c r="E846" s="37" t="s">
        <v>211</v>
      </c>
      <c r="F846" s="38">
        <v>45689</v>
      </c>
      <c r="G846" s="37" t="s">
        <v>215</v>
      </c>
      <c r="H846" s="40">
        <f>(1412.97-268.13+155.15+466.36)*1.07</f>
        <v>1889.9945000000005</v>
      </c>
      <c r="I846" s="39">
        <f>IF(My_Payment[[#This Row],[Payment_Code]]="S",My_Payment[[#This Row],[Total AMT]]/2,IF(My_Payment[[#This Row],[Payment_Code]]="P",My_Payment[[#This Row],[Total AMT]],0))</f>
        <v>1889.9945000000005</v>
      </c>
      <c r="J846" s="39">
        <f>IF(My_Payment[[#This Row],[Payment_Code]]="S",My_Payment[[#This Row],[Total AMT]]/2,IF(My_Payment[[#This Row],[Payment_Code]]="N",My_Payment[[#This Row],[Total AMT]],0))</f>
        <v>0</v>
      </c>
    </row>
    <row r="847" spans="1:14">
      <c r="A847" s="38">
        <v>45644</v>
      </c>
      <c r="B847" s="37" t="s">
        <v>348</v>
      </c>
      <c r="C847" s="37" t="s">
        <v>209</v>
      </c>
      <c r="D847" s="37" t="s">
        <v>81</v>
      </c>
      <c r="E847" s="37" t="s">
        <v>211</v>
      </c>
      <c r="F847" s="38">
        <v>45689</v>
      </c>
      <c r="G847" s="37" t="s">
        <v>215</v>
      </c>
      <c r="H847" s="40">
        <f t="shared" ref="H847" si="14">699*1.07</f>
        <v>747.93000000000006</v>
      </c>
      <c r="I847" s="39">
        <f>IF(My_Payment[[#This Row],[Payment_Code]]="S",My_Payment[[#This Row],[Total AMT]]/2,IF(My_Payment[[#This Row],[Payment_Code]]="P",My_Payment[[#This Row],[Total AMT]],0))</f>
        <v>747.93000000000006</v>
      </c>
      <c r="J847" s="39">
        <f>IF(My_Payment[[#This Row],[Payment_Code]]="S",My_Payment[[#This Row],[Total AMT]]/2,IF(My_Payment[[#This Row],[Payment_Code]]="N",My_Payment[[#This Row],[Total AMT]],0))</f>
        <v>0</v>
      </c>
    </row>
    <row r="848" spans="1:14">
      <c r="A848" s="38">
        <v>45674</v>
      </c>
      <c r="B848" s="37" t="s">
        <v>348</v>
      </c>
      <c r="C848" s="37" t="s">
        <v>209</v>
      </c>
      <c r="D848" s="37" t="s">
        <v>20</v>
      </c>
      <c r="E848" s="37" t="s">
        <v>211</v>
      </c>
      <c r="F848" s="38">
        <v>45689</v>
      </c>
      <c r="G848" s="37" t="s">
        <v>215</v>
      </c>
      <c r="H848" s="40">
        <f>SUM(H845:H847)*-0.25%</f>
        <v>-9.0504612500000015</v>
      </c>
      <c r="I848" s="39">
        <f>IF(My_Payment[[#This Row],[Payment_Code]]="S",My_Payment[[#This Row],[Total AMT]]/2,IF(My_Payment[[#This Row],[Payment_Code]]="P",My_Payment[[#This Row],[Total AMT]],0))</f>
        <v>-9.0504612500000015</v>
      </c>
      <c r="J848" s="39">
        <f>IF(My_Payment[[#This Row],[Payment_Code]]="S",My_Payment[[#This Row],[Total AMT]]/2,IF(My_Payment[[#This Row],[Payment_Code]]="N",My_Payment[[#This Row],[Total AMT]],0))</f>
        <v>0</v>
      </c>
    </row>
    <row r="849" spans="1:10">
      <c r="A849" s="38">
        <v>45432</v>
      </c>
      <c r="B849" s="37" t="s">
        <v>345</v>
      </c>
      <c r="C849" s="37" t="s">
        <v>248</v>
      </c>
      <c r="D849" s="37" t="s">
        <v>346</v>
      </c>
      <c r="E849" s="37" t="s">
        <v>211</v>
      </c>
      <c r="F849" s="38">
        <v>45475</v>
      </c>
      <c r="G849" s="37" t="s">
        <v>215</v>
      </c>
      <c r="H849" s="40">
        <v>1191.8699999999999</v>
      </c>
      <c r="I849" s="39">
        <f>IF(My_Payment[[#This Row],[Payment_Code]]="S",My_Payment[[#This Row],[Total AMT]]/2,IF(My_Payment[[#This Row],[Payment_Code]]="P",My_Payment[[#This Row],[Total AMT]],0))</f>
        <v>1191.8699999999999</v>
      </c>
      <c r="J849" s="39">
        <f>IF(My_Payment[[#This Row],[Payment_Code]]="S",My_Payment[[#This Row],[Total AMT]]/2,IF(My_Payment[[#This Row],[Payment_Code]]="N",My_Payment[[#This Row],[Total AMT]],0))</f>
        <v>0</v>
      </c>
    </row>
    <row r="850" spans="1:10">
      <c r="A850" s="38">
        <v>45463</v>
      </c>
      <c r="B850" s="37" t="s">
        <v>345</v>
      </c>
      <c r="C850" s="37" t="s">
        <v>248</v>
      </c>
      <c r="D850" s="37" t="s">
        <v>346</v>
      </c>
      <c r="E850" s="37" t="s">
        <v>211</v>
      </c>
      <c r="F850" s="38">
        <v>45506</v>
      </c>
      <c r="G850" s="37" t="s">
        <v>215</v>
      </c>
      <c r="H850" s="40">
        <v>1191.8699999999999</v>
      </c>
      <c r="I850" s="39">
        <f>IF(My_Payment[[#This Row],[Payment_Code]]="S",My_Payment[[#This Row],[Total AMT]]/2,IF(My_Payment[[#This Row],[Payment_Code]]="P",My_Payment[[#This Row],[Total AMT]],0))</f>
        <v>1191.8699999999999</v>
      </c>
      <c r="J850" s="39">
        <f>IF(My_Payment[[#This Row],[Payment_Code]]="S",My_Payment[[#This Row],[Total AMT]]/2,IF(My_Payment[[#This Row],[Payment_Code]]="N",My_Payment[[#This Row],[Total AMT]],0))</f>
        <v>0</v>
      </c>
    </row>
    <row r="851" spans="1:10">
      <c r="A851" s="38">
        <v>45493</v>
      </c>
      <c r="B851" s="37" t="s">
        <v>345</v>
      </c>
      <c r="C851" s="37" t="s">
        <v>248</v>
      </c>
      <c r="D851" s="37" t="s">
        <v>346</v>
      </c>
      <c r="E851" s="37" t="s">
        <v>211</v>
      </c>
      <c r="F851" s="38">
        <v>45537</v>
      </c>
      <c r="G851" s="37" t="s">
        <v>215</v>
      </c>
      <c r="H851" s="40">
        <v>1191.8699999999999</v>
      </c>
      <c r="I851" s="39">
        <f>IF(My_Payment[[#This Row],[Payment_Code]]="S",My_Payment[[#This Row],[Total AMT]]/2,IF(My_Payment[[#This Row],[Payment_Code]]="P",My_Payment[[#This Row],[Total AMT]],0))</f>
        <v>1191.8699999999999</v>
      </c>
      <c r="J851" s="39">
        <f>IF(My_Payment[[#This Row],[Payment_Code]]="S",My_Payment[[#This Row],[Total AMT]]/2,IF(My_Payment[[#This Row],[Payment_Code]]="N",My_Payment[[#This Row],[Total AMT]],0))</f>
        <v>0</v>
      </c>
    </row>
    <row r="852" spans="1:10">
      <c r="A852" s="38">
        <v>45524</v>
      </c>
      <c r="B852" s="37" t="s">
        <v>345</v>
      </c>
      <c r="C852" s="37" t="s">
        <v>248</v>
      </c>
      <c r="D852" s="37" t="s">
        <v>346</v>
      </c>
      <c r="E852" s="37" t="s">
        <v>211</v>
      </c>
      <c r="F852" s="38">
        <v>45567</v>
      </c>
      <c r="G852" s="37" t="s">
        <v>215</v>
      </c>
      <c r="H852" s="40">
        <v>1191.8699999999999</v>
      </c>
      <c r="I852" s="39">
        <f>IF(My_Payment[[#This Row],[Payment_Code]]="S",My_Payment[[#This Row],[Total AMT]]/2,IF(My_Payment[[#This Row],[Payment_Code]]="P",My_Payment[[#This Row],[Total AMT]],0))</f>
        <v>1191.8699999999999</v>
      </c>
      <c r="J852" s="39">
        <f>IF(My_Payment[[#This Row],[Payment_Code]]="S",My_Payment[[#This Row],[Total AMT]]/2,IF(My_Payment[[#This Row],[Payment_Code]]="N",My_Payment[[#This Row],[Total AMT]],0))</f>
        <v>0</v>
      </c>
    </row>
    <row r="853" spans="1:10">
      <c r="A853" s="38">
        <v>45555</v>
      </c>
      <c r="B853" s="37" t="s">
        <v>345</v>
      </c>
      <c r="C853" s="37" t="s">
        <v>248</v>
      </c>
      <c r="D853" s="37" t="s">
        <v>346</v>
      </c>
      <c r="E853" s="37" t="s">
        <v>211</v>
      </c>
      <c r="F853" s="38">
        <v>45598</v>
      </c>
      <c r="G853" s="37" t="s">
        <v>215</v>
      </c>
      <c r="H853" s="40">
        <v>1191.8699999999999</v>
      </c>
      <c r="I853" s="39">
        <f>IF(My_Payment[[#This Row],[Payment_Code]]="S",My_Payment[[#This Row],[Total AMT]]/2,IF(My_Payment[[#This Row],[Payment_Code]]="P",My_Payment[[#This Row],[Total AMT]],0))</f>
        <v>1191.8699999999999</v>
      </c>
      <c r="J853" s="39">
        <f>IF(My_Payment[[#This Row],[Payment_Code]]="S",My_Payment[[#This Row],[Total AMT]]/2,IF(My_Payment[[#This Row],[Payment_Code]]="N",My_Payment[[#This Row],[Total AMT]],0))</f>
        <v>0</v>
      </c>
    </row>
    <row r="854" spans="1:10">
      <c r="A854" s="38">
        <v>45585</v>
      </c>
      <c r="B854" s="37" t="s">
        <v>345</v>
      </c>
      <c r="C854" s="37" t="s">
        <v>248</v>
      </c>
      <c r="D854" s="37" t="s">
        <v>346</v>
      </c>
      <c r="E854" s="37" t="s">
        <v>211</v>
      </c>
      <c r="F854" s="38">
        <v>45628</v>
      </c>
      <c r="G854" s="37" t="s">
        <v>215</v>
      </c>
      <c r="H854" s="40">
        <v>1191.8699999999999</v>
      </c>
      <c r="I854" s="39">
        <f>IF(My_Payment[[#This Row],[Payment_Code]]="S",My_Payment[[#This Row],[Total AMT]]/2,IF(My_Payment[[#This Row],[Payment_Code]]="P",My_Payment[[#This Row],[Total AMT]],0))</f>
        <v>1191.8699999999999</v>
      </c>
      <c r="J854" s="39">
        <f>IF(My_Payment[[#This Row],[Payment_Code]]="S",My_Payment[[#This Row],[Total AMT]]/2,IF(My_Payment[[#This Row],[Payment_Code]]="N",My_Payment[[#This Row],[Total AMT]],0))</f>
        <v>0</v>
      </c>
    </row>
    <row r="855" spans="1:10">
      <c r="A855" s="38">
        <v>45616</v>
      </c>
      <c r="B855" s="37" t="s">
        <v>345</v>
      </c>
      <c r="C855" s="37" t="s">
        <v>248</v>
      </c>
      <c r="D855" s="37" t="s">
        <v>346</v>
      </c>
      <c r="E855" s="37" t="s">
        <v>211</v>
      </c>
      <c r="F855" s="38">
        <v>45659</v>
      </c>
      <c r="G855" s="37" t="s">
        <v>215</v>
      </c>
      <c r="H855" s="40">
        <v>1191.8699999999999</v>
      </c>
      <c r="I855" s="39">
        <f>IF(My_Payment[[#This Row],[Payment_Code]]="S",My_Payment[[#This Row],[Total AMT]]/2,IF(My_Payment[[#This Row],[Payment_Code]]="P",My_Payment[[#This Row],[Total AMT]],0))</f>
        <v>1191.8699999999999</v>
      </c>
      <c r="J855" s="39">
        <f>IF(My_Payment[[#This Row],[Payment_Code]]="S",My_Payment[[#This Row],[Total AMT]]/2,IF(My_Payment[[#This Row],[Payment_Code]]="N",My_Payment[[#This Row],[Total AMT]],0))</f>
        <v>0</v>
      </c>
    </row>
    <row r="856" spans="1:10">
      <c r="A856" s="38">
        <v>45646</v>
      </c>
      <c r="B856" s="37" t="s">
        <v>345</v>
      </c>
      <c r="C856" s="37" t="s">
        <v>248</v>
      </c>
      <c r="D856" s="37" t="s">
        <v>346</v>
      </c>
      <c r="E856" s="37" t="s">
        <v>211</v>
      </c>
      <c r="F856" s="38">
        <v>45690</v>
      </c>
      <c r="G856" s="37" t="s">
        <v>215</v>
      </c>
      <c r="H856" s="40">
        <v>1191.8699999999999</v>
      </c>
      <c r="I856" s="39">
        <f>IF(My_Payment[[#This Row],[Payment_Code]]="S",My_Payment[[#This Row],[Total AMT]]/2,IF(My_Payment[[#This Row],[Payment_Code]]="P",My_Payment[[#This Row],[Total AMT]],0))</f>
        <v>1191.8699999999999</v>
      </c>
      <c r="J856" s="39">
        <f>IF(My_Payment[[#This Row],[Payment_Code]]="S",My_Payment[[#This Row],[Total AMT]]/2,IF(My_Payment[[#This Row],[Payment_Code]]="N",My_Payment[[#This Row],[Total AMT]],0))</f>
        <v>0</v>
      </c>
    </row>
    <row r="857" spans="1:10">
      <c r="A857" s="38">
        <v>45291</v>
      </c>
      <c r="B857" s="37" t="s">
        <v>345</v>
      </c>
      <c r="C857" s="37" t="s">
        <v>248</v>
      </c>
      <c r="D857" s="37" t="s">
        <v>451</v>
      </c>
      <c r="E857" s="37" t="s">
        <v>211</v>
      </c>
      <c r="F857" s="38">
        <v>45324</v>
      </c>
      <c r="G857" s="37" t="s">
        <v>212</v>
      </c>
      <c r="H857" s="40">
        <v>1583.07</v>
      </c>
      <c r="I857" s="39">
        <f>IF(My_Payment[[#This Row],[Payment_Code]]="S",My_Payment[[#This Row],[Total AMT]]/2,IF(My_Payment[[#This Row],[Payment_Code]]="P",My_Payment[[#This Row],[Total AMT]],0))</f>
        <v>791.53499999999997</v>
      </c>
      <c r="J857" s="39">
        <f>IF(My_Payment[[#This Row],[Payment_Code]]="S",My_Payment[[#This Row],[Total AMT]]/2,IF(My_Payment[[#This Row],[Payment_Code]]="N",My_Payment[[#This Row],[Total AMT]],0))</f>
        <v>791.53499999999997</v>
      </c>
    </row>
    <row r="858" spans="1:10">
      <c r="A858" s="38">
        <v>45265</v>
      </c>
      <c r="B858" s="37" t="s">
        <v>357</v>
      </c>
      <c r="C858" s="37" t="s">
        <v>248</v>
      </c>
      <c r="D858" s="37" t="s">
        <v>375</v>
      </c>
      <c r="E858" s="37" t="s">
        <v>211</v>
      </c>
      <c r="F858" s="38">
        <v>45296</v>
      </c>
      <c r="G858" s="37" t="s">
        <v>215</v>
      </c>
      <c r="H858" s="40">
        <v>150</v>
      </c>
      <c r="I858" s="39">
        <f>IF(My_Payment[[#This Row],[Payment_Code]]="S",My_Payment[[#This Row],[Total AMT]]/2,IF(My_Payment[[#This Row],[Payment_Code]]="P",My_Payment[[#This Row],[Total AMT]],0))</f>
        <v>150</v>
      </c>
      <c r="J858" s="39">
        <f>IF(My_Payment[[#This Row],[Payment_Code]]="S",My_Payment[[#This Row],[Total AMT]]/2,IF(My_Payment[[#This Row],[Payment_Code]]="N",My_Payment[[#This Row],[Total AMT]],0))</f>
        <v>0</v>
      </c>
    </row>
    <row r="859" spans="1:10">
      <c r="A859" s="38">
        <v>45273</v>
      </c>
      <c r="B859" s="37" t="s">
        <v>357</v>
      </c>
      <c r="C859" s="37" t="s">
        <v>248</v>
      </c>
      <c r="D859" s="37" t="s">
        <v>452</v>
      </c>
      <c r="E859" s="37" t="s">
        <v>211</v>
      </c>
      <c r="F859" s="38">
        <v>45296</v>
      </c>
      <c r="G859" s="37" t="s">
        <v>215</v>
      </c>
      <c r="H859" s="40">
        <v>2508</v>
      </c>
      <c r="I859" s="39">
        <f>IF(My_Payment[[#This Row],[Payment_Code]]="S",My_Payment[[#This Row],[Total AMT]]/2,IF(My_Payment[[#This Row],[Payment_Code]]="P",My_Payment[[#This Row],[Total AMT]],0))</f>
        <v>2508</v>
      </c>
      <c r="J859" s="39">
        <f>IF(My_Payment[[#This Row],[Payment_Code]]="S",My_Payment[[#This Row],[Total AMT]]/2,IF(My_Payment[[#This Row],[Payment_Code]]="N",My_Payment[[#This Row],[Total AMT]],0))</f>
        <v>0</v>
      </c>
    </row>
    <row r="860" spans="1:10">
      <c r="A860" s="38">
        <v>45324</v>
      </c>
      <c r="B860" s="37" t="s">
        <v>208</v>
      </c>
      <c r="C860" s="37" t="s">
        <v>209</v>
      </c>
      <c r="D860" s="37" t="s">
        <v>391</v>
      </c>
      <c r="E860" s="37" t="s">
        <v>211</v>
      </c>
      <c r="F860" s="38">
        <v>45324</v>
      </c>
      <c r="G860" s="37" t="s">
        <v>212</v>
      </c>
      <c r="H860" s="40">
        <v>354</v>
      </c>
      <c r="I860" s="39">
        <v>250</v>
      </c>
      <c r="J860" s="39">
        <v>104</v>
      </c>
    </row>
    <row r="861" spans="1:10">
      <c r="A861" s="38">
        <v>45289</v>
      </c>
      <c r="B861" s="37" t="s">
        <v>357</v>
      </c>
      <c r="C861" s="37" t="s">
        <v>248</v>
      </c>
      <c r="D861" s="37" t="s">
        <v>453</v>
      </c>
      <c r="E861" s="37" t="s">
        <v>211</v>
      </c>
      <c r="F861" s="38">
        <v>45327</v>
      </c>
      <c r="G861" s="37" t="s">
        <v>215</v>
      </c>
      <c r="H861" s="40">
        <v>110</v>
      </c>
      <c r="I861" s="39">
        <f>IF(My_Payment[[#This Row],[Payment_Code]]="S",My_Payment[[#This Row],[Total AMT]]/2,IF(My_Payment[[#This Row],[Payment_Code]]="P",My_Payment[[#This Row],[Total AMT]],0))</f>
        <v>110</v>
      </c>
      <c r="J861" s="39">
        <f>IF(My_Payment[[#This Row],[Payment_Code]]="S",My_Payment[[#This Row],[Total AMT]]/2,IF(My_Payment[[#This Row],[Payment_Code]]="N",My_Payment[[#This Row],[Total AMT]],0))</f>
        <v>0</v>
      </c>
    </row>
    <row r="862" spans="1:10">
      <c r="A862" s="38">
        <v>45292</v>
      </c>
      <c r="B862" s="37" t="s">
        <v>357</v>
      </c>
      <c r="C862" s="37" t="s">
        <v>248</v>
      </c>
      <c r="D862" s="37" t="s">
        <v>454</v>
      </c>
      <c r="E862" s="37" t="s">
        <v>211</v>
      </c>
      <c r="F862" s="38">
        <v>45327</v>
      </c>
      <c r="G862" s="37" t="s">
        <v>215</v>
      </c>
      <c r="H862" s="40">
        <v>199</v>
      </c>
      <c r="I862" s="39">
        <f>IF(My_Payment[[#This Row],[Payment_Code]]="S",My_Payment[[#This Row],[Total AMT]]/2,IF(My_Payment[[#This Row],[Payment_Code]]="P",My_Payment[[#This Row],[Total AMT]],0))</f>
        <v>199</v>
      </c>
      <c r="J862" s="39">
        <f>IF(My_Payment[[#This Row],[Payment_Code]]="S",My_Payment[[#This Row],[Total AMT]]/2,IF(My_Payment[[#This Row],[Payment_Code]]="N",My_Payment[[#This Row],[Total AMT]],0))</f>
        <v>0</v>
      </c>
    </row>
    <row r="863" spans="1:10">
      <c r="A863" s="38">
        <v>45322</v>
      </c>
      <c r="B863" s="37" t="s">
        <v>357</v>
      </c>
      <c r="C863" s="37" t="s">
        <v>248</v>
      </c>
      <c r="D863" s="37" t="s">
        <v>455</v>
      </c>
      <c r="E863" s="37" t="s">
        <v>211</v>
      </c>
      <c r="F863" s="38">
        <v>45356</v>
      </c>
      <c r="G863" s="37" t="s">
        <v>215</v>
      </c>
      <c r="H863" s="40">
        <v>74</v>
      </c>
      <c r="I863" s="39">
        <f>IF(My_Payment[[#This Row],[Payment_Code]]="S",My_Payment[[#This Row],[Total AMT]]/2,IF(My_Payment[[#This Row],[Payment_Code]]="P",My_Payment[[#This Row],[Total AMT]],0))</f>
        <v>74</v>
      </c>
      <c r="J863" s="39">
        <f>IF(My_Payment[[#This Row],[Payment_Code]]="S",My_Payment[[#This Row],[Total AMT]]/2,IF(My_Payment[[#This Row],[Payment_Code]]="N",My_Payment[[#This Row],[Total AMT]],0))</f>
        <v>0</v>
      </c>
    </row>
    <row r="864" spans="1:10">
      <c r="A864" s="38">
        <v>45335</v>
      </c>
      <c r="B864" s="37" t="s">
        <v>373</v>
      </c>
      <c r="C864" s="37" t="s">
        <v>209</v>
      </c>
      <c r="D864" s="37" t="s">
        <v>456</v>
      </c>
      <c r="E864" s="37" t="s">
        <v>306</v>
      </c>
      <c r="F864" s="38">
        <v>45352</v>
      </c>
      <c r="G864" s="37" t="s">
        <v>212</v>
      </c>
      <c r="H864" s="40">
        <v>1096.0999999999999</v>
      </c>
      <c r="I864" s="39">
        <v>596.1</v>
      </c>
      <c r="J864" s="39">
        <v>500</v>
      </c>
    </row>
    <row r="865" spans="1:10">
      <c r="A865" s="38">
        <v>45364</v>
      </c>
      <c r="B865" s="37" t="s">
        <v>373</v>
      </c>
      <c r="C865" s="37" t="s">
        <v>209</v>
      </c>
      <c r="D865" s="37" t="s">
        <v>456</v>
      </c>
      <c r="E865" s="37" t="s">
        <v>307</v>
      </c>
      <c r="F865" s="38">
        <v>45383</v>
      </c>
      <c r="G865" s="37" t="s">
        <v>212</v>
      </c>
      <c r="H865" s="40">
        <v>1096.0999999999999</v>
      </c>
      <c r="I865" s="39">
        <v>596.1</v>
      </c>
      <c r="J865" s="39">
        <v>500</v>
      </c>
    </row>
    <row r="866" spans="1:10">
      <c r="A866" s="38">
        <v>45395</v>
      </c>
      <c r="B866" s="37" t="s">
        <v>373</v>
      </c>
      <c r="C866" s="37" t="s">
        <v>209</v>
      </c>
      <c r="D866" s="37" t="s">
        <v>456</v>
      </c>
      <c r="E866" s="37" t="s">
        <v>308</v>
      </c>
      <c r="F866" s="38">
        <v>45413</v>
      </c>
      <c r="G866" s="37" t="s">
        <v>212</v>
      </c>
      <c r="H866" s="40">
        <v>1096.0999999999999</v>
      </c>
      <c r="I866" s="39">
        <v>596.1</v>
      </c>
      <c r="J866" s="39">
        <v>500</v>
      </c>
    </row>
    <row r="867" spans="1:10">
      <c r="A867" s="38">
        <v>45425</v>
      </c>
      <c r="B867" s="37" t="s">
        <v>373</v>
      </c>
      <c r="C867" s="37" t="s">
        <v>209</v>
      </c>
      <c r="D867" s="37" t="s">
        <v>456</v>
      </c>
      <c r="E867" s="37" t="s">
        <v>309</v>
      </c>
      <c r="F867" s="38">
        <v>45444</v>
      </c>
      <c r="G867" s="37" t="s">
        <v>212</v>
      </c>
      <c r="H867" s="40">
        <v>1096.0999999999999</v>
      </c>
      <c r="I867" s="39">
        <v>596.1</v>
      </c>
      <c r="J867" s="39">
        <v>500</v>
      </c>
    </row>
    <row r="868" spans="1:10">
      <c r="A868" s="38">
        <v>45456</v>
      </c>
      <c r="B868" s="37" t="s">
        <v>373</v>
      </c>
      <c r="C868" s="37" t="s">
        <v>209</v>
      </c>
      <c r="D868" s="37" t="s">
        <v>456</v>
      </c>
      <c r="E868" s="37" t="s">
        <v>310</v>
      </c>
      <c r="F868" s="38">
        <v>45474</v>
      </c>
      <c r="G868" s="37" t="s">
        <v>212</v>
      </c>
      <c r="H868" s="40">
        <v>1096.0999999999999</v>
      </c>
      <c r="I868" s="39">
        <v>596.1</v>
      </c>
      <c r="J868" s="39">
        <v>500</v>
      </c>
    </row>
    <row r="869" spans="1:10">
      <c r="A869" s="38">
        <v>45486</v>
      </c>
      <c r="B869" s="37" t="s">
        <v>373</v>
      </c>
      <c r="C869" s="37" t="s">
        <v>209</v>
      </c>
      <c r="D869" s="37" t="s">
        <v>456</v>
      </c>
      <c r="E869" s="37" t="s">
        <v>311</v>
      </c>
      <c r="F869" s="38">
        <v>45505</v>
      </c>
      <c r="G869" s="37" t="s">
        <v>212</v>
      </c>
      <c r="H869" s="40">
        <v>1096.0999999999999</v>
      </c>
      <c r="I869" s="39">
        <v>596.1</v>
      </c>
      <c r="J869" s="39">
        <v>500</v>
      </c>
    </row>
    <row r="870" spans="1:10">
      <c r="A870" s="38">
        <v>45517</v>
      </c>
      <c r="B870" s="37" t="s">
        <v>373</v>
      </c>
      <c r="C870" s="37" t="s">
        <v>209</v>
      </c>
      <c r="D870" s="37" t="s">
        <v>456</v>
      </c>
      <c r="E870" s="37" t="s">
        <v>312</v>
      </c>
      <c r="F870" s="38">
        <v>45536</v>
      </c>
      <c r="G870" s="37" t="s">
        <v>212</v>
      </c>
      <c r="H870" s="40">
        <v>1096.0999999999999</v>
      </c>
      <c r="I870" s="39">
        <v>596.1</v>
      </c>
      <c r="J870" s="39">
        <v>500</v>
      </c>
    </row>
    <row r="871" spans="1:10">
      <c r="A871" s="38">
        <v>45548</v>
      </c>
      <c r="B871" s="37" t="s">
        <v>373</v>
      </c>
      <c r="C871" s="37" t="s">
        <v>209</v>
      </c>
      <c r="D871" s="37" t="s">
        <v>456</v>
      </c>
      <c r="E871" s="37" t="s">
        <v>313</v>
      </c>
      <c r="F871" s="38">
        <v>45566</v>
      </c>
      <c r="G871" s="37" t="s">
        <v>212</v>
      </c>
      <c r="H871" s="40">
        <v>1096.0999999999999</v>
      </c>
      <c r="I871" s="39">
        <v>596.1</v>
      </c>
      <c r="J871" s="39">
        <v>500</v>
      </c>
    </row>
    <row r="872" spans="1:10">
      <c r="A872" s="38">
        <v>45578</v>
      </c>
      <c r="B872" s="37" t="s">
        <v>373</v>
      </c>
      <c r="C872" s="37" t="s">
        <v>209</v>
      </c>
      <c r="D872" s="37" t="s">
        <v>456</v>
      </c>
      <c r="E872" s="37" t="s">
        <v>314</v>
      </c>
      <c r="F872" s="38">
        <v>45597</v>
      </c>
      <c r="G872" s="37" t="s">
        <v>212</v>
      </c>
      <c r="H872" s="40">
        <v>1096.0999999999999</v>
      </c>
      <c r="I872" s="39">
        <v>596.1</v>
      </c>
      <c r="J872" s="39">
        <v>500</v>
      </c>
    </row>
    <row r="873" spans="1:10">
      <c r="A873" s="38">
        <v>45609</v>
      </c>
      <c r="B873" s="37" t="s">
        <v>373</v>
      </c>
      <c r="C873" s="37" t="s">
        <v>209</v>
      </c>
      <c r="D873" s="37" t="s">
        <v>456</v>
      </c>
      <c r="E873" s="37" t="s">
        <v>112</v>
      </c>
      <c r="F873" s="38">
        <v>45627</v>
      </c>
      <c r="G873" s="37" t="s">
        <v>212</v>
      </c>
      <c r="H873" s="40">
        <v>1096.0999999999999</v>
      </c>
      <c r="I873" s="39">
        <v>1096.0999999999999</v>
      </c>
    </row>
    <row r="874" spans="1:10">
      <c r="A874" s="38">
        <v>45335</v>
      </c>
      <c r="B874" s="37" t="s">
        <v>357</v>
      </c>
      <c r="C874" s="37" t="s">
        <v>248</v>
      </c>
      <c r="D874" s="37" t="s">
        <v>457</v>
      </c>
      <c r="E874" s="37" t="s">
        <v>211</v>
      </c>
      <c r="F874" s="38">
        <v>45356</v>
      </c>
      <c r="G874" s="37" t="s">
        <v>215</v>
      </c>
      <c r="H874" s="40">
        <v>1903</v>
      </c>
      <c r="I874" s="39">
        <f>IF(My_Payment[[#This Row],[Payment_Code]]="S",My_Payment[[#This Row],[Total AMT]]/2,IF(My_Payment[[#This Row],[Payment_Code]]="P",My_Payment[[#This Row],[Total AMT]],0))</f>
        <v>1903</v>
      </c>
      <c r="J874" s="39">
        <f>IF(My_Payment[[#This Row],[Payment_Code]]="S",My_Payment[[#This Row],[Total AMT]]/2,IF(My_Payment[[#This Row],[Payment_Code]]="N",My_Payment[[#This Row],[Total AMT]],0))</f>
        <v>0</v>
      </c>
    </row>
    <row r="875" spans="1:10">
      <c r="A875" s="38">
        <v>45337</v>
      </c>
      <c r="B875" s="37" t="s">
        <v>357</v>
      </c>
      <c r="C875" s="37" t="s">
        <v>248</v>
      </c>
      <c r="D875" s="37" t="s">
        <v>458</v>
      </c>
      <c r="E875" s="37" t="s">
        <v>459</v>
      </c>
      <c r="F875" s="38">
        <v>45356</v>
      </c>
      <c r="G875" s="37" t="s">
        <v>215</v>
      </c>
      <c r="H875" s="40">
        <f>1508/5</f>
        <v>301.60000000000002</v>
      </c>
      <c r="I875" s="39">
        <f>IF(My_Payment[[#This Row],[Payment_Code]]="S",My_Payment[[#This Row],[Total AMT]]/2,IF(My_Payment[[#This Row],[Payment_Code]]="P",My_Payment[[#This Row],[Total AMT]],0))</f>
        <v>301.60000000000002</v>
      </c>
      <c r="J875" s="39">
        <f>IF(My_Payment[[#This Row],[Payment_Code]]="S",My_Payment[[#This Row],[Total AMT]]/2,IF(My_Payment[[#This Row],[Payment_Code]]="N",My_Payment[[#This Row],[Total AMT]],0))</f>
        <v>0</v>
      </c>
    </row>
    <row r="876" spans="1:10">
      <c r="A876" s="38">
        <v>45366</v>
      </c>
      <c r="B876" s="37" t="s">
        <v>357</v>
      </c>
      <c r="C876" s="37" t="s">
        <v>248</v>
      </c>
      <c r="D876" s="37" t="s">
        <v>458</v>
      </c>
      <c r="E876" s="37" t="s">
        <v>460</v>
      </c>
      <c r="F876" s="38">
        <v>45387</v>
      </c>
      <c r="G876" s="37" t="s">
        <v>215</v>
      </c>
      <c r="H876" s="40">
        <f>1508/5</f>
        <v>301.60000000000002</v>
      </c>
      <c r="I876" s="39">
        <f>IF(My_Payment[[#This Row],[Payment_Code]]="S",My_Payment[[#This Row],[Total AMT]]/2,IF(My_Payment[[#This Row],[Payment_Code]]="P",My_Payment[[#This Row],[Total AMT]],0))</f>
        <v>301.60000000000002</v>
      </c>
      <c r="J876" s="39">
        <f>IF(My_Payment[[#This Row],[Payment_Code]]="S",My_Payment[[#This Row],[Total AMT]]/2,IF(My_Payment[[#This Row],[Payment_Code]]="N",My_Payment[[#This Row],[Total AMT]],0))</f>
        <v>0</v>
      </c>
    </row>
    <row r="877" spans="1:10">
      <c r="A877" s="38">
        <v>45397</v>
      </c>
      <c r="B877" s="37" t="s">
        <v>357</v>
      </c>
      <c r="C877" s="37" t="s">
        <v>248</v>
      </c>
      <c r="D877" s="37" t="s">
        <v>458</v>
      </c>
      <c r="E877" s="37" t="s">
        <v>461</v>
      </c>
      <c r="F877" s="38">
        <v>45417</v>
      </c>
      <c r="G877" s="37" t="s">
        <v>215</v>
      </c>
      <c r="H877" s="40">
        <f>1508/5</f>
        <v>301.60000000000002</v>
      </c>
      <c r="I877" s="39">
        <f>IF(My_Payment[[#This Row],[Payment_Code]]="S",My_Payment[[#This Row],[Total AMT]]/2,IF(My_Payment[[#This Row],[Payment_Code]]="P",My_Payment[[#This Row],[Total AMT]],0))</f>
        <v>301.60000000000002</v>
      </c>
      <c r="J877" s="39">
        <f>IF(My_Payment[[#This Row],[Payment_Code]]="S",My_Payment[[#This Row],[Total AMT]]/2,IF(My_Payment[[#This Row],[Payment_Code]]="N",My_Payment[[#This Row],[Total AMT]],0))</f>
        <v>0</v>
      </c>
    </row>
    <row r="878" spans="1:10">
      <c r="A878" s="38">
        <v>45427</v>
      </c>
      <c r="B878" s="37" t="s">
        <v>357</v>
      </c>
      <c r="C878" s="37" t="s">
        <v>248</v>
      </c>
      <c r="D878" s="37" t="s">
        <v>458</v>
      </c>
      <c r="E878" s="37" t="s">
        <v>462</v>
      </c>
      <c r="F878" s="38">
        <v>45448</v>
      </c>
      <c r="G878" s="37" t="s">
        <v>215</v>
      </c>
      <c r="H878" s="40">
        <f>1508/5</f>
        <v>301.60000000000002</v>
      </c>
      <c r="I878" s="39">
        <f>IF(My_Payment[[#This Row],[Payment_Code]]="S",My_Payment[[#This Row],[Total AMT]]/2,IF(My_Payment[[#This Row],[Payment_Code]]="P",My_Payment[[#This Row],[Total AMT]],0))</f>
        <v>301.60000000000002</v>
      </c>
      <c r="J878" s="39">
        <f>IF(My_Payment[[#This Row],[Payment_Code]]="S",My_Payment[[#This Row],[Total AMT]]/2,IF(My_Payment[[#This Row],[Payment_Code]]="N",My_Payment[[#This Row],[Total AMT]],0))</f>
        <v>0</v>
      </c>
    </row>
    <row r="879" spans="1:10">
      <c r="A879" s="38">
        <v>45458</v>
      </c>
      <c r="B879" s="37" t="s">
        <v>357</v>
      </c>
      <c r="C879" s="37" t="s">
        <v>248</v>
      </c>
      <c r="D879" s="37" t="s">
        <v>458</v>
      </c>
      <c r="E879" s="37" t="s">
        <v>463</v>
      </c>
      <c r="F879" s="38">
        <v>45478</v>
      </c>
      <c r="G879" s="37" t="s">
        <v>215</v>
      </c>
      <c r="H879" s="40">
        <f>1508/5</f>
        <v>301.60000000000002</v>
      </c>
      <c r="I879" s="39">
        <f>IF(My_Payment[[#This Row],[Payment_Code]]="S",My_Payment[[#This Row],[Total AMT]]/2,IF(My_Payment[[#This Row],[Payment_Code]]="P",My_Payment[[#This Row],[Total AMT]],0))</f>
        <v>301.60000000000002</v>
      </c>
      <c r="J879" s="39">
        <f>IF(My_Payment[[#This Row],[Payment_Code]]="S",My_Payment[[#This Row],[Total AMT]]/2,IF(My_Payment[[#This Row],[Payment_Code]]="N",My_Payment[[#This Row],[Total AMT]],0))</f>
        <v>0</v>
      </c>
    </row>
    <row r="880" spans="1:10">
      <c r="A880" s="38">
        <v>45305</v>
      </c>
      <c r="B880" s="37" t="s">
        <v>305</v>
      </c>
      <c r="C880" s="37" t="s">
        <v>226</v>
      </c>
      <c r="D880" s="37" t="s">
        <v>372</v>
      </c>
      <c r="E880" s="37" t="s">
        <v>211</v>
      </c>
      <c r="F880" s="38">
        <v>45329</v>
      </c>
      <c r="G880" s="37" t="s">
        <v>212</v>
      </c>
      <c r="H880" s="40">
        <v>660</v>
      </c>
      <c r="I880" s="39">
        <f>IF(My_Payment[[#This Row],[Payment_Code]]="S",My_Payment[[#This Row],[Total AMT]]/2,IF(My_Payment[[#This Row],[Payment_Code]]="P",My_Payment[[#This Row],[Total AMT]],0))</f>
        <v>330</v>
      </c>
      <c r="J880" s="39">
        <f>IF(My_Payment[[#This Row],[Payment_Code]]="S",My_Payment[[#This Row],[Total AMT]]/2,IF(My_Payment[[#This Row],[Payment_Code]]="N",My_Payment[[#This Row],[Total AMT]],0))</f>
        <v>330</v>
      </c>
    </row>
    <row r="881" spans="1:10">
      <c r="A881" s="38">
        <v>45340</v>
      </c>
      <c r="B881" s="37" t="s">
        <v>208</v>
      </c>
      <c r="C881" s="37" t="s">
        <v>209</v>
      </c>
      <c r="D881" s="37" t="s">
        <v>217</v>
      </c>
      <c r="E881" s="37" t="s">
        <v>211</v>
      </c>
      <c r="F881" s="38">
        <v>45384</v>
      </c>
      <c r="G881" s="37" t="s">
        <v>212</v>
      </c>
      <c r="H881" s="40">
        <v>1294.75</v>
      </c>
      <c r="I881" s="39">
        <v>737.75</v>
      </c>
      <c r="J881" s="39">
        <v>557</v>
      </c>
    </row>
    <row r="882" spans="1:10">
      <c r="A882" s="38">
        <v>45333</v>
      </c>
      <c r="B882" s="37" t="s">
        <v>225</v>
      </c>
      <c r="C882" s="37" t="s">
        <v>226</v>
      </c>
      <c r="D882" s="37" t="s">
        <v>234</v>
      </c>
      <c r="E882" s="37" t="s">
        <v>211</v>
      </c>
      <c r="F882" s="38">
        <v>45373</v>
      </c>
      <c r="G882" s="37" t="s">
        <v>212</v>
      </c>
      <c r="H882" s="40">
        <v>1020.25</v>
      </c>
      <c r="I882" s="39">
        <v>648.25</v>
      </c>
      <c r="J882" s="39">
        <v>372</v>
      </c>
    </row>
    <row r="883" spans="1:10">
      <c r="A883" s="38">
        <v>45350</v>
      </c>
      <c r="B883" s="37" t="s">
        <v>225</v>
      </c>
      <c r="C883" s="37" t="s">
        <v>226</v>
      </c>
      <c r="D883" s="37" t="s">
        <v>227</v>
      </c>
      <c r="E883" s="37" t="s">
        <v>211</v>
      </c>
      <c r="F883" s="38">
        <v>45373</v>
      </c>
      <c r="G883" s="37" t="s">
        <v>212</v>
      </c>
      <c r="H883" s="40">
        <v>518</v>
      </c>
      <c r="I883" s="39">
        <v>219</v>
      </c>
      <c r="J883" s="39">
        <v>299</v>
      </c>
    </row>
    <row r="884" spans="1:10">
      <c r="A884" s="38">
        <v>45358</v>
      </c>
      <c r="B884" s="37" t="s">
        <v>208</v>
      </c>
      <c r="C884" s="37" t="s">
        <v>209</v>
      </c>
      <c r="D884" s="37" t="s">
        <v>391</v>
      </c>
      <c r="E884" s="37" t="s">
        <v>211</v>
      </c>
      <c r="F884" s="38">
        <v>45384</v>
      </c>
      <c r="G884" s="37" t="s">
        <v>212</v>
      </c>
      <c r="H884" s="40">
        <v>880.75</v>
      </c>
      <c r="I884" s="39">
        <v>222.75</v>
      </c>
      <c r="J884" s="39">
        <v>658</v>
      </c>
    </row>
    <row r="885" spans="1:10">
      <c r="A885" s="38">
        <v>45375</v>
      </c>
      <c r="B885" s="37" t="s">
        <v>208</v>
      </c>
      <c r="C885" s="37" t="s">
        <v>209</v>
      </c>
      <c r="D885" s="37" t="s">
        <v>217</v>
      </c>
      <c r="E885" s="37" t="s">
        <v>211</v>
      </c>
      <c r="F885" s="38">
        <v>45414</v>
      </c>
      <c r="G885" s="37" t="s">
        <v>212</v>
      </c>
      <c r="H885" s="40">
        <v>1740</v>
      </c>
      <c r="I885" s="39">
        <v>901</v>
      </c>
      <c r="J885" s="39">
        <v>839</v>
      </c>
    </row>
    <row r="886" spans="1:10">
      <c r="A886" s="38">
        <v>45347</v>
      </c>
      <c r="B886" s="37" t="s">
        <v>305</v>
      </c>
      <c r="C886" s="37" t="s">
        <v>226</v>
      </c>
      <c r="D886" s="37" t="s">
        <v>446</v>
      </c>
      <c r="E886" s="37" t="s">
        <v>211</v>
      </c>
      <c r="F886" s="38">
        <v>45389</v>
      </c>
      <c r="G886" s="37" t="s">
        <v>212</v>
      </c>
      <c r="H886" s="40">
        <v>798</v>
      </c>
      <c r="I886" s="39">
        <f>IF(My_Payment[[#This Row],[Payment_Code]]="S",My_Payment[[#This Row],[Total AMT]]/2,IF(My_Payment[[#This Row],[Payment_Code]]="P",My_Payment[[#This Row],[Total AMT]],0))</f>
        <v>399</v>
      </c>
      <c r="J886" s="39">
        <f>IF(My_Payment[[#This Row],[Payment_Code]]="S",My_Payment[[#This Row],[Total AMT]]/2,IF(My_Payment[[#This Row],[Payment_Code]]="N",My_Payment[[#This Row],[Total AMT]],0))</f>
        <v>399</v>
      </c>
    </row>
    <row r="887" spans="1:10">
      <c r="A887" s="38">
        <v>45361</v>
      </c>
      <c r="B887" s="37" t="s">
        <v>305</v>
      </c>
      <c r="C887" s="37" t="s">
        <v>226</v>
      </c>
      <c r="D887" s="37" t="s">
        <v>464</v>
      </c>
      <c r="E887" s="37" t="s">
        <v>211</v>
      </c>
      <c r="F887" s="38">
        <v>45389</v>
      </c>
      <c r="G887" s="37" t="s">
        <v>212</v>
      </c>
      <c r="H887" s="40">
        <v>528</v>
      </c>
      <c r="I887" s="39">
        <f>IF(My_Payment[[#This Row],[Payment_Code]]="S",My_Payment[[#This Row],[Total AMT]]/2,IF(My_Payment[[#This Row],[Payment_Code]]="P",My_Payment[[#This Row],[Total AMT]],0))</f>
        <v>264</v>
      </c>
      <c r="J887" s="39">
        <f>IF(My_Payment[[#This Row],[Payment_Code]]="S",My_Payment[[#This Row],[Total AMT]]/2,IF(My_Payment[[#This Row],[Payment_Code]]="N",My_Payment[[#This Row],[Total AMT]],0))</f>
        <v>264</v>
      </c>
    </row>
    <row r="888" spans="1:10">
      <c r="A888" s="38">
        <v>45375</v>
      </c>
      <c r="B888" s="37" t="s">
        <v>305</v>
      </c>
      <c r="C888" s="37" t="s">
        <v>226</v>
      </c>
      <c r="D888" s="37" t="s">
        <v>465</v>
      </c>
      <c r="E888" s="37" t="s">
        <v>211</v>
      </c>
      <c r="F888" s="38">
        <v>45419</v>
      </c>
      <c r="G888" s="37" t="s">
        <v>215</v>
      </c>
      <c r="H888" s="40">
        <v>823</v>
      </c>
      <c r="I888" s="39">
        <f>IF(My_Payment[[#This Row],[Payment_Code]]="S",My_Payment[[#This Row],[Total AMT]]/2,IF(My_Payment[[#This Row],[Payment_Code]]="P",My_Payment[[#This Row],[Total AMT]],0))</f>
        <v>823</v>
      </c>
      <c r="J888" s="39">
        <f>IF(My_Payment[[#This Row],[Payment_Code]]="S",My_Payment[[#This Row],[Total AMT]]/2,IF(My_Payment[[#This Row],[Payment_Code]]="N",My_Payment[[#This Row],[Total AMT]],0))</f>
        <v>0</v>
      </c>
    </row>
    <row r="889" spans="1:10">
      <c r="A889" s="38">
        <v>45356</v>
      </c>
      <c r="B889" s="37" t="s">
        <v>357</v>
      </c>
      <c r="C889" s="37" t="s">
        <v>248</v>
      </c>
      <c r="D889" s="37" t="s">
        <v>466</v>
      </c>
      <c r="E889" s="37" t="s">
        <v>211</v>
      </c>
      <c r="F889" s="38">
        <v>45387</v>
      </c>
      <c r="G889" s="37" t="s">
        <v>215</v>
      </c>
      <c r="H889" s="40">
        <v>196</v>
      </c>
      <c r="I889" s="39">
        <f>IF(My_Payment[[#This Row],[Payment_Code]]="S",My_Payment[[#This Row],[Total AMT]]/2,IF(My_Payment[[#This Row],[Payment_Code]]="P",My_Payment[[#This Row],[Total AMT]],0))</f>
        <v>196</v>
      </c>
      <c r="J889" s="39">
        <f>IF(My_Payment[[#This Row],[Payment_Code]]="S",My_Payment[[#This Row],[Total AMT]]/2,IF(My_Payment[[#This Row],[Payment_Code]]="N",My_Payment[[#This Row],[Total AMT]],0))</f>
        <v>0</v>
      </c>
    </row>
    <row r="890" spans="1:10">
      <c r="A890" s="38">
        <v>45379</v>
      </c>
      <c r="B890" s="37" t="s">
        <v>357</v>
      </c>
      <c r="C890" s="37" t="s">
        <v>248</v>
      </c>
      <c r="D890" s="37" t="s">
        <v>467</v>
      </c>
      <c r="E890" s="37" t="s">
        <v>211</v>
      </c>
      <c r="F890" s="38">
        <v>45417</v>
      </c>
      <c r="G890" s="37" t="s">
        <v>215</v>
      </c>
      <c r="H890" s="40">
        <v>98</v>
      </c>
      <c r="I890" s="39">
        <f>IF(My_Payment[[#This Row],[Payment_Code]]="S",My_Payment[[#This Row],[Total AMT]]/2,IF(My_Payment[[#This Row],[Payment_Code]]="P",My_Payment[[#This Row],[Total AMT]],0))</f>
        <v>98</v>
      </c>
      <c r="J890" s="39">
        <f>IF(My_Payment[[#This Row],[Payment_Code]]="S",My_Payment[[#This Row],[Total AMT]]/2,IF(My_Payment[[#This Row],[Payment_Code]]="N",My_Payment[[#This Row],[Total AMT]],0))</f>
        <v>0</v>
      </c>
    </row>
    <row r="891" spans="1:10">
      <c r="A891" s="38">
        <v>45383</v>
      </c>
      <c r="B891" s="37" t="s">
        <v>357</v>
      </c>
      <c r="C891" s="37" t="s">
        <v>248</v>
      </c>
      <c r="D891" s="37" t="s">
        <v>468</v>
      </c>
      <c r="E891" s="37" t="s">
        <v>211</v>
      </c>
      <c r="F891" s="38">
        <v>45417</v>
      </c>
      <c r="G891" s="37" t="s">
        <v>215</v>
      </c>
      <c r="H891" s="40">
        <v>1800</v>
      </c>
      <c r="I891" s="39">
        <f>IF(My_Payment[[#This Row],[Payment_Code]]="S",My_Payment[[#This Row],[Total AMT]]/2,IF(My_Payment[[#This Row],[Payment_Code]]="P",My_Payment[[#This Row],[Total AMT]],0))</f>
        <v>1800</v>
      </c>
      <c r="J891" s="39">
        <f>IF(My_Payment[[#This Row],[Payment_Code]]="S",My_Payment[[#This Row],[Total AMT]]/2,IF(My_Payment[[#This Row],[Payment_Code]]="N",My_Payment[[#This Row],[Total AMT]],0))</f>
        <v>0</v>
      </c>
    </row>
    <row r="892" spans="1:10">
      <c r="A892" s="38">
        <v>45403</v>
      </c>
      <c r="B892" s="37" t="s">
        <v>208</v>
      </c>
      <c r="C892" s="37" t="s">
        <v>209</v>
      </c>
      <c r="D892" s="37" t="s">
        <v>217</v>
      </c>
      <c r="E892" s="37" t="s">
        <v>211</v>
      </c>
      <c r="F892" s="38">
        <v>45445</v>
      </c>
      <c r="G892" s="37" t="s">
        <v>212</v>
      </c>
      <c r="H892" s="40">
        <v>1031</v>
      </c>
      <c r="I892" s="39">
        <v>549.5</v>
      </c>
      <c r="J892" s="39">
        <v>481.5</v>
      </c>
    </row>
    <row r="893" spans="1:10">
      <c r="A893" s="38">
        <v>45410</v>
      </c>
      <c r="B893" s="37" t="s">
        <v>225</v>
      </c>
      <c r="C893" s="37" t="s">
        <v>226</v>
      </c>
      <c r="D893" s="37" t="s">
        <v>469</v>
      </c>
      <c r="E893" s="37" t="s">
        <v>211</v>
      </c>
      <c r="F893" s="38">
        <v>45434</v>
      </c>
      <c r="G893" s="37" t="s">
        <v>212</v>
      </c>
      <c r="H893" s="40">
        <v>496</v>
      </c>
      <c r="I893" s="39">
        <v>277.5</v>
      </c>
      <c r="J893" s="39">
        <v>218.5</v>
      </c>
    </row>
    <row r="894" spans="1:10">
      <c r="A894" s="38">
        <v>45413</v>
      </c>
      <c r="B894" s="37" t="s">
        <v>225</v>
      </c>
      <c r="C894" s="37" t="s">
        <v>226</v>
      </c>
      <c r="D894" s="37" t="s">
        <v>470</v>
      </c>
      <c r="E894" s="37" t="s">
        <v>211</v>
      </c>
      <c r="F894" s="38">
        <v>45434</v>
      </c>
      <c r="G894" s="37" t="s">
        <v>215</v>
      </c>
      <c r="H894" s="40">
        <v>536.6</v>
      </c>
      <c r="I894" s="39">
        <f>IF(My_Payment[[#This Row],[Payment_Code]]="S",My_Payment[[#This Row],[Total AMT]]/2,IF(My_Payment[[#This Row],[Payment_Code]]="P",My_Payment[[#This Row],[Total AMT]],0))</f>
        <v>536.6</v>
      </c>
      <c r="J894" s="39">
        <f>IF(My_Payment[[#This Row],[Payment_Code]]="S",My_Payment[[#This Row],[Total AMT]]/2,IF(My_Payment[[#This Row],[Payment_Code]]="N",My_Payment[[#This Row],[Total AMT]],0))</f>
        <v>0</v>
      </c>
    </row>
    <row r="895" spans="1:10">
      <c r="A895" s="38">
        <v>45398</v>
      </c>
      <c r="B895" s="37" t="s">
        <v>345</v>
      </c>
      <c r="C895" s="37" t="s">
        <v>248</v>
      </c>
      <c r="D895" s="37" t="s">
        <v>471</v>
      </c>
      <c r="E895" s="37" t="s">
        <v>211</v>
      </c>
      <c r="F895" s="38">
        <v>45414</v>
      </c>
      <c r="G895" s="37" t="s">
        <v>212</v>
      </c>
      <c r="H895" s="40">
        <v>1095.2</v>
      </c>
      <c r="I895" s="39">
        <f>IF(My_Payment[[#This Row],[Payment_Code]]="S",My_Payment[[#This Row],[Total AMT]]/2,IF(My_Payment[[#This Row],[Payment_Code]]="P",My_Payment[[#This Row],[Total AMT]],0))</f>
        <v>547.6</v>
      </c>
      <c r="J895" s="39">
        <f>IF(My_Payment[[#This Row],[Payment_Code]]="S",My_Payment[[#This Row],[Total AMT]]/2,IF(My_Payment[[#This Row],[Payment_Code]]="N",My_Payment[[#This Row],[Total AMT]],0))</f>
        <v>547.6</v>
      </c>
    </row>
    <row r="896" spans="1:10">
      <c r="A896" s="38">
        <v>45395</v>
      </c>
      <c r="B896" s="37" t="s">
        <v>208</v>
      </c>
      <c r="C896" s="37" t="s">
        <v>209</v>
      </c>
      <c r="D896" s="37" t="s">
        <v>472</v>
      </c>
      <c r="E896" s="37" t="s">
        <v>211</v>
      </c>
      <c r="F896" s="38">
        <v>45445</v>
      </c>
      <c r="G896" s="37" t="s">
        <v>212</v>
      </c>
      <c r="H896" s="40">
        <v>830</v>
      </c>
      <c r="I896" s="39">
        <f>IF(My_Payment[[#This Row],[Payment_Code]]="S",My_Payment[[#This Row],[Total AMT]]/2,IF(My_Payment[[#This Row],[Payment_Code]]="P",My_Payment[[#This Row],[Total AMT]],0))</f>
        <v>415</v>
      </c>
      <c r="J896" s="39">
        <f>IF(My_Payment[[#This Row],[Payment_Code]]="S",My_Payment[[#This Row],[Total AMT]]/2,IF(My_Payment[[#This Row],[Payment_Code]]="N",My_Payment[[#This Row],[Total AMT]],0))</f>
        <v>415</v>
      </c>
    </row>
    <row r="897" spans="1:10">
      <c r="A897" s="38">
        <v>45418</v>
      </c>
      <c r="B897" s="37" t="s">
        <v>208</v>
      </c>
      <c r="C897" s="37" t="s">
        <v>209</v>
      </c>
      <c r="D897" s="37" t="s">
        <v>473</v>
      </c>
      <c r="E897" s="37" t="s">
        <v>211</v>
      </c>
      <c r="F897" s="38">
        <v>45445</v>
      </c>
      <c r="G897" s="37" t="s">
        <v>212</v>
      </c>
      <c r="H897" s="40">
        <v>341</v>
      </c>
      <c r="I897" s="39">
        <v>172.5</v>
      </c>
      <c r="J897" s="39">
        <v>168.5</v>
      </c>
    </row>
    <row r="898" spans="1:10">
      <c r="A898" s="38">
        <v>45444</v>
      </c>
      <c r="B898" s="37" t="s">
        <v>208</v>
      </c>
      <c r="C898" s="37" t="s">
        <v>209</v>
      </c>
      <c r="D898" s="37" t="s">
        <v>217</v>
      </c>
      <c r="E898" s="37" t="s">
        <v>211</v>
      </c>
      <c r="F898" s="38">
        <v>45475</v>
      </c>
      <c r="G898" s="37" t="s">
        <v>212</v>
      </c>
      <c r="H898" s="40">
        <v>1485.25</v>
      </c>
      <c r="I898" s="39">
        <v>1052</v>
      </c>
      <c r="J898" s="39">
        <v>433.25</v>
      </c>
    </row>
    <row r="899" spans="1:10">
      <c r="A899" s="38">
        <v>45417</v>
      </c>
      <c r="B899" s="37" t="s">
        <v>305</v>
      </c>
      <c r="C899" s="37" t="s">
        <v>226</v>
      </c>
      <c r="D899" s="37" t="s">
        <v>474</v>
      </c>
      <c r="E899" s="37" t="s">
        <v>211</v>
      </c>
      <c r="F899" s="38">
        <v>45450</v>
      </c>
      <c r="G899" s="37" t="s">
        <v>212</v>
      </c>
      <c r="H899" s="40">
        <v>485</v>
      </c>
      <c r="I899" s="39">
        <f>IF(My_Payment[[#This Row],[Payment_Code]]="S",My_Payment[[#This Row],[Total AMT]]/2,IF(My_Payment[[#This Row],[Payment_Code]]="P",My_Payment[[#This Row],[Total AMT]],0))</f>
        <v>242.5</v>
      </c>
      <c r="J899" s="39">
        <f>IF(My_Payment[[#This Row],[Payment_Code]]="S",My_Payment[[#This Row],[Total AMT]]/2,IF(My_Payment[[#This Row],[Payment_Code]]="N",My_Payment[[#This Row],[Total AMT]],0))</f>
        <v>242.5</v>
      </c>
    </row>
    <row r="900" spans="1:10">
      <c r="A900" s="38">
        <v>45421</v>
      </c>
      <c r="B900" s="37" t="s">
        <v>305</v>
      </c>
      <c r="C900" s="37" t="s">
        <v>226</v>
      </c>
      <c r="D900" s="37" t="s">
        <v>33</v>
      </c>
      <c r="E900" s="37" t="s">
        <v>211</v>
      </c>
      <c r="F900" s="38">
        <v>45450</v>
      </c>
      <c r="G900" s="37" t="s">
        <v>215</v>
      </c>
      <c r="H900" s="40">
        <v>142</v>
      </c>
      <c r="I900" s="39">
        <f>IF(My_Payment[[#This Row],[Payment_Code]]="S",My_Payment[[#This Row],[Total AMT]]/2,IF(My_Payment[[#This Row],[Payment_Code]]="P",My_Payment[[#This Row],[Total AMT]],0))</f>
        <v>142</v>
      </c>
      <c r="J900" s="39">
        <f>IF(My_Payment[[#This Row],[Payment_Code]]="S",My_Payment[[#This Row],[Total AMT]]/2,IF(My_Payment[[#This Row],[Payment_Code]]="N",My_Payment[[#This Row],[Total AMT]],0))</f>
        <v>0</v>
      </c>
    </row>
    <row r="901" spans="1:10">
      <c r="A901" s="38">
        <v>45417</v>
      </c>
      <c r="B901" s="37" t="s">
        <v>373</v>
      </c>
      <c r="C901" s="37" t="s">
        <v>209</v>
      </c>
      <c r="D901" s="37" t="s">
        <v>475</v>
      </c>
      <c r="E901" s="37" t="s">
        <v>211</v>
      </c>
      <c r="F901" s="38">
        <v>45444</v>
      </c>
      <c r="G901" s="37" t="s">
        <v>215</v>
      </c>
      <c r="H901" s="40">
        <v>358</v>
      </c>
      <c r="I901" s="39">
        <f>IF(My_Payment[[#This Row],[Payment_Code]]="S",My_Payment[[#This Row],[Total AMT]]/2,IF(My_Payment[[#This Row],[Payment_Code]]="P",My_Payment[[#This Row],[Total AMT]],0))</f>
        <v>358</v>
      </c>
      <c r="J901" s="39">
        <f>IF(My_Payment[[#This Row],[Payment_Code]]="S",My_Payment[[#This Row],[Total AMT]]/2,IF(My_Payment[[#This Row],[Payment_Code]]="N",My_Payment[[#This Row],[Total AMT]],0))</f>
        <v>0</v>
      </c>
    </row>
    <row r="902" spans="1:10">
      <c r="A902" s="38">
        <v>45458</v>
      </c>
      <c r="B902" s="37" t="s">
        <v>373</v>
      </c>
      <c r="C902" s="37" t="s">
        <v>209</v>
      </c>
      <c r="D902" s="37" t="s">
        <v>476</v>
      </c>
      <c r="E902" s="37" t="s">
        <v>306</v>
      </c>
      <c r="F902" s="38">
        <v>45474</v>
      </c>
      <c r="G902" s="37" t="s">
        <v>215</v>
      </c>
      <c r="H902" s="40">
        <v>988.2</v>
      </c>
      <c r="I902" s="39">
        <f>IF(My_Payment[[#This Row],[Payment_Code]]="S",My_Payment[[#This Row],[Total AMT]]/2,IF(My_Payment[[#This Row],[Payment_Code]]="P",My_Payment[[#This Row],[Total AMT]],0))</f>
        <v>988.2</v>
      </c>
      <c r="J902" s="39">
        <f>IF(My_Payment[[#This Row],[Payment_Code]]="S",My_Payment[[#This Row],[Total AMT]]/2,IF(My_Payment[[#This Row],[Payment_Code]]="N",My_Payment[[#This Row],[Total AMT]],0))</f>
        <v>0</v>
      </c>
    </row>
    <row r="903" spans="1:10">
      <c r="A903" s="38">
        <v>45488</v>
      </c>
      <c r="B903" s="37" t="s">
        <v>373</v>
      </c>
      <c r="C903" s="37" t="s">
        <v>209</v>
      </c>
      <c r="D903" s="37" t="s">
        <v>476</v>
      </c>
      <c r="E903" s="37" t="s">
        <v>307</v>
      </c>
      <c r="F903" s="38">
        <v>45505</v>
      </c>
      <c r="G903" s="37" t="s">
        <v>215</v>
      </c>
      <c r="H903" s="40">
        <v>988.2</v>
      </c>
      <c r="I903" s="39">
        <f>IF(My_Payment[[#This Row],[Payment_Code]]="S",My_Payment[[#This Row],[Total AMT]]/2,IF(My_Payment[[#This Row],[Payment_Code]]="P",My_Payment[[#This Row],[Total AMT]],0))</f>
        <v>988.2</v>
      </c>
      <c r="J903" s="39">
        <f>IF(My_Payment[[#This Row],[Payment_Code]]="S",My_Payment[[#This Row],[Total AMT]]/2,IF(My_Payment[[#This Row],[Payment_Code]]="N",My_Payment[[#This Row],[Total AMT]],0))</f>
        <v>0</v>
      </c>
    </row>
    <row r="904" spans="1:10">
      <c r="A904" s="38">
        <v>45519</v>
      </c>
      <c r="B904" s="37" t="s">
        <v>373</v>
      </c>
      <c r="C904" s="37" t="s">
        <v>209</v>
      </c>
      <c r="D904" s="37" t="s">
        <v>476</v>
      </c>
      <c r="E904" s="37" t="s">
        <v>308</v>
      </c>
      <c r="F904" s="38">
        <v>45536</v>
      </c>
      <c r="G904" s="37" t="s">
        <v>215</v>
      </c>
      <c r="H904" s="40">
        <v>988.2</v>
      </c>
      <c r="I904" s="39">
        <f>IF(My_Payment[[#This Row],[Payment_Code]]="S",My_Payment[[#This Row],[Total AMT]]/2,IF(My_Payment[[#This Row],[Payment_Code]]="P",My_Payment[[#This Row],[Total AMT]],0))</f>
        <v>988.2</v>
      </c>
      <c r="J904" s="39">
        <f>IF(My_Payment[[#This Row],[Payment_Code]]="S",My_Payment[[#This Row],[Total AMT]]/2,IF(My_Payment[[#This Row],[Payment_Code]]="N",My_Payment[[#This Row],[Total AMT]],0))</f>
        <v>0</v>
      </c>
    </row>
    <row r="905" spans="1:10">
      <c r="A905" s="38">
        <v>45550</v>
      </c>
      <c r="B905" s="37" t="s">
        <v>373</v>
      </c>
      <c r="C905" s="37" t="s">
        <v>209</v>
      </c>
      <c r="D905" s="37" t="s">
        <v>476</v>
      </c>
      <c r="E905" s="37" t="s">
        <v>309</v>
      </c>
      <c r="F905" s="38">
        <v>45566</v>
      </c>
      <c r="G905" s="37" t="s">
        <v>215</v>
      </c>
      <c r="H905" s="40">
        <v>988.2</v>
      </c>
      <c r="I905" s="39">
        <f>IF(My_Payment[[#This Row],[Payment_Code]]="S",My_Payment[[#This Row],[Total AMT]]/2,IF(My_Payment[[#This Row],[Payment_Code]]="P",My_Payment[[#This Row],[Total AMT]],0))</f>
        <v>988.2</v>
      </c>
      <c r="J905" s="39">
        <f>IF(My_Payment[[#This Row],[Payment_Code]]="S",My_Payment[[#This Row],[Total AMT]]/2,IF(My_Payment[[#This Row],[Payment_Code]]="N",My_Payment[[#This Row],[Total AMT]],0))</f>
        <v>0</v>
      </c>
    </row>
    <row r="906" spans="1:10">
      <c r="A906" s="38">
        <v>45580</v>
      </c>
      <c r="B906" s="37" t="s">
        <v>373</v>
      </c>
      <c r="C906" s="37" t="s">
        <v>209</v>
      </c>
      <c r="D906" s="37" t="s">
        <v>476</v>
      </c>
      <c r="E906" s="37" t="s">
        <v>310</v>
      </c>
      <c r="F906" s="38">
        <v>45597</v>
      </c>
      <c r="G906" s="37" t="s">
        <v>215</v>
      </c>
      <c r="H906" s="40">
        <v>988.2</v>
      </c>
      <c r="I906" s="39">
        <f>IF(My_Payment[[#This Row],[Payment_Code]]="S",My_Payment[[#This Row],[Total AMT]]/2,IF(My_Payment[[#This Row],[Payment_Code]]="P",My_Payment[[#This Row],[Total AMT]],0))</f>
        <v>988.2</v>
      </c>
      <c r="J906" s="39">
        <f>IF(My_Payment[[#This Row],[Payment_Code]]="S",My_Payment[[#This Row],[Total AMT]]/2,IF(My_Payment[[#This Row],[Payment_Code]]="N",My_Payment[[#This Row],[Total AMT]],0))</f>
        <v>0</v>
      </c>
    </row>
    <row r="907" spans="1:10">
      <c r="A907" s="38">
        <v>45611</v>
      </c>
      <c r="B907" s="37" t="s">
        <v>373</v>
      </c>
      <c r="C907" s="37" t="s">
        <v>209</v>
      </c>
      <c r="D907" s="37" t="s">
        <v>476</v>
      </c>
      <c r="E907" s="37" t="s">
        <v>311</v>
      </c>
      <c r="F907" s="38">
        <v>45627</v>
      </c>
      <c r="G907" s="37" t="s">
        <v>215</v>
      </c>
      <c r="H907" s="40">
        <v>988.2</v>
      </c>
      <c r="I907" s="39">
        <f>IF(My_Payment[[#This Row],[Payment_Code]]="S",My_Payment[[#This Row],[Total AMT]]/2,IF(My_Payment[[#This Row],[Payment_Code]]="P",My_Payment[[#This Row],[Total AMT]],0))</f>
        <v>988.2</v>
      </c>
      <c r="J907" s="39">
        <f>IF(My_Payment[[#This Row],[Payment_Code]]="S",My_Payment[[#This Row],[Total AMT]]/2,IF(My_Payment[[#This Row],[Payment_Code]]="N",My_Payment[[#This Row],[Total AMT]],0))</f>
        <v>0</v>
      </c>
    </row>
    <row r="908" spans="1:10">
      <c r="A908" s="38">
        <v>45641</v>
      </c>
      <c r="B908" s="37" t="s">
        <v>373</v>
      </c>
      <c r="C908" s="37" t="s">
        <v>209</v>
      </c>
      <c r="D908" s="37" t="s">
        <v>476</v>
      </c>
      <c r="E908" s="37" t="s">
        <v>312</v>
      </c>
      <c r="F908" s="38">
        <v>45658</v>
      </c>
      <c r="G908" s="37" t="s">
        <v>215</v>
      </c>
      <c r="H908" s="40">
        <v>988.2</v>
      </c>
      <c r="I908" s="39">
        <f>IF(My_Payment[[#This Row],[Payment_Code]]="S",My_Payment[[#This Row],[Total AMT]]/2,IF(My_Payment[[#This Row],[Payment_Code]]="P",My_Payment[[#This Row],[Total AMT]],0))</f>
        <v>988.2</v>
      </c>
      <c r="J908" s="39">
        <f>IF(My_Payment[[#This Row],[Payment_Code]]="S",My_Payment[[#This Row],[Total AMT]]/2,IF(My_Payment[[#This Row],[Payment_Code]]="N",My_Payment[[#This Row],[Total AMT]],0))</f>
        <v>0</v>
      </c>
    </row>
    <row r="909" spans="1:10">
      <c r="A909" s="38">
        <v>45672</v>
      </c>
      <c r="B909" s="37" t="s">
        <v>373</v>
      </c>
      <c r="C909" s="37" t="s">
        <v>209</v>
      </c>
      <c r="D909" s="37" t="s">
        <v>476</v>
      </c>
      <c r="E909" s="37" t="s">
        <v>313</v>
      </c>
      <c r="F909" s="38">
        <v>45689</v>
      </c>
      <c r="G909" s="37" t="s">
        <v>215</v>
      </c>
      <c r="H909" s="40">
        <v>988.2</v>
      </c>
      <c r="I909" s="39">
        <f>IF(My_Payment[[#This Row],[Payment_Code]]="S",My_Payment[[#This Row],[Total AMT]]/2,IF(My_Payment[[#This Row],[Payment_Code]]="P",My_Payment[[#This Row],[Total AMT]],0))</f>
        <v>988.2</v>
      </c>
      <c r="J909" s="39">
        <f>IF(My_Payment[[#This Row],[Payment_Code]]="S",My_Payment[[#This Row],[Total AMT]]/2,IF(My_Payment[[#This Row],[Payment_Code]]="N",My_Payment[[#This Row],[Total AMT]],0))</f>
        <v>0</v>
      </c>
    </row>
    <row r="910" spans="1:10">
      <c r="A910" s="38">
        <v>45703</v>
      </c>
      <c r="B910" s="37" t="s">
        <v>373</v>
      </c>
      <c r="C910" s="37" t="s">
        <v>209</v>
      </c>
      <c r="D910" s="37" t="s">
        <v>476</v>
      </c>
      <c r="E910" s="37" t="s">
        <v>314</v>
      </c>
      <c r="F910" s="38">
        <v>45717</v>
      </c>
      <c r="G910" s="37" t="s">
        <v>215</v>
      </c>
      <c r="H910" s="40">
        <v>988.2</v>
      </c>
      <c r="I910" s="39">
        <f>IF(My_Payment[[#This Row],[Payment_Code]]="S",My_Payment[[#This Row],[Total AMT]]/2,IF(My_Payment[[#This Row],[Payment_Code]]="P",My_Payment[[#This Row],[Total AMT]],0))</f>
        <v>988.2</v>
      </c>
      <c r="J910" s="39">
        <f>IF(My_Payment[[#This Row],[Payment_Code]]="S",My_Payment[[#This Row],[Total AMT]]/2,IF(My_Payment[[#This Row],[Payment_Code]]="N",My_Payment[[#This Row],[Total AMT]],0))</f>
        <v>0</v>
      </c>
    </row>
    <row r="911" spans="1:10">
      <c r="A911" s="38">
        <v>45731</v>
      </c>
      <c r="B911" s="37" t="s">
        <v>373</v>
      </c>
      <c r="C911" s="37" t="s">
        <v>209</v>
      </c>
      <c r="D911" s="37" t="s">
        <v>476</v>
      </c>
      <c r="E911" s="37" t="s">
        <v>112</v>
      </c>
      <c r="F911" s="38">
        <v>45748</v>
      </c>
      <c r="G911" s="37" t="s">
        <v>215</v>
      </c>
      <c r="H911" s="40">
        <v>988.2</v>
      </c>
      <c r="I911" s="39">
        <f>IF(My_Payment[[#This Row],[Payment_Code]]="S",My_Payment[[#This Row],[Total AMT]]/2,IF(My_Payment[[#This Row],[Payment_Code]]="P",My_Payment[[#This Row],[Total AMT]],0))</f>
        <v>988.2</v>
      </c>
      <c r="J911" s="39">
        <f>IF(My_Payment[[#This Row],[Payment_Code]]="S",My_Payment[[#This Row],[Total AMT]]/2,IF(My_Payment[[#This Row],[Payment_Code]]="N",My_Payment[[#This Row],[Total AMT]],0))</f>
        <v>0</v>
      </c>
    </row>
    <row r="912" spans="1:10">
      <c r="A912" s="38">
        <v>45410</v>
      </c>
      <c r="B912" s="37" t="s">
        <v>345</v>
      </c>
      <c r="C912" s="37" t="s">
        <v>248</v>
      </c>
      <c r="D912" s="37" t="s">
        <v>477</v>
      </c>
      <c r="E912" s="37" t="s">
        <v>211</v>
      </c>
      <c r="F912" s="38">
        <v>45445</v>
      </c>
      <c r="G912" s="37" t="s">
        <v>212</v>
      </c>
      <c r="H912" s="40">
        <v>1191.8699999999999</v>
      </c>
      <c r="I912" s="39">
        <f>IF(My_Payment[[#This Row],[Payment_Code]]="S",My_Payment[[#This Row],[Total AMT]]/2,IF(My_Payment[[#This Row],[Payment_Code]]="P",My_Payment[[#This Row],[Total AMT]],0))</f>
        <v>595.93499999999995</v>
      </c>
      <c r="J912" s="39">
        <f>IF(My_Payment[[#This Row],[Payment_Code]]="S",My_Payment[[#This Row],[Total AMT]]/2,IF(My_Payment[[#This Row],[Payment_Code]]="N",My_Payment[[#This Row],[Total AMT]],0))</f>
        <v>595.93499999999995</v>
      </c>
    </row>
    <row r="913" spans="1:10">
      <c r="A913" s="38">
        <v>45417</v>
      </c>
      <c r="B913" s="37" t="s">
        <v>345</v>
      </c>
      <c r="C913" s="37" t="s">
        <v>248</v>
      </c>
      <c r="D913" s="37" t="s">
        <v>478</v>
      </c>
      <c r="E913" s="37" t="s">
        <v>211</v>
      </c>
      <c r="F913" s="38">
        <v>45445</v>
      </c>
      <c r="G913" s="37" t="s">
        <v>212</v>
      </c>
      <c r="H913" s="40">
        <v>927.69</v>
      </c>
      <c r="I913" s="39">
        <f>IF(My_Payment[[#This Row],[Payment_Code]]="S",My_Payment[[#This Row],[Total AMT]]/2,IF(My_Payment[[#This Row],[Payment_Code]]="P",My_Payment[[#This Row],[Total AMT]],0))</f>
        <v>463.84500000000003</v>
      </c>
      <c r="J913" s="39">
        <f>IF(My_Payment[[#This Row],[Payment_Code]]="S",My_Payment[[#This Row],[Total AMT]]/2,IF(My_Payment[[#This Row],[Payment_Code]]="N",My_Payment[[#This Row],[Total AMT]],0))</f>
        <v>463.84500000000003</v>
      </c>
    </row>
    <row r="914" spans="1:10">
      <c r="A914" s="38">
        <v>45422</v>
      </c>
      <c r="B914" s="37" t="s">
        <v>357</v>
      </c>
      <c r="C914" s="37" t="s">
        <v>248</v>
      </c>
      <c r="D914" s="37" t="s">
        <v>479</v>
      </c>
      <c r="E914" s="37" t="s">
        <v>211</v>
      </c>
      <c r="F914" s="38">
        <v>45448</v>
      </c>
      <c r="G914" s="37" t="s">
        <v>215</v>
      </c>
      <c r="H914" s="40">
        <v>116</v>
      </c>
      <c r="I914" s="39">
        <f>IF(My_Payment[[#This Row],[Payment_Code]]="S",My_Payment[[#This Row],[Total AMT]]/2,IF(My_Payment[[#This Row],[Payment_Code]]="P",My_Payment[[#This Row],[Total AMT]],0))</f>
        <v>116</v>
      </c>
      <c r="J914" s="39">
        <f>IF(My_Payment[[#This Row],[Payment_Code]]="S",My_Payment[[#This Row],[Total AMT]]/2,IF(My_Payment[[#This Row],[Payment_Code]]="N",My_Payment[[#This Row],[Total AMT]],0))</f>
        <v>0</v>
      </c>
    </row>
    <row r="915" spans="1:10">
      <c r="A915" s="38">
        <v>45422</v>
      </c>
      <c r="B915" s="37" t="s">
        <v>357</v>
      </c>
      <c r="C915" s="37" t="s">
        <v>248</v>
      </c>
      <c r="D915" s="37" t="s">
        <v>480</v>
      </c>
      <c r="E915" s="37" t="s">
        <v>211</v>
      </c>
      <c r="F915" s="38">
        <v>45448</v>
      </c>
      <c r="G915" s="37" t="s">
        <v>215</v>
      </c>
      <c r="H915" s="40">
        <v>217</v>
      </c>
      <c r="I915" s="39">
        <f>IF(My_Payment[[#This Row],[Payment_Code]]="S",My_Payment[[#This Row],[Total AMT]]/2,IF(My_Payment[[#This Row],[Payment_Code]]="P",My_Payment[[#This Row],[Total AMT]],0))</f>
        <v>217</v>
      </c>
      <c r="J915" s="39">
        <f>IF(My_Payment[[#This Row],[Payment_Code]]="S",My_Payment[[#This Row],[Total AMT]]/2,IF(My_Payment[[#This Row],[Payment_Code]]="N",My_Payment[[#This Row],[Total AMT]],0))</f>
        <v>0</v>
      </c>
    </row>
    <row r="916" spans="1:10">
      <c r="A916" s="38">
        <v>45423</v>
      </c>
      <c r="B916" s="37" t="s">
        <v>357</v>
      </c>
      <c r="C916" s="37" t="s">
        <v>248</v>
      </c>
      <c r="D916" s="37" t="s">
        <v>481</v>
      </c>
      <c r="E916" s="37" t="s">
        <v>211</v>
      </c>
      <c r="F916" s="38">
        <v>45448</v>
      </c>
      <c r="G916" s="37" t="s">
        <v>215</v>
      </c>
      <c r="H916" s="40">
        <v>418</v>
      </c>
      <c r="I916" s="39">
        <f>IF(My_Payment[[#This Row],[Payment_Code]]="S",My_Payment[[#This Row],[Total AMT]]/2,IF(My_Payment[[#This Row],[Payment_Code]]="P",My_Payment[[#This Row],[Total AMT]],0))</f>
        <v>418</v>
      </c>
      <c r="J916" s="39">
        <f>IF(My_Payment[[#This Row],[Payment_Code]]="S",My_Payment[[#This Row],[Total AMT]]/2,IF(My_Payment[[#This Row],[Payment_Code]]="N",My_Payment[[#This Row],[Total AMT]],0))</f>
        <v>0</v>
      </c>
    </row>
    <row r="917" spans="1:10">
      <c r="A917" s="38">
        <v>45480</v>
      </c>
      <c r="B917" s="37" t="s">
        <v>482</v>
      </c>
      <c r="C917" s="37" t="s">
        <v>248</v>
      </c>
      <c r="D917" s="37" t="s">
        <v>483</v>
      </c>
      <c r="E917" s="37" t="s">
        <v>484</v>
      </c>
      <c r="F917" s="38">
        <v>45498</v>
      </c>
      <c r="G917" s="37" t="s">
        <v>212</v>
      </c>
      <c r="H917" s="40">
        <v>169</v>
      </c>
      <c r="I917" s="39">
        <v>89</v>
      </c>
      <c r="J917" s="39">
        <v>80</v>
      </c>
    </row>
    <row r="918" spans="1:10">
      <c r="A918" s="38">
        <v>45511</v>
      </c>
      <c r="B918" s="37" t="s">
        <v>482</v>
      </c>
      <c r="C918" s="37" t="s">
        <v>248</v>
      </c>
      <c r="D918" s="37" t="s">
        <v>483</v>
      </c>
      <c r="E918" s="37" t="s">
        <v>485</v>
      </c>
      <c r="F918" s="38">
        <v>45529</v>
      </c>
      <c r="G918" s="37" t="s">
        <v>212</v>
      </c>
      <c r="H918" s="40">
        <v>169</v>
      </c>
      <c r="I918" s="39">
        <v>89</v>
      </c>
      <c r="J918" s="39">
        <v>80</v>
      </c>
    </row>
    <row r="919" spans="1:10">
      <c r="A919" s="38">
        <v>45542</v>
      </c>
      <c r="B919" s="37" t="s">
        <v>482</v>
      </c>
      <c r="C919" s="37" t="s">
        <v>248</v>
      </c>
      <c r="D919" s="37" t="s">
        <v>483</v>
      </c>
      <c r="E919" s="37" t="s">
        <v>486</v>
      </c>
      <c r="F919" s="38">
        <v>45560</v>
      </c>
      <c r="G919" s="37" t="s">
        <v>212</v>
      </c>
      <c r="H919" s="40">
        <v>169</v>
      </c>
      <c r="I919" s="39">
        <v>89</v>
      </c>
      <c r="J919" s="39">
        <v>80</v>
      </c>
    </row>
    <row r="920" spans="1:10">
      <c r="A920" s="38">
        <v>45572</v>
      </c>
      <c r="B920" s="37" t="s">
        <v>482</v>
      </c>
      <c r="C920" s="37" t="s">
        <v>248</v>
      </c>
      <c r="D920" s="37" t="s">
        <v>483</v>
      </c>
      <c r="E920" s="37" t="s">
        <v>487</v>
      </c>
      <c r="F920" s="38">
        <v>45590</v>
      </c>
      <c r="G920" s="37" t="s">
        <v>212</v>
      </c>
      <c r="H920" s="40">
        <v>169</v>
      </c>
      <c r="I920" s="39">
        <v>89</v>
      </c>
      <c r="J920" s="39">
        <v>80</v>
      </c>
    </row>
    <row r="921" spans="1:10">
      <c r="A921" s="38">
        <v>45603</v>
      </c>
      <c r="B921" s="37" t="s">
        <v>482</v>
      </c>
      <c r="C921" s="37" t="s">
        <v>248</v>
      </c>
      <c r="D921" s="37" t="s">
        <v>483</v>
      </c>
      <c r="E921" s="37" t="s">
        <v>488</v>
      </c>
      <c r="F921" s="38">
        <v>45621</v>
      </c>
      <c r="G921" s="37" t="s">
        <v>212</v>
      </c>
      <c r="H921" s="40">
        <v>169</v>
      </c>
      <c r="I921" s="39">
        <v>89</v>
      </c>
      <c r="J921" s="39">
        <v>80</v>
      </c>
    </row>
    <row r="922" spans="1:10">
      <c r="A922" s="38">
        <v>45633</v>
      </c>
      <c r="B922" s="37" t="s">
        <v>482</v>
      </c>
      <c r="C922" s="37" t="s">
        <v>248</v>
      </c>
      <c r="D922" s="37" t="s">
        <v>483</v>
      </c>
      <c r="E922" s="37" t="s">
        <v>489</v>
      </c>
      <c r="F922" s="38">
        <v>45651</v>
      </c>
      <c r="G922" s="37" t="s">
        <v>212</v>
      </c>
      <c r="H922" s="40">
        <v>169</v>
      </c>
      <c r="I922" s="39">
        <v>89</v>
      </c>
      <c r="J922" s="39">
        <v>80</v>
      </c>
    </row>
    <row r="923" spans="1:10">
      <c r="A923" s="38">
        <v>45664</v>
      </c>
      <c r="B923" s="37" t="s">
        <v>482</v>
      </c>
      <c r="C923" s="37" t="s">
        <v>248</v>
      </c>
      <c r="D923" s="37" t="s">
        <v>483</v>
      </c>
      <c r="E923" s="37" t="s">
        <v>490</v>
      </c>
      <c r="F923" s="38">
        <v>45682</v>
      </c>
      <c r="G923" s="37" t="s">
        <v>212</v>
      </c>
      <c r="H923" s="40">
        <v>169</v>
      </c>
      <c r="I923" s="39">
        <v>89</v>
      </c>
      <c r="J923" s="39">
        <v>80</v>
      </c>
    </row>
    <row r="924" spans="1:10">
      <c r="A924" s="38">
        <v>45695</v>
      </c>
      <c r="B924" s="37" t="s">
        <v>482</v>
      </c>
      <c r="C924" s="37" t="s">
        <v>248</v>
      </c>
      <c r="D924" s="37" t="s">
        <v>483</v>
      </c>
      <c r="E924" s="37" t="s">
        <v>491</v>
      </c>
      <c r="F924" s="38">
        <v>45713</v>
      </c>
      <c r="G924" s="37" t="s">
        <v>212</v>
      </c>
      <c r="H924" s="40">
        <v>169</v>
      </c>
      <c r="I924" s="39">
        <v>89</v>
      </c>
      <c r="J924" s="39">
        <v>80</v>
      </c>
    </row>
    <row r="925" spans="1:10">
      <c r="A925" s="38">
        <v>45723</v>
      </c>
      <c r="B925" s="37" t="s">
        <v>482</v>
      </c>
      <c r="C925" s="37" t="s">
        <v>248</v>
      </c>
      <c r="D925" s="37" t="s">
        <v>483</v>
      </c>
      <c r="E925" s="37" t="s">
        <v>492</v>
      </c>
      <c r="F925" s="38">
        <v>45741</v>
      </c>
      <c r="G925" s="37" t="s">
        <v>212</v>
      </c>
      <c r="H925" s="40">
        <v>169</v>
      </c>
      <c r="I925" s="39">
        <v>89</v>
      </c>
      <c r="J925" s="39">
        <v>80</v>
      </c>
    </row>
    <row r="926" spans="1:10">
      <c r="A926" s="38">
        <v>45754</v>
      </c>
      <c r="B926" s="37" t="s">
        <v>482</v>
      </c>
      <c r="C926" s="37" t="s">
        <v>248</v>
      </c>
      <c r="D926" s="37" t="s">
        <v>483</v>
      </c>
      <c r="E926" s="37" t="s">
        <v>493</v>
      </c>
      <c r="F926" s="38">
        <v>45772</v>
      </c>
      <c r="G926" s="37" t="s">
        <v>212</v>
      </c>
      <c r="H926" s="40">
        <v>169</v>
      </c>
      <c r="I926" s="39">
        <v>89</v>
      </c>
      <c r="J926" s="39">
        <v>80</v>
      </c>
    </row>
    <row r="927" spans="1:10">
      <c r="A927" s="38">
        <v>45784</v>
      </c>
      <c r="B927" s="37" t="s">
        <v>482</v>
      </c>
      <c r="C927" s="37" t="s">
        <v>248</v>
      </c>
      <c r="D927" s="37" t="s">
        <v>483</v>
      </c>
      <c r="E927" s="37" t="s">
        <v>494</v>
      </c>
      <c r="F927" s="38">
        <v>45802</v>
      </c>
      <c r="G927" s="37" t="s">
        <v>212</v>
      </c>
      <c r="H927" s="40">
        <v>169</v>
      </c>
      <c r="I927" s="39">
        <v>89</v>
      </c>
      <c r="J927" s="39">
        <v>80</v>
      </c>
    </row>
    <row r="928" spans="1:10">
      <c r="A928" s="38">
        <v>45815</v>
      </c>
      <c r="B928" s="37" t="s">
        <v>482</v>
      </c>
      <c r="C928" s="37" t="s">
        <v>248</v>
      </c>
      <c r="D928" s="37" t="s">
        <v>483</v>
      </c>
      <c r="E928" s="37" t="s">
        <v>495</v>
      </c>
      <c r="F928" s="38">
        <v>45833</v>
      </c>
      <c r="G928" s="37" t="s">
        <v>212</v>
      </c>
      <c r="H928" s="40">
        <v>169</v>
      </c>
      <c r="I928" s="39">
        <v>89</v>
      </c>
      <c r="J928" s="39">
        <v>80</v>
      </c>
    </row>
    <row r="929" spans="1:10">
      <c r="A929" s="38">
        <v>45474</v>
      </c>
      <c r="B929" s="37" t="s">
        <v>482</v>
      </c>
      <c r="C929" s="37" t="s">
        <v>496</v>
      </c>
      <c r="D929" s="37" t="s">
        <v>497</v>
      </c>
      <c r="E929" s="37" t="s">
        <v>484</v>
      </c>
      <c r="F929" s="38">
        <v>45474</v>
      </c>
      <c r="G929" s="37" t="s">
        <v>212</v>
      </c>
      <c r="H929" s="40">
        <v>299</v>
      </c>
      <c r="I929" s="39">
        <v>150</v>
      </c>
      <c r="J929" s="39">
        <v>149</v>
      </c>
    </row>
    <row r="930" spans="1:10">
      <c r="A930" s="38">
        <v>45505</v>
      </c>
      <c r="B930" s="37" t="s">
        <v>482</v>
      </c>
      <c r="C930" s="37" t="s">
        <v>496</v>
      </c>
      <c r="D930" s="37" t="s">
        <v>497</v>
      </c>
      <c r="E930" s="37" t="s">
        <v>485</v>
      </c>
      <c r="F930" s="38">
        <v>45505</v>
      </c>
      <c r="G930" s="37" t="s">
        <v>212</v>
      </c>
      <c r="H930" s="40">
        <v>299</v>
      </c>
      <c r="I930" s="39">
        <v>150</v>
      </c>
      <c r="J930" s="39">
        <v>149</v>
      </c>
    </row>
    <row r="931" spans="1:10">
      <c r="A931" s="38">
        <v>45536</v>
      </c>
      <c r="B931" s="37" t="s">
        <v>482</v>
      </c>
      <c r="C931" s="37" t="s">
        <v>496</v>
      </c>
      <c r="D931" s="37" t="s">
        <v>497</v>
      </c>
      <c r="E931" s="37" t="s">
        <v>486</v>
      </c>
      <c r="F931" s="38">
        <v>45536</v>
      </c>
      <c r="G931" s="37" t="s">
        <v>212</v>
      </c>
      <c r="H931" s="40">
        <v>299</v>
      </c>
      <c r="I931" s="39">
        <v>150</v>
      </c>
      <c r="J931" s="39">
        <v>149</v>
      </c>
    </row>
    <row r="932" spans="1:10">
      <c r="A932" s="38">
        <v>45566</v>
      </c>
      <c r="B932" s="37" t="s">
        <v>482</v>
      </c>
      <c r="C932" s="37" t="s">
        <v>496</v>
      </c>
      <c r="D932" s="37" t="s">
        <v>497</v>
      </c>
      <c r="E932" s="37" t="s">
        <v>487</v>
      </c>
      <c r="F932" s="38">
        <v>45566</v>
      </c>
      <c r="G932" s="37" t="s">
        <v>212</v>
      </c>
      <c r="H932" s="40">
        <v>359</v>
      </c>
      <c r="I932" s="39">
        <v>180</v>
      </c>
      <c r="J932" s="39">
        <v>179</v>
      </c>
    </row>
    <row r="933" spans="1:10">
      <c r="A933" s="38">
        <v>45597</v>
      </c>
      <c r="B933" s="37" t="s">
        <v>482</v>
      </c>
      <c r="C933" s="37" t="s">
        <v>496</v>
      </c>
      <c r="D933" s="37" t="s">
        <v>497</v>
      </c>
      <c r="E933" s="37" t="s">
        <v>488</v>
      </c>
      <c r="F933" s="38">
        <v>45597</v>
      </c>
      <c r="G933" s="37" t="s">
        <v>212</v>
      </c>
      <c r="H933" s="40">
        <v>359</v>
      </c>
      <c r="I933" s="39">
        <v>180</v>
      </c>
      <c r="J933" s="39">
        <v>179</v>
      </c>
    </row>
    <row r="934" spans="1:10">
      <c r="A934" s="38">
        <v>45627</v>
      </c>
      <c r="B934" s="37" t="s">
        <v>482</v>
      </c>
      <c r="C934" s="37" t="s">
        <v>496</v>
      </c>
      <c r="D934" s="37" t="s">
        <v>497</v>
      </c>
      <c r="E934" s="37" t="s">
        <v>489</v>
      </c>
      <c r="F934" s="38">
        <v>45627</v>
      </c>
      <c r="G934" s="37" t="s">
        <v>212</v>
      </c>
      <c r="H934" s="40">
        <v>359</v>
      </c>
      <c r="I934" s="39">
        <v>180</v>
      </c>
      <c r="J934" s="39">
        <v>179</v>
      </c>
    </row>
    <row r="935" spans="1:10">
      <c r="A935" s="38">
        <v>45658</v>
      </c>
      <c r="B935" s="37" t="s">
        <v>482</v>
      </c>
      <c r="C935" s="37" t="s">
        <v>496</v>
      </c>
      <c r="D935" s="37" t="s">
        <v>497</v>
      </c>
      <c r="E935" s="37" t="s">
        <v>490</v>
      </c>
      <c r="F935" s="38">
        <v>45658</v>
      </c>
      <c r="G935" s="37" t="s">
        <v>212</v>
      </c>
      <c r="H935" s="40">
        <v>359</v>
      </c>
      <c r="I935" s="39">
        <v>180</v>
      </c>
      <c r="J935" s="39">
        <v>179</v>
      </c>
    </row>
    <row r="936" spans="1:10">
      <c r="A936" s="38">
        <v>45689</v>
      </c>
      <c r="B936" s="37" t="s">
        <v>482</v>
      </c>
      <c r="C936" s="37" t="s">
        <v>496</v>
      </c>
      <c r="D936" s="37" t="s">
        <v>497</v>
      </c>
      <c r="E936" s="37" t="s">
        <v>491</v>
      </c>
      <c r="F936" s="38">
        <v>45689</v>
      </c>
      <c r="G936" s="37" t="s">
        <v>212</v>
      </c>
      <c r="H936" s="40">
        <v>359</v>
      </c>
      <c r="I936" s="39">
        <v>180</v>
      </c>
      <c r="J936" s="39">
        <v>179</v>
      </c>
    </row>
    <row r="937" spans="1:10">
      <c r="A937" s="38">
        <v>45717</v>
      </c>
      <c r="B937" s="37" t="s">
        <v>482</v>
      </c>
      <c r="C937" s="37" t="s">
        <v>496</v>
      </c>
      <c r="D937" s="37" t="s">
        <v>497</v>
      </c>
      <c r="E937" s="37" t="s">
        <v>492</v>
      </c>
      <c r="F937" s="38">
        <v>45717</v>
      </c>
      <c r="G937" s="37" t="s">
        <v>212</v>
      </c>
      <c r="H937" s="40">
        <v>359</v>
      </c>
      <c r="I937" s="39">
        <v>180</v>
      </c>
      <c r="J937" s="39">
        <v>179</v>
      </c>
    </row>
    <row r="938" spans="1:10">
      <c r="A938" s="38">
        <v>45748</v>
      </c>
      <c r="B938" s="37" t="s">
        <v>482</v>
      </c>
      <c r="C938" s="37" t="s">
        <v>496</v>
      </c>
      <c r="D938" s="37" t="s">
        <v>497</v>
      </c>
      <c r="E938" s="37" t="s">
        <v>493</v>
      </c>
      <c r="F938" s="38">
        <v>45748</v>
      </c>
      <c r="G938" s="37" t="s">
        <v>212</v>
      </c>
      <c r="H938" s="40">
        <v>359</v>
      </c>
      <c r="I938" s="39">
        <v>180</v>
      </c>
      <c r="J938" s="39">
        <v>179</v>
      </c>
    </row>
    <row r="939" spans="1:10">
      <c r="A939" s="38">
        <v>45778</v>
      </c>
      <c r="B939" s="37" t="s">
        <v>482</v>
      </c>
      <c r="C939" s="37" t="s">
        <v>496</v>
      </c>
      <c r="D939" s="37" t="s">
        <v>497</v>
      </c>
      <c r="E939" s="37" t="s">
        <v>494</v>
      </c>
      <c r="F939" s="38">
        <v>45778</v>
      </c>
      <c r="G939" s="37" t="s">
        <v>212</v>
      </c>
      <c r="H939" s="40">
        <v>359</v>
      </c>
      <c r="I939" s="39">
        <v>180</v>
      </c>
      <c r="J939" s="39">
        <v>179</v>
      </c>
    </row>
    <row r="940" spans="1:10">
      <c r="A940" s="38">
        <v>45809</v>
      </c>
      <c r="B940" s="37" t="s">
        <v>482</v>
      </c>
      <c r="C940" s="37" t="s">
        <v>496</v>
      </c>
      <c r="D940" s="37" t="s">
        <v>497</v>
      </c>
      <c r="E940" s="37" t="s">
        <v>495</v>
      </c>
      <c r="F940" s="38">
        <v>45809</v>
      </c>
      <c r="G940" s="37" t="s">
        <v>212</v>
      </c>
      <c r="H940" s="40">
        <v>359</v>
      </c>
      <c r="I940" s="39">
        <v>180</v>
      </c>
      <c r="J940" s="39">
        <v>179</v>
      </c>
    </row>
    <row r="941" spans="1:10">
      <c r="A941" s="38">
        <v>45466</v>
      </c>
      <c r="B941" s="37" t="s">
        <v>208</v>
      </c>
      <c r="C941" s="37" t="s">
        <v>209</v>
      </c>
      <c r="D941" s="37" t="s">
        <v>217</v>
      </c>
      <c r="E941" s="37" t="s">
        <v>211</v>
      </c>
      <c r="F941" s="38">
        <v>45506</v>
      </c>
      <c r="G941" s="37" t="s">
        <v>212</v>
      </c>
      <c r="H941" s="40">
        <v>1845.91</v>
      </c>
      <c r="I941" s="39">
        <v>934.46</v>
      </c>
      <c r="J941" s="39">
        <v>911.46</v>
      </c>
    </row>
    <row r="942" spans="1:10">
      <c r="A942" s="38">
        <v>45436</v>
      </c>
      <c r="B942" s="37" t="s">
        <v>305</v>
      </c>
      <c r="C942" s="37" t="s">
        <v>226</v>
      </c>
      <c r="D942" s="37" t="s">
        <v>33</v>
      </c>
      <c r="E942" s="37" t="s">
        <v>211</v>
      </c>
      <c r="F942" s="38">
        <v>45480</v>
      </c>
      <c r="G942" s="37" t="s">
        <v>215</v>
      </c>
      <c r="H942" s="40">
        <v>71.25</v>
      </c>
      <c r="I942" s="39">
        <f>IF(My_Payment[[#This Row],[Payment_Code]]="S",My_Payment[[#This Row],[Total AMT]]/2,IF(My_Payment[[#This Row],[Payment_Code]]="P",My_Payment[[#This Row],[Total AMT]],0))</f>
        <v>71.25</v>
      </c>
      <c r="J942" s="39">
        <f>IF(My_Payment[[#This Row],[Payment_Code]]="S",My_Payment[[#This Row],[Total AMT]]/2,IF(My_Payment[[#This Row],[Payment_Code]]="N",My_Payment[[#This Row],[Total AMT]],0))</f>
        <v>0</v>
      </c>
    </row>
    <row r="943" spans="1:10">
      <c r="A943" s="38">
        <v>45459</v>
      </c>
      <c r="B943" s="37" t="s">
        <v>305</v>
      </c>
      <c r="C943" s="37" t="s">
        <v>226</v>
      </c>
      <c r="D943" s="37" t="s">
        <v>427</v>
      </c>
      <c r="E943" s="37" t="s">
        <v>211</v>
      </c>
      <c r="F943" s="38">
        <v>45480</v>
      </c>
      <c r="G943" s="37" t="s">
        <v>212</v>
      </c>
      <c r="H943" s="40">
        <v>660</v>
      </c>
      <c r="I943" s="39">
        <f>IF(My_Payment[[#This Row],[Payment_Code]]="S",My_Payment[[#This Row],[Total AMT]]/2,IF(My_Payment[[#This Row],[Payment_Code]]="P",My_Payment[[#This Row],[Total AMT]],0))</f>
        <v>330</v>
      </c>
      <c r="J943" s="39">
        <f>IF(My_Payment[[#This Row],[Payment_Code]]="S",My_Payment[[#This Row],[Total AMT]]/2,IF(My_Payment[[#This Row],[Payment_Code]]="N",My_Payment[[#This Row],[Total AMT]],0))</f>
        <v>330</v>
      </c>
    </row>
    <row r="944" spans="1:10">
      <c r="A944" s="38">
        <v>45473</v>
      </c>
      <c r="B944" s="37" t="s">
        <v>305</v>
      </c>
      <c r="C944" s="37" t="s">
        <v>226</v>
      </c>
      <c r="D944" s="37" t="s">
        <v>498</v>
      </c>
      <c r="E944" s="37" t="s">
        <v>211</v>
      </c>
      <c r="F944" s="38">
        <v>45511</v>
      </c>
      <c r="G944" s="37" t="s">
        <v>212</v>
      </c>
      <c r="H944" s="40">
        <v>980</v>
      </c>
      <c r="I944" s="39">
        <f>IF(My_Payment[[#This Row],[Payment_Code]]="S",My_Payment[[#This Row],[Total AMT]]/2,IF(My_Payment[[#This Row],[Payment_Code]]="P",My_Payment[[#This Row],[Total AMT]],0))</f>
        <v>490</v>
      </c>
      <c r="J944" s="39">
        <f>IF(My_Payment[[#This Row],[Payment_Code]]="S",My_Payment[[#This Row],[Total AMT]]/2,IF(My_Payment[[#This Row],[Payment_Code]]="N",My_Payment[[#This Row],[Total AMT]],0))</f>
        <v>490</v>
      </c>
    </row>
    <row r="945" spans="1:10">
      <c r="A945" s="38">
        <v>45473</v>
      </c>
      <c r="B945" s="37" t="s">
        <v>305</v>
      </c>
      <c r="C945" s="37" t="s">
        <v>226</v>
      </c>
      <c r="D945" s="37" t="s">
        <v>499</v>
      </c>
      <c r="E945" s="37" t="s">
        <v>211</v>
      </c>
      <c r="F945" s="38">
        <v>45511</v>
      </c>
      <c r="G945" s="37" t="s">
        <v>215</v>
      </c>
      <c r="H945" s="40">
        <v>9500</v>
      </c>
      <c r="I945" s="39">
        <f>IF(My_Payment[[#This Row],[Payment_Code]]="S",My_Payment[[#This Row],[Total AMT]]/2,IF(My_Payment[[#This Row],[Payment_Code]]="P",My_Payment[[#This Row],[Total AMT]],0))</f>
        <v>9500</v>
      </c>
      <c r="J945" s="39">
        <f>IF(My_Payment[[#This Row],[Payment_Code]]="S",My_Payment[[#This Row],[Total AMT]]/2,IF(My_Payment[[#This Row],[Payment_Code]]="N",My_Payment[[#This Row],[Total AMT]],0))</f>
        <v>0</v>
      </c>
    </row>
    <row r="946" spans="1:10">
      <c r="A946" s="38">
        <v>45484</v>
      </c>
      <c r="B946" s="37" t="s">
        <v>305</v>
      </c>
      <c r="C946" s="37" t="s">
        <v>226</v>
      </c>
      <c r="D946" s="37" t="s">
        <v>33</v>
      </c>
      <c r="E946" s="37" t="s">
        <v>211</v>
      </c>
      <c r="F946" s="38">
        <v>45511</v>
      </c>
      <c r="G946" s="37" t="s">
        <v>215</v>
      </c>
      <c r="H946" s="40">
        <v>749.5</v>
      </c>
      <c r="I946" s="39">
        <f>IF(My_Payment[[#This Row],[Payment_Code]]="S",My_Payment[[#This Row],[Total AMT]]/2,IF(My_Payment[[#This Row],[Payment_Code]]="P",My_Payment[[#This Row],[Total AMT]],0))</f>
        <v>749.5</v>
      </c>
      <c r="J946" s="39">
        <f>IF(My_Payment[[#This Row],[Payment_Code]]="S",My_Payment[[#This Row],[Total AMT]]/2,IF(My_Payment[[#This Row],[Payment_Code]]="N",My_Payment[[#This Row],[Total AMT]],0))</f>
        <v>0</v>
      </c>
    </row>
    <row r="947" spans="1:10">
      <c r="A947" s="38">
        <v>45459</v>
      </c>
      <c r="B947" s="37" t="s">
        <v>345</v>
      </c>
      <c r="C947" s="37" t="s">
        <v>248</v>
      </c>
      <c r="D947" s="37" t="s">
        <v>451</v>
      </c>
      <c r="E947" s="37" t="s">
        <v>211</v>
      </c>
      <c r="F947" s="38">
        <v>45475</v>
      </c>
      <c r="G947" s="37" t="s">
        <v>212</v>
      </c>
      <c r="H947" s="40">
        <v>1002</v>
      </c>
      <c r="I947" s="39">
        <f>IF(My_Payment[[#This Row],[Payment_Code]]="S",My_Payment[[#This Row],[Total AMT]]/2,IF(My_Payment[[#This Row],[Payment_Code]]="P",My_Payment[[#This Row],[Total AMT]],0))</f>
        <v>501</v>
      </c>
      <c r="J947" s="39">
        <f>IF(My_Payment[[#This Row],[Payment_Code]]="S",My_Payment[[#This Row],[Total AMT]]/2,IF(My_Payment[[#This Row],[Payment_Code]]="N",My_Payment[[#This Row],[Total AMT]],0))</f>
        <v>501</v>
      </c>
    </row>
    <row r="948" spans="1:10">
      <c r="A948" s="38">
        <v>45449</v>
      </c>
      <c r="B948" s="37" t="s">
        <v>357</v>
      </c>
      <c r="C948" s="37" t="s">
        <v>248</v>
      </c>
      <c r="D948" s="37" t="s">
        <v>500</v>
      </c>
      <c r="E948" s="37" t="s">
        <v>211</v>
      </c>
      <c r="F948" s="38">
        <v>45478</v>
      </c>
      <c r="G948" s="37" t="s">
        <v>215</v>
      </c>
      <c r="H948" s="40">
        <v>524</v>
      </c>
      <c r="I948" s="39">
        <f>IF(My_Payment[[#This Row],[Payment_Code]]="S",My_Payment[[#This Row],[Total AMT]]/2,IF(My_Payment[[#This Row],[Payment_Code]]="P",My_Payment[[#This Row],[Total AMT]],0))</f>
        <v>524</v>
      </c>
      <c r="J948" s="39">
        <f>IF(My_Payment[[#This Row],[Payment_Code]]="S",My_Payment[[#This Row],[Total AMT]]/2,IF(My_Payment[[#This Row],[Payment_Code]]="N",My_Payment[[#This Row],[Total AMT]],0))</f>
        <v>0</v>
      </c>
    </row>
    <row r="949" spans="1:10">
      <c r="A949" s="38">
        <v>45488</v>
      </c>
      <c r="B949" s="37" t="s">
        <v>357</v>
      </c>
      <c r="C949" s="37" t="s">
        <v>248</v>
      </c>
      <c r="D949" s="37" t="s">
        <v>501</v>
      </c>
      <c r="E949" s="37" t="s">
        <v>459</v>
      </c>
      <c r="F949" s="38">
        <v>45509</v>
      </c>
      <c r="G949" s="37" t="s">
        <v>215</v>
      </c>
      <c r="H949" s="40">
        <v>580.79999999999995</v>
      </c>
      <c r="I949" s="39">
        <f>IF(My_Payment[[#This Row],[Payment_Code]]="S",My_Payment[[#This Row],[Total AMT]]/2,IF(My_Payment[[#This Row],[Payment_Code]]="P",My_Payment[[#This Row],[Total AMT]],0))</f>
        <v>580.79999999999995</v>
      </c>
      <c r="J949" s="39">
        <f>IF(My_Payment[[#This Row],[Payment_Code]]="S",My_Payment[[#This Row],[Total AMT]]/2,IF(My_Payment[[#This Row],[Payment_Code]]="N",My_Payment[[#This Row],[Total AMT]],0))</f>
        <v>0</v>
      </c>
    </row>
    <row r="950" spans="1:10">
      <c r="A950" s="38">
        <v>45519</v>
      </c>
      <c r="B950" s="37" t="s">
        <v>357</v>
      </c>
      <c r="C950" s="37" t="s">
        <v>248</v>
      </c>
      <c r="D950" s="37" t="s">
        <v>501</v>
      </c>
      <c r="E950" s="37" t="s">
        <v>460</v>
      </c>
      <c r="F950" s="38">
        <v>45540</v>
      </c>
      <c r="G950" s="37" t="s">
        <v>215</v>
      </c>
      <c r="H950" s="40">
        <v>580.79999999999995</v>
      </c>
      <c r="I950" s="39">
        <f>IF(My_Payment[[#This Row],[Payment_Code]]="S",My_Payment[[#This Row],[Total AMT]]/2,IF(My_Payment[[#This Row],[Payment_Code]]="P",My_Payment[[#This Row],[Total AMT]],0))</f>
        <v>580.79999999999995</v>
      </c>
      <c r="J950" s="39">
        <f>IF(My_Payment[[#This Row],[Payment_Code]]="S",My_Payment[[#This Row],[Total AMT]]/2,IF(My_Payment[[#This Row],[Payment_Code]]="N",My_Payment[[#This Row],[Total AMT]],0))</f>
        <v>0</v>
      </c>
    </row>
    <row r="951" spans="1:10">
      <c r="A951" s="38">
        <v>45550</v>
      </c>
      <c r="B951" s="37" t="s">
        <v>357</v>
      </c>
      <c r="C951" s="37" t="s">
        <v>248</v>
      </c>
      <c r="D951" s="37" t="s">
        <v>501</v>
      </c>
      <c r="E951" s="37" t="s">
        <v>461</v>
      </c>
      <c r="F951" s="38">
        <v>45570</v>
      </c>
      <c r="G951" s="37" t="s">
        <v>215</v>
      </c>
      <c r="H951" s="40">
        <v>580.79999999999995</v>
      </c>
      <c r="I951" s="39">
        <f>IF(My_Payment[[#This Row],[Payment_Code]]="S",My_Payment[[#This Row],[Total AMT]]/2,IF(My_Payment[[#This Row],[Payment_Code]]="P",My_Payment[[#This Row],[Total AMT]],0))</f>
        <v>580.79999999999995</v>
      </c>
      <c r="J951" s="39">
        <f>IF(My_Payment[[#This Row],[Payment_Code]]="S",My_Payment[[#This Row],[Total AMT]]/2,IF(My_Payment[[#This Row],[Payment_Code]]="N",My_Payment[[#This Row],[Total AMT]],0))</f>
        <v>0</v>
      </c>
    </row>
    <row r="952" spans="1:10">
      <c r="A952" s="38">
        <v>45580</v>
      </c>
      <c r="B952" s="37" t="s">
        <v>357</v>
      </c>
      <c r="C952" s="37" t="s">
        <v>248</v>
      </c>
      <c r="D952" s="37" t="s">
        <v>501</v>
      </c>
      <c r="E952" s="37" t="s">
        <v>462</v>
      </c>
      <c r="F952" s="38">
        <v>45601</v>
      </c>
      <c r="G952" s="37" t="s">
        <v>215</v>
      </c>
      <c r="H952" s="40">
        <v>580.79999999999995</v>
      </c>
      <c r="I952" s="39">
        <f>IF(My_Payment[[#This Row],[Payment_Code]]="S",My_Payment[[#This Row],[Total AMT]]/2,IF(My_Payment[[#This Row],[Payment_Code]]="P",My_Payment[[#This Row],[Total AMT]],0))</f>
        <v>580.79999999999995</v>
      </c>
      <c r="J952" s="39">
        <f>IF(My_Payment[[#This Row],[Payment_Code]]="S",My_Payment[[#This Row],[Total AMT]]/2,IF(My_Payment[[#This Row],[Payment_Code]]="N",My_Payment[[#This Row],[Total AMT]],0))</f>
        <v>0</v>
      </c>
    </row>
    <row r="953" spans="1:10">
      <c r="A953" s="38">
        <v>45611</v>
      </c>
      <c r="B953" s="37" t="s">
        <v>357</v>
      </c>
      <c r="C953" s="37" t="s">
        <v>248</v>
      </c>
      <c r="D953" s="37" t="s">
        <v>501</v>
      </c>
      <c r="E953" s="37" t="s">
        <v>463</v>
      </c>
      <c r="F953" s="38">
        <v>45631</v>
      </c>
      <c r="G953" s="37" t="s">
        <v>215</v>
      </c>
      <c r="H953" s="40">
        <v>580.79999999999995</v>
      </c>
      <c r="I953" s="39">
        <f>IF(My_Payment[[#This Row],[Payment_Code]]="S",My_Payment[[#This Row],[Total AMT]]/2,IF(My_Payment[[#This Row],[Payment_Code]]="P",My_Payment[[#This Row],[Total AMT]],0))</f>
        <v>580.79999999999995</v>
      </c>
      <c r="J953" s="39">
        <f>IF(My_Payment[[#This Row],[Payment_Code]]="S",My_Payment[[#This Row],[Total AMT]]/2,IF(My_Payment[[#This Row],[Payment_Code]]="N",My_Payment[[#This Row],[Total AMT]],0))</f>
        <v>0</v>
      </c>
    </row>
    <row r="954" spans="1:10">
      <c r="A954" s="38">
        <v>45488</v>
      </c>
      <c r="B954" s="37" t="s">
        <v>357</v>
      </c>
      <c r="C954" s="37" t="s">
        <v>248</v>
      </c>
      <c r="D954" s="37" t="s">
        <v>502</v>
      </c>
      <c r="E954" s="37" t="s">
        <v>324</v>
      </c>
      <c r="F954" s="38">
        <v>45509</v>
      </c>
      <c r="G954" s="37" t="s">
        <v>215</v>
      </c>
      <c r="H954" s="40">
        <v>365.67</v>
      </c>
      <c r="I954" s="39">
        <f>IF(My_Payment[[#This Row],[Payment_Code]]="S",My_Payment[[#This Row],[Total AMT]]/2,IF(My_Payment[[#This Row],[Payment_Code]]="P",My_Payment[[#This Row],[Total AMT]],0))</f>
        <v>365.67</v>
      </c>
      <c r="J954" s="39">
        <f>IF(My_Payment[[#This Row],[Payment_Code]]="S",My_Payment[[#This Row],[Total AMT]]/2,IF(My_Payment[[#This Row],[Payment_Code]]="N",My_Payment[[#This Row],[Total AMT]],0))</f>
        <v>0</v>
      </c>
    </row>
    <row r="955" spans="1:10">
      <c r="A955" s="38">
        <v>45519</v>
      </c>
      <c r="B955" s="37" t="s">
        <v>357</v>
      </c>
      <c r="C955" s="37" t="s">
        <v>248</v>
      </c>
      <c r="D955" s="37" t="s">
        <v>502</v>
      </c>
      <c r="E955" s="37" t="s">
        <v>327</v>
      </c>
      <c r="F955" s="38">
        <v>45540</v>
      </c>
      <c r="G955" s="37" t="s">
        <v>215</v>
      </c>
      <c r="H955" s="40">
        <v>365.67</v>
      </c>
      <c r="I955" s="39">
        <f>IF(My_Payment[[#This Row],[Payment_Code]]="S",My_Payment[[#This Row],[Total AMT]]/2,IF(My_Payment[[#This Row],[Payment_Code]]="P",My_Payment[[#This Row],[Total AMT]],0))</f>
        <v>365.67</v>
      </c>
      <c r="J955" s="39">
        <f>IF(My_Payment[[#This Row],[Payment_Code]]="S",My_Payment[[#This Row],[Total AMT]]/2,IF(My_Payment[[#This Row],[Payment_Code]]="N",My_Payment[[#This Row],[Total AMT]],0))</f>
        <v>0</v>
      </c>
    </row>
    <row r="956" spans="1:10">
      <c r="A956" s="38">
        <v>45550</v>
      </c>
      <c r="B956" s="37" t="s">
        <v>357</v>
      </c>
      <c r="C956" s="37" t="s">
        <v>248</v>
      </c>
      <c r="D956" s="37" t="s">
        <v>502</v>
      </c>
      <c r="E956" s="37" t="s">
        <v>80</v>
      </c>
      <c r="F956" s="38">
        <v>45570</v>
      </c>
      <c r="G956" s="37" t="s">
        <v>215</v>
      </c>
      <c r="H956" s="40">
        <v>365.66</v>
      </c>
      <c r="I956" s="39">
        <f>IF(My_Payment[[#This Row],[Payment_Code]]="S",My_Payment[[#This Row],[Total AMT]]/2,IF(My_Payment[[#This Row],[Payment_Code]]="P",My_Payment[[#This Row],[Total AMT]],0))</f>
        <v>365.66</v>
      </c>
      <c r="J956" s="39">
        <f>IF(My_Payment[[#This Row],[Payment_Code]]="S",My_Payment[[#This Row],[Total AMT]]/2,IF(My_Payment[[#This Row],[Payment_Code]]="N",My_Payment[[#This Row],[Total AMT]],0))</f>
        <v>0</v>
      </c>
    </row>
    <row r="957" spans="1:10">
      <c r="A957" s="38">
        <v>45550</v>
      </c>
      <c r="B957" s="37" t="s">
        <v>357</v>
      </c>
      <c r="C957" s="37" t="s">
        <v>248</v>
      </c>
      <c r="D957" s="37" t="s">
        <v>503</v>
      </c>
      <c r="E957" s="37" t="s">
        <v>126</v>
      </c>
      <c r="F957" s="38">
        <v>45540</v>
      </c>
      <c r="G957" s="37" t="s">
        <v>215</v>
      </c>
      <c r="H957" s="40">
        <v>650</v>
      </c>
      <c r="I957" s="39">
        <f>IF(My_Payment[[#This Row],[Payment_Code]]="S",My_Payment[[#This Row],[Total AMT]]/2,IF(My_Payment[[#This Row],[Payment_Code]]="P",My_Payment[[#This Row],[Total AMT]],0))</f>
        <v>650</v>
      </c>
      <c r="J957" s="39">
        <f>IF(My_Payment[[#This Row],[Payment_Code]]="S",My_Payment[[#This Row],[Total AMT]]/2,IF(My_Payment[[#This Row],[Payment_Code]]="N",My_Payment[[#This Row],[Total AMT]],0))</f>
        <v>0</v>
      </c>
    </row>
    <row r="958" spans="1:10">
      <c r="A958" s="38">
        <v>45550</v>
      </c>
      <c r="B958" s="37" t="s">
        <v>357</v>
      </c>
      <c r="C958" s="37" t="s">
        <v>248</v>
      </c>
      <c r="D958" s="37" t="s">
        <v>503</v>
      </c>
      <c r="E958" s="37" t="s">
        <v>126</v>
      </c>
      <c r="F958" s="38">
        <v>45570</v>
      </c>
      <c r="G958" s="37" t="s">
        <v>215</v>
      </c>
      <c r="H958" s="40">
        <v>650</v>
      </c>
      <c r="I958" s="39">
        <f>IF(My_Payment[[#This Row],[Payment_Code]]="S",My_Payment[[#This Row],[Total AMT]]/2,IF(My_Payment[[#This Row],[Payment_Code]]="P",My_Payment[[#This Row],[Total AMT]],0))</f>
        <v>650</v>
      </c>
      <c r="J958" s="39">
        <f>IF(My_Payment[[#This Row],[Payment_Code]]="S",My_Payment[[#This Row],[Total AMT]]/2,IF(My_Payment[[#This Row],[Payment_Code]]="N",My_Payment[[#This Row],[Total AMT]],0))</f>
        <v>0</v>
      </c>
    </row>
    <row r="959" spans="1:10">
      <c r="A959" s="38">
        <v>45494</v>
      </c>
      <c r="B959" s="37" t="s">
        <v>208</v>
      </c>
      <c r="C959" s="37" t="s">
        <v>209</v>
      </c>
      <c r="D959" s="37" t="s">
        <v>217</v>
      </c>
      <c r="E959" s="37" t="s">
        <v>211</v>
      </c>
      <c r="F959" s="38">
        <v>45537</v>
      </c>
      <c r="G959" s="37" t="s">
        <v>212</v>
      </c>
      <c r="H959" s="40">
        <v>2525.88</v>
      </c>
      <c r="I959" s="39">
        <v>1251.94</v>
      </c>
      <c r="J959" s="39">
        <v>1273.94</v>
      </c>
    </row>
    <row r="960" spans="1:10">
      <c r="A960" s="38">
        <v>45529</v>
      </c>
      <c r="B960" s="37" t="s">
        <v>208</v>
      </c>
      <c r="C960" s="37" t="s">
        <v>209</v>
      </c>
      <c r="D960" s="37" t="s">
        <v>217</v>
      </c>
      <c r="E960" s="37" t="s">
        <v>211</v>
      </c>
      <c r="F960" s="38">
        <v>45567</v>
      </c>
      <c r="G960" s="37" t="s">
        <v>212</v>
      </c>
      <c r="H960" s="40">
        <v>1482.16</v>
      </c>
      <c r="I960" s="39">
        <v>818.08</v>
      </c>
      <c r="J960" s="39">
        <v>664.08</v>
      </c>
    </row>
    <row r="961" spans="1:10">
      <c r="A961" s="38">
        <v>45500</v>
      </c>
      <c r="B961" s="37" t="s">
        <v>305</v>
      </c>
      <c r="C961" s="37" t="s">
        <v>226</v>
      </c>
      <c r="D961" s="37" t="s">
        <v>33</v>
      </c>
      <c r="E961" s="37" t="s">
        <v>211</v>
      </c>
      <c r="F961" s="38">
        <v>45542</v>
      </c>
      <c r="G961" s="37" t="s">
        <v>215</v>
      </c>
      <c r="H961" s="40">
        <v>115</v>
      </c>
      <c r="I961" s="39">
        <f>IF(My_Payment[[#This Row],[Payment_Code]]="S",My_Payment[[#This Row],[Total AMT]]/2,IF(My_Payment[[#This Row],[Payment_Code]]="P",My_Payment[[#This Row],[Total AMT]],0))</f>
        <v>115</v>
      </c>
      <c r="J961" s="39">
        <f>IF(My_Payment[[#This Row],[Payment_Code]]="S",My_Payment[[#This Row],[Total AMT]]/2,IF(My_Payment[[#This Row],[Payment_Code]]="N",My_Payment[[#This Row],[Total AMT]],0))</f>
        <v>0</v>
      </c>
    </row>
    <row r="962" spans="1:10">
      <c r="A962" s="38">
        <v>45501</v>
      </c>
      <c r="B962" s="37" t="s">
        <v>305</v>
      </c>
      <c r="C962" s="37" t="s">
        <v>226</v>
      </c>
      <c r="D962" s="37" t="s">
        <v>504</v>
      </c>
      <c r="E962" s="37" t="s">
        <v>211</v>
      </c>
      <c r="F962" s="38">
        <v>45542</v>
      </c>
      <c r="G962" s="37" t="s">
        <v>215</v>
      </c>
      <c r="H962" s="40">
        <v>73</v>
      </c>
      <c r="I962" s="39">
        <f>IF(My_Payment[[#This Row],[Payment_Code]]="S",My_Payment[[#This Row],[Total AMT]]/2,IF(My_Payment[[#This Row],[Payment_Code]]="P",My_Payment[[#This Row],[Total AMT]],0))</f>
        <v>73</v>
      </c>
      <c r="J962" s="39">
        <f>IF(My_Payment[[#This Row],[Payment_Code]]="S",My_Payment[[#This Row],[Total AMT]]/2,IF(My_Payment[[#This Row],[Payment_Code]]="N",My_Payment[[#This Row],[Total AMT]],0))</f>
        <v>0</v>
      </c>
    </row>
    <row r="963" spans="1:10">
      <c r="A963" s="38">
        <v>45501</v>
      </c>
      <c r="B963" s="37" t="s">
        <v>305</v>
      </c>
      <c r="C963" s="37" t="s">
        <v>226</v>
      </c>
      <c r="D963" s="37" t="s">
        <v>33</v>
      </c>
      <c r="E963" s="37" t="s">
        <v>211</v>
      </c>
      <c r="F963" s="38">
        <v>45542</v>
      </c>
      <c r="G963" s="37" t="s">
        <v>215</v>
      </c>
      <c r="H963" s="40">
        <v>198.6</v>
      </c>
      <c r="I963" s="39">
        <f>IF(My_Payment[[#This Row],[Payment_Code]]="S",My_Payment[[#This Row],[Total AMT]]/2,IF(My_Payment[[#This Row],[Payment_Code]]="P",My_Payment[[#This Row],[Total AMT]],0))</f>
        <v>198.6</v>
      </c>
      <c r="J963" s="39">
        <f>IF(My_Payment[[#This Row],[Payment_Code]]="S",My_Payment[[#This Row],[Total AMT]]/2,IF(My_Payment[[#This Row],[Payment_Code]]="N",My_Payment[[#This Row],[Total AMT]],0))</f>
        <v>0</v>
      </c>
    </row>
    <row r="964" spans="1:10">
      <c r="A964" s="38">
        <v>45508</v>
      </c>
      <c r="B964" s="37" t="s">
        <v>305</v>
      </c>
      <c r="C964" s="37" t="s">
        <v>226</v>
      </c>
      <c r="D964" s="37" t="s">
        <v>426</v>
      </c>
      <c r="E964" s="37" t="s">
        <v>211</v>
      </c>
      <c r="F964" s="38">
        <v>45542</v>
      </c>
      <c r="G964" s="37" t="s">
        <v>212</v>
      </c>
      <c r="H964" s="40">
        <v>1132</v>
      </c>
      <c r="I964" s="39">
        <f>544+49+39</f>
        <v>632</v>
      </c>
      <c r="J964" s="39">
        <f>588-49-39</f>
        <v>500</v>
      </c>
    </row>
    <row r="965" spans="1:10">
      <c r="A965" s="38">
        <v>45514</v>
      </c>
      <c r="B965" s="37" t="s">
        <v>305</v>
      </c>
      <c r="C965" s="37" t="s">
        <v>226</v>
      </c>
      <c r="D965" s="37" t="s">
        <v>505</v>
      </c>
      <c r="E965" s="37" t="s">
        <v>211</v>
      </c>
      <c r="F965" s="38">
        <v>45542</v>
      </c>
      <c r="G965" s="37" t="s">
        <v>215</v>
      </c>
      <c r="H965" s="40">
        <v>27</v>
      </c>
      <c r="I965" s="39">
        <f>IF(My_Payment[[#This Row],[Payment_Code]]="S",My_Payment[[#This Row],[Total AMT]]/2,IF(My_Payment[[#This Row],[Payment_Code]]="P",My_Payment[[#This Row],[Total AMT]],0))</f>
        <v>27</v>
      </c>
      <c r="J965" s="39">
        <f>IF(My_Payment[[#This Row],[Payment_Code]]="S",My_Payment[[#This Row],[Total AMT]]/2,IF(My_Payment[[#This Row],[Payment_Code]]="N",My_Payment[[#This Row],[Total AMT]],0))</f>
        <v>0</v>
      </c>
    </row>
    <row r="966" spans="1:10">
      <c r="A966" s="38">
        <v>45515</v>
      </c>
      <c r="B966" s="37" t="s">
        <v>305</v>
      </c>
      <c r="C966" s="37" t="s">
        <v>226</v>
      </c>
      <c r="D966" s="37" t="s">
        <v>332</v>
      </c>
      <c r="E966" s="37" t="s">
        <v>211</v>
      </c>
      <c r="F966" s="38">
        <v>45542</v>
      </c>
      <c r="G966" s="37" t="s">
        <v>212</v>
      </c>
      <c r="H966" s="40">
        <v>909</v>
      </c>
      <c r="I966" s="39">
        <f>IF(My_Payment[[#This Row],[Payment_Code]]="S",My_Payment[[#This Row],[Total AMT]]/2,IF(My_Payment[[#This Row],[Payment_Code]]="P",My_Payment[[#This Row],[Total AMT]],0))</f>
        <v>454.5</v>
      </c>
      <c r="J966" s="39">
        <f>IF(My_Payment[[#This Row],[Payment_Code]]="S",My_Payment[[#This Row],[Total AMT]]/2,IF(My_Payment[[#This Row],[Payment_Code]]="N",My_Payment[[#This Row],[Total AMT]],0))</f>
        <v>454.5</v>
      </c>
    </row>
    <row r="967" spans="1:10">
      <c r="A967" s="38">
        <v>45519</v>
      </c>
      <c r="B967" s="37" t="s">
        <v>305</v>
      </c>
      <c r="C967" s="37" t="s">
        <v>226</v>
      </c>
      <c r="D967" s="37" t="s">
        <v>505</v>
      </c>
      <c r="E967" s="37" t="s">
        <v>211</v>
      </c>
      <c r="F967" s="38">
        <v>45542</v>
      </c>
      <c r="G967" s="37" t="s">
        <v>215</v>
      </c>
      <c r="H967" s="40">
        <v>54</v>
      </c>
      <c r="I967" s="39">
        <f>IF(My_Payment[[#This Row],[Payment_Code]]="S",My_Payment[[#This Row],[Total AMT]]/2,IF(My_Payment[[#This Row],[Payment_Code]]="P",My_Payment[[#This Row],[Total AMT]],0))</f>
        <v>54</v>
      </c>
      <c r="J967" s="39">
        <f>IF(My_Payment[[#This Row],[Payment_Code]]="S",My_Payment[[#This Row],[Total AMT]]/2,IF(My_Payment[[#This Row],[Payment_Code]]="N",My_Payment[[#This Row],[Total AMT]],0))</f>
        <v>0</v>
      </c>
    </row>
    <row r="968" spans="1:10">
      <c r="A968" s="38">
        <v>45520</v>
      </c>
      <c r="B968" s="37" t="s">
        <v>305</v>
      </c>
      <c r="C968" s="37" t="s">
        <v>226</v>
      </c>
      <c r="D968" s="37" t="s">
        <v>505</v>
      </c>
      <c r="E968" s="37" t="s">
        <v>211</v>
      </c>
      <c r="F968" s="38">
        <v>45542</v>
      </c>
      <c r="G968" s="37" t="s">
        <v>215</v>
      </c>
      <c r="H968" s="40">
        <v>54</v>
      </c>
      <c r="I968" s="39">
        <f>IF(My_Payment[[#This Row],[Payment_Code]]="S",My_Payment[[#This Row],[Total AMT]]/2,IF(My_Payment[[#This Row],[Payment_Code]]="P",My_Payment[[#This Row],[Total AMT]],0))</f>
        <v>54</v>
      </c>
      <c r="J968" s="39">
        <f>IF(My_Payment[[#This Row],[Payment_Code]]="S",My_Payment[[#This Row],[Total AMT]]/2,IF(My_Payment[[#This Row],[Payment_Code]]="N",My_Payment[[#This Row],[Total AMT]],0))</f>
        <v>0</v>
      </c>
    </row>
    <row r="969" spans="1:10">
      <c r="A969" s="38">
        <v>45519</v>
      </c>
      <c r="B969" s="37" t="s">
        <v>305</v>
      </c>
      <c r="C969" s="37" t="s">
        <v>226</v>
      </c>
      <c r="D969" s="37" t="s">
        <v>434</v>
      </c>
      <c r="E969" s="37" t="s">
        <v>211</v>
      </c>
      <c r="F969" s="38">
        <v>45572</v>
      </c>
      <c r="G969" s="37" t="s">
        <v>212</v>
      </c>
      <c r="H969" s="40">
        <v>618.86</v>
      </c>
      <c r="I969" s="39">
        <f>IF(My_Payment[[#This Row],[Payment_Code]]="S",My_Payment[[#This Row],[Total AMT]]/2,IF(My_Payment[[#This Row],[Payment_Code]]="P",My_Payment[[#This Row],[Total AMT]],0))</f>
        <v>309.43</v>
      </c>
      <c r="J969" s="39">
        <f>IF(My_Payment[[#This Row],[Payment_Code]]="S",My_Payment[[#This Row],[Total AMT]]/2,IF(My_Payment[[#This Row],[Payment_Code]]="N",My_Payment[[#This Row],[Total AMT]],0))</f>
        <v>309.43</v>
      </c>
    </row>
    <row r="970" spans="1:10">
      <c r="A970" s="38">
        <v>45550</v>
      </c>
      <c r="B970" s="37" t="s">
        <v>373</v>
      </c>
      <c r="C970" s="37" t="s">
        <v>209</v>
      </c>
      <c r="D970" s="37" t="s">
        <v>506</v>
      </c>
      <c r="E970" s="37" t="s">
        <v>306</v>
      </c>
      <c r="F970" s="38">
        <v>45566</v>
      </c>
      <c r="G970" s="37" t="s">
        <v>215</v>
      </c>
      <c r="H970" s="40">
        <v>402.4</v>
      </c>
      <c r="I970" s="39">
        <f>IF(My_Payment[[#This Row],[Payment_Code]]="S",My_Payment[[#This Row],[Total AMT]]/2,IF(My_Payment[[#This Row],[Payment_Code]]="P",My_Payment[[#This Row],[Total AMT]],0))</f>
        <v>402.4</v>
      </c>
      <c r="J970" s="39">
        <f>IF(My_Payment[[#This Row],[Payment_Code]]="S",My_Payment[[#This Row],[Total AMT]]/2,IF(My_Payment[[#This Row],[Payment_Code]]="N",My_Payment[[#This Row],[Total AMT]],0))</f>
        <v>0</v>
      </c>
    </row>
    <row r="971" spans="1:10">
      <c r="A971" s="38">
        <v>45580</v>
      </c>
      <c r="B971" s="37" t="s">
        <v>373</v>
      </c>
      <c r="C971" s="37" t="s">
        <v>209</v>
      </c>
      <c r="D971" s="37" t="s">
        <v>506</v>
      </c>
      <c r="E971" s="37" t="s">
        <v>307</v>
      </c>
      <c r="F971" s="38">
        <v>45597</v>
      </c>
      <c r="G971" s="37" t="s">
        <v>215</v>
      </c>
      <c r="H971" s="40">
        <v>402.4</v>
      </c>
      <c r="I971" s="39">
        <f>IF(My_Payment[[#This Row],[Payment_Code]]="S",My_Payment[[#This Row],[Total AMT]]/2,IF(My_Payment[[#This Row],[Payment_Code]]="P",My_Payment[[#This Row],[Total AMT]],0))</f>
        <v>402.4</v>
      </c>
      <c r="J971" s="39">
        <f>IF(My_Payment[[#This Row],[Payment_Code]]="S",My_Payment[[#This Row],[Total AMT]]/2,IF(My_Payment[[#This Row],[Payment_Code]]="N",My_Payment[[#This Row],[Total AMT]],0))</f>
        <v>0</v>
      </c>
    </row>
    <row r="972" spans="1:10">
      <c r="A972" s="38">
        <v>45611</v>
      </c>
      <c r="B972" s="37" t="s">
        <v>373</v>
      </c>
      <c r="C972" s="37" t="s">
        <v>209</v>
      </c>
      <c r="D972" s="37" t="s">
        <v>506</v>
      </c>
      <c r="E972" s="37" t="s">
        <v>308</v>
      </c>
      <c r="F972" s="38">
        <v>45627</v>
      </c>
      <c r="G972" s="37" t="s">
        <v>215</v>
      </c>
      <c r="H972" s="40">
        <v>402.4</v>
      </c>
      <c r="I972" s="39">
        <f>IF(My_Payment[[#This Row],[Payment_Code]]="S",My_Payment[[#This Row],[Total AMT]]/2,IF(My_Payment[[#This Row],[Payment_Code]]="P",My_Payment[[#This Row],[Total AMT]],0))</f>
        <v>402.4</v>
      </c>
      <c r="J972" s="39">
        <f>IF(My_Payment[[#This Row],[Payment_Code]]="S",My_Payment[[#This Row],[Total AMT]]/2,IF(My_Payment[[#This Row],[Payment_Code]]="N",My_Payment[[#This Row],[Total AMT]],0))</f>
        <v>0</v>
      </c>
    </row>
    <row r="973" spans="1:10">
      <c r="A973" s="38">
        <v>45641</v>
      </c>
      <c r="B973" s="37" t="s">
        <v>373</v>
      </c>
      <c r="C973" s="37" t="s">
        <v>209</v>
      </c>
      <c r="D973" s="37" t="s">
        <v>506</v>
      </c>
      <c r="E973" s="37" t="s">
        <v>309</v>
      </c>
      <c r="F973" s="38">
        <v>45658</v>
      </c>
      <c r="G973" s="37" t="s">
        <v>215</v>
      </c>
      <c r="H973" s="40">
        <v>402.4</v>
      </c>
      <c r="I973" s="39">
        <f>IF(My_Payment[[#This Row],[Payment_Code]]="S",My_Payment[[#This Row],[Total AMT]]/2,IF(My_Payment[[#This Row],[Payment_Code]]="P",My_Payment[[#This Row],[Total AMT]],0))</f>
        <v>402.4</v>
      </c>
      <c r="J973" s="39">
        <f>IF(My_Payment[[#This Row],[Payment_Code]]="S",My_Payment[[#This Row],[Total AMT]]/2,IF(My_Payment[[#This Row],[Payment_Code]]="N",My_Payment[[#This Row],[Total AMT]],0))</f>
        <v>0</v>
      </c>
    </row>
    <row r="974" spans="1:10">
      <c r="A974" s="38">
        <v>45672</v>
      </c>
      <c r="B974" s="37" t="s">
        <v>373</v>
      </c>
      <c r="C974" s="37" t="s">
        <v>209</v>
      </c>
      <c r="D974" s="37" t="s">
        <v>506</v>
      </c>
      <c r="E974" s="37" t="s">
        <v>310</v>
      </c>
      <c r="F974" s="38">
        <v>45689</v>
      </c>
      <c r="G974" s="37" t="s">
        <v>215</v>
      </c>
      <c r="H974" s="40">
        <v>402.4</v>
      </c>
      <c r="I974" s="39">
        <f>IF(My_Payment[[#This Row],[Payment_Code]]="S",My_Payment[[#This Row],[Total AMT]]/2,IF(My_Payment[[#This Row],[Payment_Code]]="P",My_Payment[[#This Row],[Total AMT]],0))</f>
        <v>402.4</v>
      </c>
      <c r="J974" s="39">
        <f>IF(My_Payment[[#This Row],[Payment_Code]]="S",My_Payment[[#This Row],[Total AMT]]/2,IF(My_Payment[[#This Row],[Payment_Code]]="N",My_Payment[[#This Row],[Total AMT]],0))</f>
        <v>0</v>
      </c>
    </row>
    <row r="975" spans="1:10">
      <c r="A975" s="38">
        <v>45703</v>
      </c>
      <c r="B975" s="37" t="s">
        <v>373</v>
      </c>
      <c r="C975" s="37" t="s">
        <v>209</v>
      </c>
      <c r="D975" s="37" t="s">
        <v>506</v>
      </c>
      <c r="E975" s="37" t="s">
        <v>311</v>
      </c>
      <c r="F975" s="38">
        <v>45717</v>
      </c>
      <c r="G975" s="37" t="s">
        <v>215</v>
      </c>
      <c r="H975" s="40">
        <v>402.4</v>
      </c>
      <c r="I975" s="39">
        <f>IF(My_Payment[[#This Row],[Payment_Code]]="S",My_Payment[[#This Row],[Total AMT]]/2,IF(My_Payment[[#This Row],[Payment_Code]]="P",My_Payment[[#This Row],[Total AMT]],0))</f>
        <v>402.4</v>
      </c>
      <c r="J975" s="39">
        <f>IF(My_Payment[[#This Row],[Payment_Code]]="S",My_Payment[[#This Row],[Total AMT]]/2,IF(My_Payment[[#This Row],[Payment_Code]]="N",My_Payment[[#This Row],[Total AMT]],0))</f>
        <v>0</v>
      </c>
    </row>
    <row r="976" spans="1:10">
      <c r="A976" s="38">
        <v>45731</v>
      </c>
      <c r="B976" s="37" t="s">
        <v>373</v>
      </c>
      <c r="C976" s="37" t="s">
        <v>209</v>
      </c>
      <c r="D976" s="37" t="s">
        <v>506</v>
      </c>
      <c r="E976" s="37" t="s">
        <v>312</v>
      </c>
      <c r="F976" s="38">
        <v>45748</v>
      </c>
      <c r="G976" s="37" t="s">
        <v>215</v>
      </c>
      <c r="H976" s="40">
        <v>402.4</v>
      </c>
      <c r="I976" s="39">
        <f>IF(My_Payment[[#This Row],[Payment_Code]]="S",My_Payment[[#This Row],[Total AMT]]/2,IF(My_Payment[[#This Row],[Payment_Code]]="P",My_Payment[[#This Row],[Total AMT]],0))</f>
        <v>402.4</v>
      </c>
      <c r="J976" s="39">
        <f>IF(My_Payment[[#This Row],[Payment_Code]]="S",My_Payment[[#This Row],[Total AMT]]/2,IF(My_Payment[[#This Row],[Payment_Code]]="N",My_Payment[[#This Row],[Total AMT]],0))</f>
        <v>0</v>
      </c>
    </row>
    <row r="977" spans="1:10">
      <c r="A977" s="38">
        <v>45762</v>
      </c>
      <c r="B977" s="37" t="s">
        <v>373</v>
      </c>
      <c r="C977" s="37" t="s">
        <v>209</v>
      </c>
      <c r="D977" s="37" t="s">
        <v>506</v>
      </c>
      <c r="E977" s="37" t="s">
        <v>313</v>
      </c>
      <c r="F977" s="38">
        <v>45778</v>
      </c>
      <c r="G977" s="37" t="s">
        <v>215</v>
      </c>
      <c r="H977" s="40">
        <v>402.4</v>
      </c>
      <c r="I977" s="39">
        <f>IF(My_Payment[[#This Row],[Payment_Code]]="S",My_Payment[[#This Row],[Total AMT]]/2,IF(My_Payment[[#This Row],[Payment_Code]]="P",My_Payment[[#This Row],[Total AMT]],0))</f>
        <v>402.4</v>
      </c>
      <c r="J977" s="39">
        <f>IF(My_Payment[[#This Row],[Payment_Code]]="S",My_Payment[[#This Row],[Total AMT]]/2,IF(My_Payment[[#This Row],[Payment_Code]]="N",My_Payment[[#This Row],[Total AMT]],0))</f>
        <v>0</v>
      </c>
    </row>
    <row r="978" spans="1:10">
      <c r="A978" s="38">
        <v>45792</v>
      </c>
      <c r="B978" s="37" t="s">
        <v>373</v>
      </c>
      <c r="C978" s="37" t="s">
        <v>209</v>
      </c>
      <c r="D978" s="37" t="s">
        <v>506</v>
      </c>
      <c r="E978" s="37" t="s">
        <v>314</v>
      </c>
      <c r="F978" s="38">
        <v>45809</v>
      </c>
      <c r="G978" s="37" t="s">
        <v>215</v>
      </c>
      <c r="H978" s="40">
        <v>402.4</v>
      </c>
      <c r="I978" s="39">
        <f>IF(My_Payment[[#This Row],[Payment_Code]]="S",My_Payment[[#This Row],[Total AMT]]/2,IF(My_Payment[[#This Row],[Payment_Code]]="P",My_Payment[[#This Row],[Total AMT]],0))</f>
        <v>402.4</v>
      </c>
      <c r="J978" s="39">
        <f>IF(My_Payment[[#This Row],[Payment_Code]]="S",My_Payment[[#This Row],[Total AMT]]/2,IF(My_Payment[[#This Row],[Payment_Code]]="N",My_Payment[[#This Row],[Total AMT]],0))</f>
        <v>0</v>
      </c>
    </row>
    <row r="979" spans="1:10">
      <c r="A979" s="38">
        <v>45823</v>
      </c>
      <c r="B979" s="37" t="s">
        <v>373</v>
      </c>
      <c r="C979" s="37" t="s">
        <v>209</v>
      </c>
      <c r="D979" s="37" t="s">
        <v>506</v>
      </c>
      <c r="E979" s="37" t="s">
        <v>112</v>
      </c>
      <c r="F979" s="38">
        <v>45839</v>
      </c>
      <c r="G979" s="37" t="s">
        <v>215</v>
      </c>
      <c r="H979" s="40">
        <v>402.4</v>
      </c>
      <c r="I979" s="39">
        <f>IF(My_Payment[[#This Row],[Payment_Code]]="S",My_Payment[[#This Row],[Total AMT]]/2,IF(My_Payment[[#This Row],[Payment_Code]]="P",My_Payment[[#This Row],[Total AMT]],0))</f>
        <v>402.4</v>
      </c>
      <c r="J979" s="39">
        <f>IF(My_Payment[[#This Row],[Payment_Code]]="S",My_Payment[[#This Row],[Total AMT]]/2,IF(My_Payment[[#This Row],[Payment_Code]]="N",My_Payment[[#This Row],[Total AMT]],0))</f>
        <v>0</v>
      </c>
    </row>
    <row r="980" spans="1:10">
      <c r="A980" s="38">
        <v>45508</v>
      </c>
      <c r="B980" s="37" t="s">
        <v>345</v>
      </c>
      <c r="C980" s="37" t="s">
        <v>248</v>
      </c>
      <c r="D980" s="37" t="s">
        <v>477</v>
      </c>
      <c r="E980" s="37" t="s">
        <v>211</v>
      </c>
      <c r="F980" s="38">
        <v>45537</v>
      </c>
      <c r="G980" s="37" t="s">
        <v>212</v>
      </c>
      <c r="H980" s="40">
        <v>1250</v>
      </c>
      <c r="I980" s="39">
        <f>IF(My_Payment[[#This Row],[Payment_Code]]="S",My_Payment[[#This Row],[Total AMT]]/2,IF(My_Payment[[#This Row],[Payment_Code]]="P",My_Payment[[#This Row],[Total AMT]],0))</f>
        <v>625</v>
      </c>
      <c r="J980" s="39">
        <f>IF(My_Payment[[#This Row],[Payment_Code]]="S",My_Payment[[#This Row],[Total AMT]]/2,IF(My_Payment[[#This Row],[Payment_Code]]="N",My_Payment[[#This Row],[Total AMT]],0))</f>
        <v>625</v>
      </c>
    </row>
    <row r="981" spans="1:10">
      <c r="A981" s="38">
        <v>45533</v>
      </c>
      <c r="B981" s="37" t="s">
        <v>357</v>
      </c>
      <c r="C981" s="37" t="s">
        <v>248</v>
      </c>
      <c r="D981" s="37" t="s">
        <v>507</v>
      </c>
      <c r="E981" s="37" t="s">
        <v>211</v>
      </c>
      <c r="F981" s="38">
        <v>45570</v>
      </c>
      <c r="G981" s="37" t="s">
        <v>215</v>
      </c>
      <c r="H981" s="40">
        <v>233</v>
      </c>
      <c r="I981" s="39">
        <f>IF(My_Payment[[#This Row],[Payment_Code]]="S",My_Payment[[#This Row],[Total AMT]]/2,IF(My_Payment[[#This Row],[Payment_Code]]="P",My_Payment[[#This Row],[Total AMT]],0))</f>
        <v>233</v>
      </c>
      <c r="J981" s="39">
        <f>IF(My_Payment[[#This Row],[Payment_Code]]="S",My_Payment[[#This Row],[Total AMT]]/2,IF(My_Payment[[#This Row],[Payment_Code]]="N",My_Payment[[#This Row],[Total AMT]],0))</f>
        <v>0</v>
      </c>
    </row>
    <row r="982" spans="1:10">
      <c r="A982" s="38">
        <v>45571</v>
      </c>
      <c r="B982" s="37" t="s">
        <v>208</v>
      </c>
      <c r="C982" s="37" t="s">
        <v>209</v>
      </c>
      <c r="D982" s="37" t="s">
        <v>217</v>
      </c>
      <c r="E982" s="37" t="s">
        <v>211</v>
      </c>
      <c r="F982" s="38">
        <v>45598</v>
      </c>
      <c r="G982" s="37" t="s">
        <v>212</v>
      </c>
      <c r="H982" s="40">
        <v>1757.43</v>
      </c>
      <c r="I982" s="39">
        <v>1172.97</v>
      </c>
      <c r="J982" s="39">
        <v>584.46</v>
      </c>
    </row>
    <row r="983" spans="1:10">
      <c r="A983" s="38">
        <v>45578</v>
      </c>
      <c r="B983" s="37" t="s">
        <v>208</v>
      </c>
      <c r="C983" s="37" t="s">
        <v>209</v>
      </c>
      <c r="D983" s="37" t="s">
        <v>332</v>
      </c>
      <c r="E983" s="37" t="s">
        <v>211</v>
      </c>
      <c r="F983" s="38">
        <v>45628</v>
      </c>
      <c r="G983" s="37" t="s">
        <v>212</v>
      </c>
      <c r="H983" s="40">
        <v>980</v>
      </c>
      <c r="I983" s="39">
        <f>IF(My_Payment[[#This Row],[Payment_Code]]="S",My_Payment[[#This Row],[Total AMT]]/2,IF(My_Payment[[#This Row],[Payment_Code]]="P",My_Payment[[#This Row],[Total AMT]],0))</f>
        <v>490</v>
      </c>
      <c r="J983" s="39">
        <f>IF(My_Payment[[#This Row],[Payment_Code]]="S",My_Payment[[#This Row],[Total AMT]]/2,IF(My_Payment[[#This Row],[Payment_Code]]="N",My_Payment[[#This Row],[Total AMT]],0))</f>
        <v>490</v>
      </c>
    </row>
    <row r="984" spans="1:10">
      <c r="A984" s="38">
        <v>45578</v>
      </c>
      <c r="B984" s="37" t="s">
        <v>208</v>
      </c>
      <c r="C984" s="37" t="s">
        <v>209</v>
      </c>
      <c r="D984" s="37" t="s">
        <v>419</v>
      </c>
      <c r="E984" s="37" t="s">
        <v>211</v>
      </c>
      <c r="F984" s="38">
        <v>45628</v>
      </c>
      <c r="G984" s="37" t="s">
        <v>212</v>
      </c>
      <c r="H984" s="40">
        <v>1324</v>
      </c>
      <c r="I984" s="39">
        <f>IF(My_Payment[[#This Row],[Payment_Code]]="S",My_Payment[[#This Row],[Total AMT]]/2,IF(My_Payment[[#This Row],[Payment_Code]]="P",My_Payment[[#This Row],[Total AMT]],0))</f>
        <v>662</v>
      </c>
      <c r="J984" s="39">
        <f>IF(My_Payment[[#This Row],[Payment_Code]]="S",My_Payment[[#This Row],[Total AMT]]/2,IF(My_Payment[[#This Row],[Payment_Code]]="N",My_Payment[[#This Row],[Total AMT]],0))</f>
        <v>662</v>
      </c>
    </row>
    <row r="985" spans="1:10">
      <c r="A985" s="38">
        <v>45583</v>
      </c>
      <c r="B985" s="37" t="s">
        <v>208</v>
      </c>
      <c r="C985" s="37" t="s">
        <v>209</v>
      </c>
      <c r="D985" s="37" t="s">
        <v>508</v>
      </c>
      <c r="E985" s="37" t="s">
        <v>211</v>
      </c>
      <c r="F985" s="38">
        <v>45628</v>
      </c>
      <c r="G985" s="37" t="s">
        <v>212</v>
      </c>
      <c r="H985" s="40">
        <v>480</v>
      </c>
      <c r="I985" s="39">
        <f>IF(My_Payment[[#This Row],[Payment_Code]]="S",My_Payment[[#This Row],[Total AMT]]/2,IF(My_Payment[[#This Row],[Payment_Code]]="P",My_Payment[[#This Row],[Total AMT]],0))</f>
        <v>240</v>
      </c>
      <c r="J985" s="39">
        <f>IF(My_Payment[[#This Row],[Payment_Code]]="S",My_Payment[[#This Row],[Total AMT]]/2,IF(My_Payment[[#This Row],[Payment_Code]]="N",My_Payment[[#This Row],[Total AMT]],0))</f>
        <v>240</v>
      </c>
    </row>
    <row r="986" spans="1:10">
      <c r="A986" s="38">
        <v>45560</v>
      </c>
      <c r="B986" s="37" t="s">
        <v>305</v>
      </c>
      <c r="C986" s="37" t="s">
        <v>226</v>
      </c>
      <c r="D986" s="37" t="s">
        <v>505</v>
      </c>
      <c r="E986" s="37" t="s">
        <v>211</v>
      </c>
      <c r="F986" s="38">
        <v>45603</v>
      </c>
      <c r="G986" s="37" t="s">
        <v>215</v>
      </c>
      <c r="H986" s="40">
        <v>45</v>
      </c>
      <c r="I986" s="39">
        <f>IF(My_Payment[[#This Row],[Payment_Code]]="S",My_Payment[[#This Row],[Total AMT]]/2,IF(My_Payment[[#This Row],[Payment_Code]]="P",My_Payment[[#This Row],[Total AMT]],0))</f>
        <v>45</v>
      </c>
      <c r="J986" s="39">
        <f>IF(My_Payment[[#This Row],[Payment_Code]]="S",My_Payment[[#This Row],[Total AMT]]/2,IF(My_Payment[[#This Row],[Payment_Code]]="N",My_Payment[[#This Row],[Total AMT]],0))</f>
        <v>0</v>
      </c>
    </row>
    <row r="987" spans="1:10">
      <c r="A987" s="38">
        <v>45561</v>
      </c>
      <c r="B987" s="37" t="s">
        <v>305</v>
      </c>
      <c r="C987" s="37" t="s">
        <v>226</v>
      </c>
      <c r="D987" s="37" t="s">
        <v>505</v>
      </c>
      <c r="E987" s="37" t="s">
        <v>211</v>
      </c>
      <c r="F987" s="38">
        <v>45603</v>
      </c>
      <c r="G987" s="37" t="s">
        <v>215</v>
      </c>
      <c r="H987" s="40">
        <v>45</v>
      </c>
      <c r="I987" s="39">
        <f>IF(My_Payment[[#This Row],[Payment_Code]]="S",My_Payment[[#This Row],[Total AMT]]/2,IF(My_Payment[[#This Row],[Payment_Code]]="P",My_Payment[[#This Row],[Total AMT]],0))</f>
        <v>45</v>
      </c>
      <c r="J987" s="39">
        <f>IF(My_Payment[[#This Row],[Payment_Code]]="S",My_Payment[[#This Row],[Total AMT]]/2,IF(My_Payment[[#This Row],[Payment_Code]]="N",My_Payment[[#This Row],[Total AMT]],0))</f>
        <v>0</v>
      </c>
    </row>
    <row r="988" spans="1:10">
      <c r="A988" s="38">
        <v>45562</v>
      </c>
      <c r="B988" s="37" t="s">
        <v>305</v>
      </c>
      <c r="C988" s="37" t="s">
        <v>226</v>
      </c>
      <c r="D988" s="37" t="s">
        <v>505</v>
      </c>
      <c r="E988" s="37" t="s">
        <v>211</v>
      </c>
      <c r="F988" s="38">
        <v>45603</v>
      </c>
      <c r="G988" s="37" t="s">
        <v>215</v>
      </c>
      <c r="H988" s="40">
        <v>45</v>
      </c>
      <c r="I988" s="39">
        <f>IF(My_Payment[[#This Row],[Payment_Code]]="S",My_Payment[[#This Row],[Total AMT]]/2,IF(My_Payment[[#This Row],[Payment_Code]]="P",My_Payment[[#This Row],[Total AMT]],0))</f>
        <v>45</v>
      </c>
      <c r="J988" s="39">
        <f>IF(My_Payment[[#This Row],[Payment_Code]]="S",My_Payment[[#This Row],[Total AMT]]/2,IF(My_Payment[[#This Row],[Payment_Code]]="N",My_Payment[[#This Row],[Total AMT]],0))</f>
        <v>0</v>
      </c>
    </row>
    <row r="989" spans="1:10">
      <c r="A989" s="38">
        <v>45563</v>
      </c>
      <c r="B989" s="37" t="s">
        <v>305</v>
      </c>
      <c r="C989" s="37" t="s">
        <v>226</v>
      </c>
      <c r="D989" s="37" t="s">
        <v>505</v>
      </c>
      <c r="E989" s="37" t="s">
        <v>211</v>
      </c>
      <c r="F989" s="38">
        <v>45603</v>
      </c>
      <c r="G989" s="37" t="s">
        <v>215</v>
      </c>
      <c r="H989" s="40">
        <v>45</v>
      </c>
      <c r="I989" s="39">
        <f>IF(My_Payment[[#This Row],[Payment_Code]]="S",My_Payment[[#This Row],[Total AMT]]/2,IF(My_Payment[[#This Row],[Payment_Code]]="P",My_Payment[[#This Row],[Total AMT]],0))</f>
        <v>45</v>
      </c>
      <c r="J989" s="39">
        <f>IF(My_Payment[[#This Row],[Payment_Code]]="S",My_Payment[[#This Row],[Total AMT]]/2,IF(My_Payment[[#This Row],[Payment_Code]]="N",My_Payment[[#This Row],[Total AMT]],0))</f>
        <v>0</v>
      </c>
    </row>
    <row r="990" spans="1:10">
      <c r="A990" s="38">
        <v>45564</v>
      </c>
      <c r="B990" s="37" t="s">
        <v>305</v>
      </c>
      <c r="C990" s="37" t="s">
        <v>226</v>
      </c>
      <c r="D990" s="37" t="s">
        <v>505</v>
      </c>
      <c r="E990" s="37" t="s">
        <v>211</v>
      </c>
      <c r="F990" s="38">
        <v>45603</v>
      </c>
      <c r="G990" s="37" t="s">
        <v>215</v>
      </c>
      <c r="H990" s="40">
        <v>45</v>
      </c>
      <c r="I990" s="39">
        <f>IF(My_Payment[[#This Row],[Payment_Code]]="S",My_Payment[[#This Row],[Total AMT]]/2,IF(My_Payment[[#This Row],[Payment_Code]]="P",My_Payment[[#This Row],[Total AMT]],0))</f>
        <v>45</v>
      </c>
      <c r="J990" s="39">
        <f>IF(My_Payment[[#This Row],[Payment_Code]]="S",My_Payment[[#This Row],[Total AMT]]/2,IF(My_Payment[[#This Row],[Payment_Code]]="N",My_Payment[[#This Row],[Total AMT]],0))</f>
        <v>0</v>
      </c>
    </row>
    <row r="991" spans="1:10">
      <c r="A991" s="38">
        <v>45567</v>
      </c>
      <c r="B991" s="37" t="s">
        <v>305</v>
      </c>
      <c r="C991" s="37" t="s">
        <v>226</v>
      </c>
      <c r="D991" s="37" t="s">
        <v>505</v>
      </c>
      <c r="E991" s="37" t="s">
        <v>211</v>
      </c>
      <c r="F991" s="38">
        <v>45603</v>
      </c>
      <c r="G991" s="37" t="s">
        <v>215</v>
      </c>
      <c r="H991" s="40">
        <v>45</v>
      </c>
      <c r="I991" s="39">
        <f>IF(My_Payment[[#This Row],[Payment_Code]]="S",My_Payment[[#This Row],[Total AMT]]/2,IF(My_Payment[[#This Row],[Payment_Code]]="P",My_Payment[[#This Row],[Total AMT]],0))</f>
        <v>45</v>
      </c>
      <c r="J991" s="39">
        <f>IF(My_Payment[[#This Row],[Payment_Code]]="S",My_Payment[[#This Row],[Total AMT]]/2,IF(My_Payment[[#This Row],[Payment_Code]]="N",My_Payment[[#This Row],[Total AMT]],0))</f>
        <v>0</v>
      </c>
    </row>
    <row r="992" spans="1:10">
      <c r="A992" s="38">
        <v>45568</v>
      </c>
      <c r="B992" s="37" t="s">
        <v>305</v>
      </c>
      <c r="C992" s="37" t="s">
        <v>226</v>
      </c>
      <c r="D992" s="37" t="s">
        <v>505</v>
      </c>
      <c r="E992" s="37" t="s">
        <v>211</v>
      </c>
      <c r="F992" s="38">
        <v>45603</v>
      </c>
      <c r="G992" s="37" t="s">
        <v>215</v>
      </c>
      <c r="H992" s="40">
        <v>45</v>
      </c>
      <c r="I992" s="39">
        <f>IF(My_Payment[[#This Row],[Payment_Code]]="S",My_Payment[[#This Row],[Total AMT]]/2,IF(My_Payment[[#This Row],[Payment_Code]]="P",My_Payment[[#This Row],[Total AMT]],0))</f>
        <v>45</v>
      </c>
      <c r="J992" s="39">
        <f>IF(My_Payment[[#This Row],[Payment_Code]]="S",My_Payment[[#This Row],[Total AMT]]/2,IF(My_Payment[[#This Row],[Payment_Code]]="N",My_Payment[[#This Row],[Total AMT]],0))</f>
        <v>0</v>
      </c>
    </row>
    <row r="993" spans="1:10">
      <c r="A993" s="38">
        <v>45569</v>
      </c>
      <c r="B993" s="37" t="s">
        <v>305</v>
      </c>
      <c r="C993" s="37" t="s">
        <v>226</v>
      </c>
      <c r="D993" s="37" t="s">
        <v>505</v>
      </c>
      <c r="E993" s="37" t="s">
        <v>211</v>
      </c>
      <c r="F993" s="38">
        <v>45603</v>
      </c>
      <c r="G993" s="37" t="s">
        <v>215</v>
      </c>
      <c r="H993" s="40">
        <v>45</v>
      </c>
      <c r="I993" s="39">
        <f>IF(My_Payment[[#This Row],[Payment_Code]]="S",My_Payment[[#This Row],[Total AMT]]/2,IF(My_Payment[[#This Row],[Payment_Code]]="P",My_Payment[[#This Row],[Total AMT]],0))</f>
        <v>45</v>
      </c>
      <c r="J993" s="39">
        <f>IF(My_Payment[[#This Row],[Payment_Code]]="S",My_Payment[[#This Row],[Total AMT]]/2,IF(My_Payment[[#This Row],[Payment_Code]]="N",My_Payment[[#This Row],[Total AMT]],0))</f>
        <v>0</v>
      </c>
    </row>
    <row r="994" spans="1:10">
      <c r="A994" s="38">
        <v>45570</v>
      </c>
      <c r="B994" s="37" t="s">
        <v>305</v>
      </c>
      <c r="C994" s="37" t="s">
        <v>226</v>
      </c>
      <c r="D994" s="37" t="s">
        <v>505</v>
      </c>
      <c r="E994" s="37" t="s">
        <v>211</v>
      </c>
      <c r="F994" s="38">
        <v>45603</v>
      </c>
      <c r="G994" s="37" t="s">
        <v>215</v>
      </c>
      <c r="H994" s="40">
        <v>45</v>
      </c>
      <c r="I994" s="39">
        <f>IF(My_Payment[[#This Row],[Payment_Code]]="S",My_Payment[[#This Row],[Total AMT]]/2,IF(My_Payment[[#This Row],[Payment_Code]]="P",My_Payment[[#This Row],[Total AMT]],0))</f>
        <v>45</v>
      </c>
      <c r="J994" s="39">
        <f>IF(My_Payment[[#This Row],[Payment_Code]]="S",My_Payment[[#This Row],[Total AMT]]/2,IF(My_Payment[[#This Row],[Payment_Code]]="N",My_Payment[[#This Row],[Total AMT]],0))</f>
        <v>0</v>
      </c>
    </row>
    <row r="995" spans="1:10">
      <c r="A995" s="38">
        <v>45571</v>
      </c>
      <c r="B995" s="37" t="s">
        <v>305</v>
      </c>
      <c r="C995" s="37" t="s">
        <v>226</v>
      </c>
      <c r="D995" s="37" t="s">
        <v>505</v>
      </c>
      <c r="E995" s="37" t="s">
        <v>211</v>
      </c>
      <c r="F995" s="38">
        <v>45603</v>
      </c>
      <c r="G995" s="37" t="s">
        <v>215</v>
      </c>
      <c r="H995" s="40">
        <v>45</v>
      </c>
      <c r="I995" s="39">
        <f>IF(My_Payment[[#This Row],[Payment_Code]]="S",My_Payment[[#This Row],[Total AMT]]/2,IF(My_Payment[[#This Row],[Payment_Code]]="P",My_Payment[[#This Row],[Total AMT]],0))</f>
        <v>45</v>
      </c>
      <c r="J995" s="39">
        <f>IF(My_Payment[[#This Row],[Payment_Code]]="S",My_Payment[[#This Row],[Total AMT]]/2,IF(My_Payment[[#This Row],[Payment_Code]]="N",My_Payment[[#This Row],[Total AMT]],0))</f>
        <v>0</v>
      </c>
    </row>
    <row r="996" spans="1:10">
      <c r="A996" s="38">
        <v>45574</v>
      </c>
      <c r="B996" s="37" t="s">
        <v>305</v>
      </c>
      <c r="C996" s="37" t="s">
        <v>226</v>
      </c>
      <c r="D996" s="37" t="s">
        <v>505</v>
      </c>
      <c r="E996" s="37" t="s">
        <v>211</v>
      </c>
      <c r="F996" s="38">
        <v>45603</v>
      </c>
      <c r="G996" s="37" t="s">
        <v>215</v>
      </c>
      <c r="H996" s="40">
        <v>45</v>
      </c>
      <c r="I996" s="39">
        <f>IF(My_Payment[[#This Row],[Payment_Code]]="S",My_Payment[[#This Row],[Total AMT]]/2,IF(My_Payment[[#This Row],[Payment_Code]]="P",My_Payment[[#This Row],[Total AMT]],0))</f>
        <v>45</v>
      </c>
      <c r="J996" s="39">
        <f>IF(My_Payment[[#This Row],[Payment_Code]]="S",My_Payment[[#This Row],[Total AMT]]/2,IF(My_Payment[[#This Row],[Payment_Code]]="N",My_Payment[[#This Row],[Total AMT]],0))</f>
        <v>0</v>
      </c>
    </row>
    <row r="997" spans="1:10">
      <c r="A997" s="38">
        <v>45575</v>
      </c>
      <c r="B997" s="37" t="s">
        <v>305</v>
      </c>
      <c r="C997" s="37" t="s">
        <v>226</v>
      </c>
      <c r="D997" s="37" t="s">
        <v>505</v>
      </c>
      <c r="E997" s="37" t="s">
        <v>211</v>
      </c>
      <c r="F997" s="38">
        <v>45603</v>
      </c>
      <c r="G997" s="37" t="s">
        <v>215</v>
      </c>
      <c r="H997" s="40">
        <v>45</v>
      </c>
      <c r="I997" s="39">
        <f>IF(My_Payment[[#This Row],[Payment_Code]]="S",My_Payment[[#This Row],[Total AMT]]/2,IF(My_Payment[[#This Row],[Payment_Code]]="P",My_Payment[[#This Row],[Total AMT]],0))</f>
        <v>45</v>
      </c>
      <c r="J997" s="39">
        <f>IF(My_Payment[[#This Row],[Payment_Code]]="S",My_Payment[[#This Row],[Total AMT]]/2,IF(My_Payment[[#This Row],[Payment_Code]]="N",My_Payment[[#This Row],[Total AMT]],0))</f>
        <v>0</v>
      </c>
    </row>
    <row r="998" spans="1:10">
      <c r="A998" s="38">
        <v>45576</v>
      </c>
      <c r="B998" s="37" t="s">
        <v>305</v>
      </c>
      <c r="C998" s="37" t="s">
        <v>226</v>
      </c>
      <c r="D998" s="37" t="s">
        <v>505</v>
      </c>
      <c r="E998" s="37" t="s">
        <v>211</v>
      </c>
      <c r="F998" s="38">
        <v>45603</v>
      </c>
      <c r="G998" s="37" t="s">
        <v>215</v>
      </c>
      <c r="H998" s="40">
        <v>45</v>
      </c>
      <c r="I998" s="39">
        <f>IF(My_Payment[[#This Row],[Payment_Code]]="S",My_Payment[[#This Row],[Total AMT]]/2,IF(My_Payment[[#This Row],[Payment_Code]]="P",My_Payment[[#This Row],[Total AMT]],0))</f>
        <v>45</v>
      </c>
      <c r="J998" s="39">
        <f>IF(My_Payment[[#This Row],[Payment_Code]]="S",My_Payment[[#This Row],[Total AMT]]/2,IF(My_Payment[[#This Row],[Payment_Code]]="N",My_Payment[[#This Row],[Total AMT]],0))</f>
        <v>0</v>
      </c>
    </row>
    <row r="999" spans="1:10">
      <c r="A999" s="38">
        <v>45577</v>
      </c>
      <c r="B999" s="37" t="s">
        <v>305</v>
      </c>
      <c r="C999" s="37" t="s">
        <v>226</v>
      </c>
      <c r="D999" s="37" t="s">
        <v>505</v>
      </c>
      <c r="E999" s="37" t="s">
        <v>211</v>
      </c>
      <c r="F999" s="38">
        <v>45603</v>
      </c>
      <c r="G999" s="37" t="s">
        <v>215</v>
      </c>
      <c r="H999" s="40">
        <v>45</v>
      </c>
      <c r="I999" s="39">
        <f>IF(My_Payment[[#This Row],[Payment_Code]]="S",My_Payment[[#This Row],[Total AMT]]/2,IF(My_Payment[[#This Row],[Payment_Code]]="P",My_Payment[[#This Row],[Total AMT]],0))</f>
        <v>45</v>
      </c>
      <c r="J999" s="39">
        <f>IF(My_Payment[[#This Row],[Payment_Code]]="S",My_Payment[[#This Row],[Total AMT]]/2,IF(My_Payment[[#This Row],[Payment_Code]]="N",My_Payment[[#This Row],[Total AMT]],0))</f>
        <v>0</v>
      </c>
    </row>
    <row r="1000" spans="1:10">
      <c r="A1000" s="38">
        <v>45579</v>
      </c>
      <c r="B1000" s="37" t="s">
        <v>305</v>
      </c>
      <c r="C1000" s="37" t="s">
        <v>226</v>
      </c>
      <c r="D1000" s="37" t="s">
        <v>505</v>
      </c>
      <c r="E1000" s="37" t="s">
        <v>211</v>
      </c>
      <c r="F1000" s="38">
        <v>45603</v>
      </c>
      <c r="G1000" s="37" t="s">
        <v>215</v>
      </c>
      <c r="H1000" s="40">
        <v>45</v>
      </c>
      <c r="I1000" s="39">
        <f>IF(My_Payment[[#This Row],[Payment_Code]]="S",My_Payment[[#This Row],[Total AMT]]/2,IF(My_Payment[[#This Row],[Payment_Code]]="P",My_Payment[[#This Row],[Total AMT]],0))</f>
        <v>45</v>
      </c>
      <c r="J1000" s="39">
        <f>IF(My_Payment[[#This Row],[Payment_Code]]="S",My_Payment[[#This Row],[Total AMT]]/2,IF(My_Payment[[#This Row],[Payment_Code]]="N",My_Payment[[#This Row],[Total AMT]],0))</f>
        <v>0</v>
      </c>
    </row>
    <row r="1001" spans="1:10">
      <c r="A1001" s="38">
        <v>45576</v>
      </c>
      <c r="B1001" s="37" t="s">
        <v>357</v>
      </c>
      <c r="C1001" s="37" t="s">
        <v>248</v>
      </c>
      <c r="D1001" s="37" t="s">
        <v>509</v>
      </c>
      <c r="E1001" s="37" t="s">
        <v>211</v>
      </c>
      <c r="F1001" s="38">
        <v>45601</v>
      </c>
      <c r="G1001" s="37" t="s">
        <v>215</v>
      </c>
      <c r="H1001" s="40">
        <v>960</v>
      </c>
      <c r="I1001" s="39">
        <f>IF(My_Payment[[#This Row],[Payment_Code]]="S",My_Payment[[#This Row],[Total AMT]]/2,IF(My_Payment[[#This Row],[Payment_Code]]="P",My_Payment[[#This Row],[Total AMT]],0))</f>
        <v>960</v>
      </c>
      <c r="J1001" s="39">
        <f>IF(My_Payment[[#This Row],[Payment_Code]]="S",My_Payment[[#This Row],[Total AMT]]/2,IF(My_Payment[[#This Row],[Payment_Code]]="N",My_Payment[[#This Row],[Total AMT]],0))</f>
        <v>0</v>
      </c>
    </row>
    <row r="1002" spans="1:10">
      <c r="A1002" s="38">
        <v>45581</v>
      </c>
      <c r="B1002" s="37" t="s">
        <v>357</v>
      </c>
      <c r="C1002" s="37" t="s">
        <v>248</v>
      </c>
      <c r="D1002" s="37" t="s">
        <v>510</v>
      </c>
      <c r="E1002" s="37" t="s">
        <v>211</v>
      </c>
      <c r="F1002" s="38">
        <v>45601</v>
      </c>
      <c r="G1002" s="37" t="s">
        <v>215</v>
      </c>
      <c r="H1002" s="40">
        <v>294</v>
      </c>
      <c r="I1002" s="39">
        <f>IF(My_Payment[[#This Row],[Payment_Code]]="S",My_Payment[[#This Row],[Total AMT]]/2,IF(My_Payment[[#This Row],[Payment_Code]]="P",My_Payment[[#This Row],[Total AMT]],0))</f>
        <v>294</v>
      </c>
      <c r="J1002" s="39">
        <f>IF(My_Payment[[#This Row],[Payment_Code]]="S",My_Payment[[#This Row],[Total AMT]]/2,IF(My_Payment[[#This Row],[Payment_Code]]="N",My_Payment[[#This Row],[Total AMT]],0))</f>
        <v>0</v>
      </c>
    </row>
    <row r="1003" spans="1:10">
      <c r="A1003" s="38">
        <v>45582</v>
      </c>
      <c r="B1003" s="37" t="s">
        <v>357</v>
      </c>
      <c r="C1003" s="37" t="s">
        <v>248</v>
      </c>
      <c r="D1003" s="37" t="s">
        <v>440</v>
      </c>
      <c r="E1003" s="37" t="s">
        <v>324</v>
      </c>
      <c r="F1003" s="38">
        <v>45601</v>
      </c>
      <c r="G1003" s="37" t="s">
        <v>215</v>
      </c>
      <c r="H1003" s="40">
        <v>390.67</v>
      </c>
      <c r="I1003" s="39">
        <f>IF(My_Payment[[#This Row],[Payment_Code]]="S",My_Payment[[#This Row],[Total AMT]]/2,IF(My_Payment[[#This Row],[Payment_Code]]="P",My_Payment[[#This Row],[Total AMT]],0))</f>
        <v>390.67</v>
      </c>
      <c r="J1003" s="39">
        <f>IF(My_Payment[[#This Row],[Payment_Code]]="S",My_Payment[[#This Row],[Total AMT]]/2,IF(My_Payment[[#This Row],[Payment_Code]]="N",My_Payment[[#This Row],[Total AMT]],0))</f>
        <v>0</v>
      </c>
    </row>
    <row r="1004" spans="1:10">
      <c r="A1004" s="38">
        <v>45613</v>
      </c>
      <c r="B1004" s="37" t="s">
        <v>357</v>
      </c>
      <c r="C1004" s="37" t="s">
        <v>248</v>
      </c>
      <c r="D1004" s="37" t="s">
        <v>440</v>
      </c>
      <c r="E1004" s="37" t="s">
        <v>327</v>
      </c>
      <c r="F1004" s="38">
        <v>45631</v>
      </c>
      <c r="G1004" s="37" t="s">
        <v>215</v>
      </c>
      <c r="H1004" s="40">
        <v>390.67</v>
      </c>
      <c r="I1004" s="39">
        <f>IF(My_Payment[[#This Row],[Payment_Code]]="S",My_Payment[[#This Row],[Total AMT]]/2,IF(My_Payment[[#This Row],[Payment_Code]]="P",My_Payment[[#This Row],[Total AMT]],0))</f>
        <v>390.67</v>
      </c>
      <c r="J1004" s="39">
        <f>IF(My_Payment[[#This Row],[Payment_Code]]="S",My_Payment[[#This Row],[Total AMT]]/2,IF(My_Payment[[#This Row],[Payment_Code]]="N",My_Payment[[#This Row],[Total AMT]],0))</f>
        <v>0</v>
      </c>
    </row>
    <row r="1005" spans="1:10">
      <c r="A1005" s="38">
        <v>45643</v>
      </c>
      <c r="B1005" s="37" t="s">
        <v>357</v>
      </c>
      <c r="C1005" s="37" t="s">
        <v>248</v>
      </c>
      <c r="D1005" s="37" t="s">
        <v>440</v>
      </c>
      <c r="E1005" s="37" t="s">
        <v>80</v>
      </c>
      <c r="F1005" s="38">
        <v>45662</v>
      </c>
      <c r="G1005" s="37" t="s">
        <v>215</v>
      </c>
      <c r="H1005" s="40">
        <v>390.66</v>
      </c>
      <c r="I1005" s="39">
        <f>IF(My_Payment[[#This Row],[Payment_Code]]="S",My_Payment[[#This Row],[Total AMT]]/2,IF(My_Payment[[#This Row],[Payment_Code]]="P",My_Payment[[#This Row],[Total AMT]],0))</f>
        <v>390.66</v>
      </c>
      <c r="J1005" s="39">
        <f>IF(My_Payment[[#This Row],[Payment_Code]]="S",My_Payment[[#This Row],[Total AMT]]/2,IF(My_Payment[[#This Row],[Payment_Code]]="N",My_Payment[[#This Row],[Total AMT]],0))</f>
        <v>0</v>
      </c>
    </row>
    <row r="1006" spans="1:10">
      <c r="A1006" s="38">
        <v>45598</v>
      </c>
      <c r="B1006" s="37" t="s">
        <v>305</v>
      </c>
      <c r="C1006" s="37" t="s">
        <v>226</v>
      </c>
      <c r="D1006" s="37" t="s">
        <v>511</v>
      </c>
      <c r="E1006" s="37" t="s">
        <v>211</v>
      </c>
      <c r="F1006" s="38">
        <v>45633</v>
      </c>
      <c r="G1006" s="37" t="s">
        <v>215</v>
      </c>
      <c r="H1006" s="40">
        <v>1230</v>
      </c>
      <c r="I1006" s="39">
        <f>IF(My_Payment[[#This Row],[Payment_Code]]="S",My_Payment[[#This Row],[Total AMT]]/2,IF(My_Payment[[#This Row],[Payment_Code]]="P",My_Payment[[#This Row],[Total AMT]],0))</f>
        <v>1230</v>
      </c>
      <c r="J1006" s="39">
        <f>IF(My_Payment[[#This Row],[Payment_Code]]="S",My_Payment[[#This Row],[Total AMT]]/2,IF(My_Payment[[#This Row],[Payment_Code]]="N",My_Payment[[#This Row],[Total AMT]],0))</f>
        <v>0</v>
      </c>
    </row>
    <row r="1007" spans="1:10">
      <c r="A1007" s="38">
        <v>45605</v>
      </c>
      <c r="B1007" s="37" t="s">
        <v>305</v>
      </c>
      <c r="C1007" s="37" t="s">
        <v>226</v>
      </c>
      <c r="D1007" s="37" t="s">
        <v>234</v>
      </c>
      <c r="E1007" s="37" t="s">
        <v>211</v>
      </c>
      <c r="F1007" s="38">
        <v>45633</v>
      </c>
      <c r="G1007" s="37" t="s">
        <v>212</v>
      </c>
      <c r="H1007" s="40">
        <v>807</v>
      </c>
      <c r="I1007" s="39">
        <v>535.5</v>
      </c>
      <c r="J1007" s="39">
        <v>271.5</v>
      </c>
    </row>
    <row r="1008" spans="1:10">
      <c r="A1008" s="38">
        <v>45557</v>
      </c>
      <c r="B1008" s="37" t="s">
        <v>345</v>
      </c>
      <c r="C1008" s="37" t="s">
        <v>248</v>
      </c>
      <c r="D1008" s="37" t="s">
        <v>477</v>
      </c>
      <c r="E1008" s="37" t="s">
        <v>211</v>
      </c>
      <c r="F1008" s="38">
        <v>45598</v>
      </c>
      <c r="G1008" s="37" t="s">
        <v>212</v>
      </c>
      <c r="H1008" s="40">
        <v>1282.5</v>
      </c>
      <c r="I1008" s="39">
        <f>IF(My_Payment[[#This Row],[Payment_Code]]="S",My_Payment[[#This Row],[Total AMT]]/2,IF(My_Payment[[#This Row],[Payment_Code]]="P",My_Payment[[#This Row],[Total AMT]],0))</f>
        <v>641.25</v>
      </c>
      <c r="J1008" s="39">
        <f>IF(My_Payment[[#This Row],[Payment_Code]]="S",My_Payment[[#This Row],[Total AMT]]/2,IF(My_Payment[[#This Row],[Payment_Code]]="N",My_Payment[[#This Row],[Total AMT]],0))</f>
        <v>641.25</v>
      </c>
    </row>
    <row r="1009" spans="1:10">
      <c r="A1009" s="38">
        <v>45585</v>
      </c>
      <c r="B1009" s="37" t="s">
        <v>345</v>
      </c>
      <c r="C1009" s="37" t="s">
        <v>248</v>
      </c>
      <c r="D1009" s="37" t="s">
        <v>471</v>
      </c>
      <c r="E1009" s="37" t="s">
        <v>211</v>
      </c>
      <c r="F1009" s="38">
        <v>45628</v>
      </c>
      <c r="G1009" s="37" t="s">
        <v>212</v>
      </c>
      <c r="H1009" s="40">
        <v>1134.3</v>
      </c>
      <c r="I1009" s="39">
        <f>IF(My_Payment[[#This Row],[Payment_Code]]="S",My_Payment[[#This Row],[Total AMT]]/2,IF(My_Payment[[#This Row],[Payment_Code]]="P",My_Payment[[#This Row],[Total AMT]],0))</f>
        <v>567.15</v>
      </c>
      <c r="J1009" s="39">
        <f>IF(My_Payment[[#This Row],[Payment_Code]]="S",My_Payment[[#This Row],[Total AMT]]/2,IF(My_Payment[[#This Row],[Payment_Code]]="N",My_Payment[[#This Row],[Total AMT]],0))</f>
        <v>567.15</v>
      </c>
    </row>
    <row r="1010" spans="1:10">
      <c r="A1010" s="38">
        <v>45590</v>
      </c>
      <c r="B1010" s="37" t="s">
        <v>357</v>
      </c>
      <c r="C1010" s="37" t="s">
        <v>248</v>
      </c>
      <c r="D1010" s="37" t="s">
        <v>512</v>
      </c>
      <c r="E1010" s="37" t="s">
        <v>211</v>
      </c>
      <c r="F1010" s="38">
        <v>45631</v>
      </c>
      <c r="G1010" s="37" t="s">
        <v>215</v>
      </c>
      <c r="H1010" s="40">
        <v>357</v>
      </c>
      <c r="I1010" s="39">
        <f>IF(My_Payment[[#This Row],[Payment_Code]]="S",My_Payment[[#This Row],[Total AMT]]/2,IF(My_Payment[[#This Row],[Payment_Code]]="P",My_Payment[[#This Row],[Total AMT]],0))</f>
        <v>357</v>
      </c>
      <c r="J1010" s="39">
        <f>IF(My_Payment[[#This Row],[Payment_Code]]="S",My_Payment[[#This Row],[Total AMT]]/2,IF(My_Payment[[#This Row],[Payment_Code]]="N",My_Payment[[#This Row],[Total AMT]],0))</f>
        <v>0</v>
      </c>
    </row>
    <row r="1011" spans="1:10">
      <c r="A1011" s="38">
        <v>45590</v>
      </c>
      <c r="B1011" s="37" t="s">
        <v>357</v>
      </c>
      <c r="C1011" s="37" t="s">
        <v>248</v>
      </c>
      <c r="D1011" s="37" t="s">
        <v>513</v>
      </c>
      <c r="E1011" s="37" t="s">
        <v>211</v>
      </c>
      <c r="F1011" s="38">
        <v>45631</v>
      </c>
      <c r="G1011" s="37" t="s">
        <v>215</v>
      </c>
      <c r="H1011" s="40">
        <v>227</v>
      </c>
      <c r="I1011" s="39">
        <f>IF(My_Payment[[#This Row],[Payment_Code]]="S",My_Payment[[#This Row],[Total AMT]]/2,IF(My_Payment[[#This Row],[Payment_Code]]="P",My_Payment[[#This Row],[Total AMT]],0))</f>
        <v>227</v>
      </c>
      <c r="J1011" s="39">
        <f>IF(My_Payment[[#This Row],[Payment_Code]]="S",My_Payment[[#This Row],[Total AMT]]/2,IF(My_Payment[[#This Row],[Payment_Code]]="N",My_Payment[[#This Row],[Total AMT]],0))</f>
        <v>0</v>
      </c>
    </row>
    <row r="1012" spans="1:10">
      <c r="A1012" s="38">
        <v>45627</v>
      </c>
      <c r="B1012" s="37" t="s">
        <v>208</v>
      </c>
      <c r="C1012" s="37" t="s">
        <v>209</v>
      </c>
      <c r="D1012" s="37" t="s">
        <v>217</v>
      </c>
      <c r="E1012" s="37" t="s">
        <v>211</v>
      </c>
      <c r="F1012" s="38">
        <v>45659</v>
      </c>
      <c r="G1012" s="37" t="s">
        <v>212</v>
      </c>
      <c r="H1012" s="40">
        <v>1485.07</v>
      </c>
      <c r="I1012" s="39">
        <v>831.53</v>
      </c>
      <c r="J1012" s="39">
        <v>653.54</v>
      </c>
    </row>
    <row r="1013" spans="1:10">
      <c r="A1013" s="38">
        <v>45631</v>
      </c>
      <c r="B1013" s="37" t="s">
        <v>225</v>
      </c>
      <c r="C1013" s="37" t="s">
        <v>226</v>
      </c>
      <c r="D1013" s="37" t="s">
        <v>514</v>
      </c>
      <c r="E1013" s="37" t="s">
        <v>211</v>
      </c>
      <c r="F1013" s="38">
        <v>45679</v>
      </c>
      <c r="G1013" s="37" t="s">
        <v>212</v>
      </c>
      <c r="H1013" s="40">
        <v>2650.5</v>
      </c>
      <c r="I1013" s="39">
        <v>2650.5</v>
      </c>
      <c r="J1013" s="39">
        <v>0</v>
      </c>
    </row>
    <row r="1014" spans="1:10">
      <c r="A1014" s="38">
        <v>45619</v>
      </c>
      <c r="B1014" s="37" t="s">
        <v>305</v>
      </c>
      <c r="C1014" s="37" t="s">
        <v>226</v>
      </c>
      <c r="D1014" s="37" t="s">
        <v>234</v>
      </c>
      <c r="E1014" s="37" t="s">
        <v>211</v>
      </c>
      <c r="F1014" s="38">
        <v>45664</v>
      </c>
      <c r="G1014" s="37" t="s">
        <v>212</v>
      </c>
      <c r="H1014" s="40">
        <v>451</v>
      </c>
      <c r="I1014" s="39">
        <v>350.5</v>
      </c>
      <c r="J1014" s="39">
        <v>100.5</v>
      </c>
    </row>
    <row r="1015" spans="1:10">
      <c r="A1015" s="38">
        <v>45619</v>
      </c>
      <c r="B1015" s="37" t="s">
        <v>305</v>
      </c>
      <c r="C1015" s="37" t="s">
        <v>226</v>
      </c>
      <c r="D1015" s="37" t="s">
        <v>638</v>
      </c>
      <c r="E1015" s="37" t="s">
        <v>317</v>
      </c>
      <c r="F1015" s="38">
        <v>45664</v>
      </c>
      <c r="G1015" s="37" t="s">
        <v>212</v>
      </c>
      <c r="H1015" s="40">
        <v>4552.5</v>
      </c>
      <c r="I1015" s="39">
        <f>IF(My_Payment[[#This Row],[Payment_Code]]="S",My_Payment[[#This Row],[Total AMT]]/2,IF(My_Payment[[#This Row],[Payment_Code]]="P",My_Payment[[#This Row],[Total AMT]],0))</f>
        <v>2276.25</v>
      </c>
      <c r="J1015" s="39">
        <f>IF(My_Payment[[#This Row],[Payment_Code]]="S",My_Payment[[#This Row],[Total AMT]]/2,IF(My_Payment[[#This Row],[Payment_Code]]="N",My_Payment[[#This Row],[Total AMT]],0))</f>
        <v>2276.25</v>
      </c>
    </row>
    <row r="1016" spans="1:10">
      <c r="A1016" s="38">
        <v>45649</v>
      </c>
      <c r="B1016" s="37" t="s">
        <v>305</v>
      </c>
      <c r="C1016" s="37" t="s">
        <v>226</v>
      </c>
      <c r="D1016" s="37" t="s">
        <v>638</v>
      </c>
      <c r="E1016" s="37" t="s">
        <v>318</v>
      </c>
      <c r="F1016" s="38">
        <v>45695</v>
      </c>
      <c r="G1016" s="37" t="s">
        <v>212</v>
      </c>
      <c r="H1016" s="40">
        <v>4552.5</v>
      </c>
      <c r="I1016" s="39">
        <f>IF(My_Payment[[#This Row],[Payment_Code]]="S",My_Payment[[#This Row],[Total AMT]]/2,IF(My_Payment[[#This Row],[Payment_Code]]="P",My_Payment[[#This Row],[Total AMT]],0))</f>
        <v>2276.25</v>
      </c>
      <c r="J1016" s="39">
        <f>IF(My_Payment[[#This Row],[Payment_Code]]="S",My_Payment[[#This Row],[Total AMT]]/2,IF(My_Payment[[#This Row],[Payment_Code]]="N",My_Payment[[#This Row],[Total AMT]],0))</f>
        <v>2276.25</v>
      </c>
    </row>
    <row r="1017" spans="1:10">
      <c r="A1017" s="38">
        <v>45680</v>
      </c>
      <c r="B1017" s="37" t="s">
        <v>305</v>
      </c>
      <c r="C1017" s="37" t="s">
        <v>226</v>
      </c>
      <c r="D1017" s="37" t="s">
        <v>638</v>
      </c>
      <c r="E1017" s="37" t="s">
        <v>319</v>
      </c>
      <c r="F1017" s="38">
        <v>45723</v>
      </c>
      <c r="G1017" s="37" t="s">
        <v>212</v>
      </c>
      <c r="H1017" s="40">
        <v>4552.5</v>
      </c>
      <c r="I1017" s="39">
        <f>IF(My_Payment[[#This Row],[Payment_Code]]="S",My_Payment[[#This Row],[Total AMT]]/2,IF(My_Payment[[#This Row],[Payment_Code]]="P",My_Payment[[#This Row],[Total AMT]],0))</f>
        <v>2276.25</v>
      </c>
      <c r="J1017" s="39">
        <f>IF(My_Payment[[#This Row],[Payment_Code]]="S",My_Payment[[#This Row],[Total AMT]]/2,IF(My_Payment[[#This Row],[Payment_Code]]="N",My_Payment[[#This Row],[Total AMT]],0))</f>
        <v>2276.25</v>
      </c>
    </row>
    <row r="1018" spans="1:10">
      <c r="A1018" s="38">
        <v>45711</v>
      </c>
      <c r="B1018" s="37" t="s">
        <v>305</v>
      </c>
      <c r="C1018" s="37" t="s">
        <v>226</v>
      </c>
      <c r="D1018" s="37" t="s">
        <v>638</v>
      </c>
      <c r="E1018" s="37" t="s">
        <v>320</v>
      </c>
      <c r="F1018" s="38">
        <v>45754</v>
      </c>
      <c r="G1018" s="37" t="s">
        <v>212</v>
      </c>
      <c r="H1018" s="40">
        <v>4552.5</v>
      </c>
      <c r="I1018" s="39">
        <f>IF(My_Payment[[#This Row],[Payment_Code]]="S",My_Payment[[#This Row],[Total AMT]]/2,IF(My_Payment[[#This Row],[Payment_Code]]="P",My_Payment[[#This Row],[Total AMT]],0))</f>
        <v>2276.25</v>
      </c>
      <c r="J1018" s="39">
        <f>IF(My_Payment[[#This Row],[Payment_Code]]="S",My_Payment[[#This Row],[Total AMT]]/2,IF(My_Payment[[#This Row],[Payment_Code]]="N",My_Payment[[#This Row],[Total AMT]],0))</f>
        <v>2276.25</v>
      </c>
    </row>
    <row r="1019" spans="1:10">
      <c r="A1019" s="38">
        <v>45739</v>
      </c>
      <c r="B1019" s="37" t="s">
        <v>305</v>
      </c>
      <c r="C1019" s="37" t="s">
        <v>226</v>
      </c>
      <c r="D1019" s="37" t="s">
        <v>638</v>
      </c>
      <c r="E1019" s="37" t="s">
        <v>321</v>
      </c>
      <c r="F1019" s="38">
        <v>45784</v>
      </c>
      <c r="G1019" s="37" t="s">
        <v>212</v>
      </c>
      <c r="H1019" s="40">
        <v>4552.5</v>
      </c>
      <c r="I1019" s="39">
        <f>IF(My_Payment[[#This Row],[Payment_Code]]="S",My_Payment[[#This Row],[Total AMT]]/2,IF(My_Payment[[#This Row],[Payment_Code]]="P",My_Payment[[#This Row],[Total AMT]],0))</f>
        <v>2276.25</v>
      </c>
      <c r="J1019" s="39">
        <f>IF(My_Payment[[#This Row],[Payment_Code]]="S",My_Payment[[#This Row],[Total AMT]]/2,IF(My_Payment[[#This Row],[Payment_Code]]="N",My_Payment[[#This Row],[Total AMT]],0))</f>
        <v>2276.25</v>
      </c>
    </row>
    <row r="1020" spans="1:10">
      <c r="A1020" s="38">
        <v>45770</v>
      </c>
      <c r="B1020" s="37" t="s">
        <v>305</v>
      </c>
      <c r="C1020" s="37" t="s">
        <v>226</v>
      </c>
      <c r="D1020" s="37" t="s">
        <v>638</v>
      </c>
      <c r="E1020" s="37" t="s">
        <v>25</v>
      </c>
      <c r="F1020" s="38">
        <v>45815</v>
      </c>
      <c r="G1020" s="37" t="s">
        <v>212</v>
      </c>
      <c r="H1020" s="40">
        <v>4552.5</v>
      </c>
      <c r="I1020" s="39">
        <f>IF(My_Payment[[#This Row],[Payment_Code]]="S",My_Payment[[#This Row],[Total AMT]]/2,IF(My_Payment[[#This Row],[Payment_Code]]="P",My_Payment[[#This Row],[Total AMT]],0))</f>
        <v>2276.25</v>
      </c>
      <c r="J1020" s="39">
        <f>IF(My_Payment[[#This Row],[Payment_Code]]="S",My_Payment[[#This Row],[Total AMT]]/2,IF(My_Payment[[#This Row],[Payment_Code]]="N",My_Payment[[#This Row],[Total AMT]],0))</f>
        <v>2276.25</v>
      </c>
    </row>
    <row r="1021" spans="1:10">
      <c r="A1021" s="38">
        <v>45619</v>
      </c>
      <c r="B1021" s="37" t="s">
        <v>305</v>
      </c>
      <c r="C1021" s="37" t="s">
        <v>226</v>
      </c>
      <c r="D1021" s="37" t="s">
        <v>639</v>
      </c>
      <c r="E1021" s="37" t="s">
        <v>211</v>
      </c>
      <c r="F1021" s="38">
        <v>45664</v>
      </c>
      <c r="G1021" s="37" t="s">
        <v>212</v>
      </c>
      <c r="H1021" s="40">
        <v>-300</v>
      </c>
      <c r="I1021" s="39">
        <f>IF(My_Payment[[#This Row],[Payment_Code]]="S",My_Payment[[#This Row],[Total AMT]]/2,IF(My_Payment[[#This Row],[Payment_Code]]="P",My_Payment[[#This Row],[Total AMT]],0))</f>
        <v>-150</v>
      </c>
      <c r="J1021" s="39">
        <f>IF(My_Payment[[#This Row],[Payment_Code]]="S",My_Payment[[#This Row],[Total AMT]]/2,IF(My_Payment[[#This Row],[Payment_Code]]="N",My_Payment[[#This Row],[Total AMT]],0))</f>
        <v>-150</v>
      </c>
    </row>
    <row r="1022" spans="1:10">
      <c r="A1022" s="38">
        <v>45623</v>
      </c>
      <c r="B1022" s="37" t="s">
        <v>305</v>
      </c>
      <c r="C1022" s="37" t="s">
        <v>226</v>
      </c>
      <c r="D1022" s="37" t="s">
        <v>505</v>
      </c>
      <c r="E1022" s="37" t="s">
        <v>211</v>
      </c>
      <c r="F1022" s="38">
        <v>45664</v>
      </c>
      <c r="G1022" s="37" t="s">
        <v>215</v>
      </c>
      <c r="H1022" s="40">
        <v>64</v>
      </c>
      <c r="I1022" s="39">
        <f>IF(My_Payment[[#This Row],[Payment_Code]]="S",My_Payment[[#This Row],[Total AMT]]/2,IF(My_Payment[[#This Row],[Payment_Code]]="P",My_Payment[[#This Row],[Total AMT]],0))</f>
        <v>64</v>
      </c>
      <c r="J1022" s="39">
        <f>IF(My_Payment[[#This Row],[Payment_Code]]="S",My_Payment[[#This Row],[Total AMT]]/2,IF(My_Payment[[#This Row],[Payment_Code]]="N",My_Payment[[#This Row],[Total AMT]],0))</f>
        <v>0</v>
      </c>
    </row>
    <row r="1023" spans="1:10">
      <c r="A1023" s="38">
        <v>45639</v>
      </c>
      <c r="B1023" s="37" t="s">
        <v>305</v>
      </c>
      <c r="C1023" s="37" t="s">
        <v>226</v>
      </c>
      <c r="D1023" s="37" t="s">
        <v>505</v>
      </c>
      <c r="E1023" s="37" t="s">
        <v>211</v>
      </c>
      <c r="F1023" s="38">
        <v>45664</v>
      </c>
      <c r="G1023" s="37" t="s">
        <v>215</v>
      </c>
      <c r="H1023" s="40">
        <v>50</v>
      </c>
      <c r="I1023" s="39">
        <f>IF(My_Payment[[#This Row],[Payment_Code]]="S",My_Payment[[#This Row],[Total AMT]]/2,IF(My_Payment[[#This Row],[Payment_Code]]="P",My_Payment[[#This Row],[Total AMT]],0))</f>
        <v>50</v>
      </c>
      <c r="J1023" s="39">
        <f>IF(My_Payment[[#This Row],[Payment_Code]]="S",My_Payment[[#This Row],[Total AMT]]/2,IF(My_Payment[[#This Row],[Payment_Code]]="N",My_Payment[[#This Row],[Total AMT]],0))</f>
        <v>0</v>
      </c>
    </row>
    <row r="1024" spans="1:10">
      <c r="A1024" s="38">
        <v>45642</v>
      </c>
      <c r="B1024" s="37" t="s">
        <v>305</v>
      </c>
      <c r="C1024" s="37" t="s">
        <v>226</v>
      </c>
      <c r="D1024" s="37" t="s">
        <v>515</v>
      </c>
      <c r="E1024" s="37" t="s">
        <v>211</v>
      </c>
      <c r="F1024" s="38">
        <v>45664</v>
      </c>
      <c r="G1024" s="37" t="s">
        <v>215</v>
      </c>
      <c r="H1024" s="40">
        <v>2967.22</v>
      </c>
      <c r="I1024" s="39">
        <f>2967.22-746-729-373</f>
        <v>1119.2199999999998</v>
      </c>
      <c r="J1024" s="39">
        <f>IF(My_Payment[[#This Row],[Payment_Code]]="S",My_Payment[[#This Row],[Total AMT]]/2,IF(My_Payment[[#This Row],[Payment_Code]]="N",My_Payment[[#This Row],[Total AMT]],0))</f>
        <v>0</v>
      </c>
    </row>
    <row r="1025" spans="1:10">
      <c r="A1025" s="38">
        <v>45631</v>
      </c>
      <c r="B1025" s="37" t="s">
        <v>345</v>
      </c>
      <c r="C1025" s="37" t="s">
        <v>248</v>
      </c>
      <c r="D1025" s="37" t="s">
        <v>471</v>
      </c>
      <c r="E1025" s="37" t="s">
        <v>211</v>
      </c>
      <c r="F1025" s="38">
        <v>45659</v>
      </c>
      <c r="G1025" s="37" t="s">
        <v>212</v>
      </c>
      <c r="H1025" s="40">
        <v>1233.0999999999999</v>
      </c>
      <c r="I1025" s="39">
        <f>IF(My_Payment[[#This Row],[Payment_Code]]="S",My_Payment[[#This Row],[Total AMT]]/2,IF(My_Payment[[#This Row],[Payment_Code]]="P",My_Payment[[#This Row],[Total AMT]],0))</f>
        <v>616.54999999999995</v>
      </c>
      <c r="J1025" s="39">
        <f>IF(My_Payment[[#This Row],[Payment_Code]]="S",My_Payment[[#This Row],[Total AMT]]/2,IF(My_Payment[[#This Row],[Payment_Code]]="N",My_Payment[[#This Row],[Total AMT]],0))</f>
        <v>616.54999999999995</v>
      </c>
    </row>
    <row r="1026" spans="1:10">
      <c r="A1026" s="38">
        <v>45609</v>
      </c>
      <c r="B1026" s="37" t="s">
        <v>357</v>
      </c>
      <c r="C1026" s="37" t="s">
        <v>248</v>
      </c>
      <c r="D1026" s="37" t="s">
        <v>516</v>
      </c>
      <c r="E1026" s="37" t="s">
        <v>324</v>
      </c>
      <c r="F1026" s="38">
        <v>45631</v>
      </c>
      <c r="G1026" s="37" t="s">
        <v>215</v>
      </c>
      <c r="H1026" s="40">
        <v>419.33</v>
      </c>
      <c r="I1026" s="39">
        <f>IF(My_Payment[[#This Row],[Payment_Code]]="S",My_Payment[[#This Row],[Total AMT]]/2,IF(My_Payment[[#This Row],[Payment_Code]]="P",My_Payment[[#This Row],[Total AMT]],0))</f>
        <v>419.33</v>
      </c>
      <c r="J1026" s="39">
        <f>IF(My_Payment[[#This Row],[Payment_Code]]="S",My_Payment[[#This Row],[Total AMT]]/2,IF(My_Payment[[#This Row],[Payment_Code]]="N",My_Payment[[#This Row],[Total AMT]],0))</f>
        <v>0</v>
      </c>
    </row>
    <row r="1027" spans="1:10">
      <c r="A1027" s="38">
        <v>45639</v>
      </c>
      <c r="B1027" s="37" t="s">
        <v>357</v>
      </c>
      <c r="C1027" s="37" t="s">
        <v>248</v>
      </c>
      <c r="D1027" s="37" t="s">
        <v>516</v>
      </c>
      <c r="E1027" s="37" t="s">
        <v>327</v>
      </c>
      <c r="F1027" s="38">
        <v>45662</v>
      </c>
      <c r="G1027" s="37" t="s">
        <v>215</v>
      </c>
      <c r="H1027" s="40">
        <v>419.33</v>
      </c>
      <c r="I1027" s="39">
        <f>IF(My_Payment[[#This Row],[Payment_Code]]="S",My_Payment[[#This Row],[Total AMT]]/2,IF(My_Payment[[#This Row],[Payment_Code]]="P",My_Payment[[#This Row],[Total AMT]],0))</f>
        <v>419.33</v>
      </c>
      <c r="J1027" s="39">
        <f>IF(My_Payment[[#This Row],[Payment_Code]]="S",My_Payment[[#This Row],[Total AMT]]/2,IF(My_Payment[[#This Row],[Payment_Code]]="N",My_Payment[[#This Row],[Total AMT]],0))</f>
        <v>0</v>
      </c>
    </row>
    <row r="1028" spans="1:10">
      <c r="A1028" s="38">
        <v>45670</v>
      </c>
      <c r="B1028" s="37" t="s">
        <v>357</v>
      </c>
      <c r="C1028" s="37" t="s">
        <v>248</v>
      </c>
      <c r="D1028" s="37" t="s">
        <v>516</v>
      </c>
      <c r="E1028" s="37" t="s">
        <v>80</v>
      </c>
      <c r="F1028" s="38">
        <v>45693</v>
      </c>
      <c r="G1028" s="37" t="s">
        <v>215</v>
      </c>
      <c r="H1028" s="40">
        <v>419.34</v>
      </c>
      <c r="I1028" s="39">
        <f>IF(My_Payment[[#This Row],[Payment_Code]]="S",My_Payment[[#This Row],[Total AMT]]/2,IF(My_Payment[[#This Row],[Payment_Code]]="P",My_Payment[[#This Row],[Total AMT]],0))</f>
        <v>419.34</v>
      </c>
      <c r="J1028" s="39">
        <f>IF(My_Payment[[#This Row],[Payment_Code]]="S",My_Payment[[#This Row],[Total AMT]]/2,IF(My_Payment[[#This Row],[Payment_Code]]="N",My_Payment[[#This Row],[Total AMT]],0))</f>
        <v>0</v>
      </c>
    </row>
    <row r="1029" spans="1:10">
      <c r="A1029" s="38">
        <v>45631</v>
      </c>
      <c r="B1029" s="37" t="s">
        <v>357</v>
      </c>
      <c r="C1029" s="37" t="s">
        <v>248</v>
      </c>
      <c r="D1029" s="37" t="s">
        <v>517</v>
      </c>
      <c r="E1029" s="37" t="s">
        <v>211</v>
      </c>
      <c r="F1029" s="38">
        <v>45662</v>
      </c>
      <c r="G1029" s="37" t="s">
        <v>215</v>
      </c>
      <c r="H1029" s="40">
        <v>251</v>
      </c>
      <c r="I1029" s="39">
        <f>IF(My_Payment[[#This Row],[Payment_Code]]="S",My_Payment[[#This Row],[Total AMT]]/2,IF(My_Payment[[#This Row],[Payment_Code]]="P",My_Payment[[#This Row],[Total AMT]],0))</f>
        <v>251</v>
      </c>
      <c r="J1029" s="39">
        <f>IF(My_Payment[[#This Row],[Payment_Code]]="S",My_Payment[[#This Row],[Total AMT]]/2,IF(My_Payment[[#This Row],[Payment_Code]]="N",My_Payment[[#This Row],[Total AMT]],0))</f>
        <v>0</v>
      </c>
    </row>
    <row r="1030" spans="1:10">
      <c r="A1030" s="38">
        <v>45643</v>
      </c>
      <c r="B1030" s="37" t="s">
        <v>357</v>
      </c>
      <c r="C1030" s="37" t="s">
        <v>248</v>
      </c>
      <c r="D1030" s="37" t="s">
        <v>518</v>
      </c>
      <c r="E1030" s="37" t="s">
        <v>211</v>
      </c>
      <c r="F1030" s="38">
        <v>45662</v>
      </c>
      <c r="G1030" s="37" t="s">
        <v>215</v>
      </c>
      <c r="H1030" s="40">
        <v>340</v>
      </c>
      <c r="I1030" s="39">
        <f>IF(My_Payment[[#This Row],[Payment_Code]]="S",My_Payment[[#This Row],[Total AMT]]/2,IF(My_Payment[[#This Row],[Payment_Code]]="P",My_Payment[[#This Row],[Total AMT]],0))</f>
        <v>340</v>
      </c>
      <c r="J1030" s="39">
        <f>IF(My_Payment[[#This Row],[Payment_Code]]="S",My_Payment[[#This Row],[Total AMT]]/2,IF(My_Payment[[#This Row],[Payment_Code]]="N",My_Payment[[#This Row],[Total AMT]],0))</f>
        <v>0</v>
      </c>
    </row>
    <row r="1031" spans="1:10">
      <c r="A1031" s="38">
        <v>45643</v>
      </c>
      <c r="B1031" s="37" t="s">
        <v>357</v>
      </c>
      <c r="C1031" s="37" t="s">
        <v>248</v>
      </c>
      <c r="D1031" s="37" t="s">
        <v>519</v>
      </c>
      <c r="E1031" s="37" t="s">
        <v>211</v>
      </c>
      <c r="F1031" s="38">
        <v>45662</v>
      </c>
      <c r="G1031" s="37" t="s">
        <v>215</v>
      </c>
      <c r="H1031" s="40">
        <v>278</v>
      </c>
      <c r="I1031" s="39">
        <f>IF(My_Payment[[#This Row],[Payment_Code]]="S",My_Payment[[#This Row],[Total AMT]]/2,IF(My_Payment[[#This Row],[Payment_Code]]="P",My_Payment[[#This Row],[Total AMT]],0))</f>
        <v>278</v>
      </c>
      <c r="J1031" s="39">
        <f>IF(My_Payment[[#This Row],[Payment_Code]]="S",My_Payment[[#This Row],[Total AMT]]/2,IF(My_Payment[[#This Row],[Payment_Code]]="N",My_Payment[[#This Row],[Total AMT]],0))</f>
        <v>0</v>
      </c>
    </row>
    <row r="1032" spans="1:10">
      <c r="A1032" s="38">
        <v>45644</v>
      </c>
      <c r="B1032" s="37" t="s">
        <v>357</v>
      </c>
      <c r="C1032" s="37" t="s">
        <v>248</v>
      </c>
      <c r="D1032" s="37" t="s">
        <v>520</v>
      </c>
      <c r="E1032" s="37" t="s">
        <v>211</v>
      </c>
      <c r="F1032" s="38">
        <v>45662</v>
      </c>
      <c r="G1032" s="37" t="s">
        <v>215</v>
      </c>
      <c r="H1032" s="40">
        <v>291</v>
      </c>
      <c r="I1032" s="39">
        <f>IF(My_Payment[[#This Row],[Payment_Code]]="S",My_Payment[[#This Row],[Total AMT]]/2,IF(My_Payment[[#This Row],[Payment_Code]]="P",My_Payment[[#This Row],[Total AMT]],0))</f>
        <v>291</v>
      </c>
      <c r="J1032" s="39">
        <f>IF(My_Payment[[#This Row],[Payment_Code]]="S",My_Payment[[#This Row],[Total AMT]]/2,IF(My_Payment[[#This Row],[Payment_Code]]="N",My_Payment[[#This Row],[Total AMT]],0))</f>
        <v>0</v>
      </c>
    </row>
    <row r="1033" spans="1:10">
      <c r="A1033" s="38">
        <v>45639</v>
      </c>
      <c r="B1033" s="37" t="s">
        <v>357</v>
      </c>
      <c r="C1033" s="37" t="s">
        <v>248</v>
      </c>
      <c r="D1033" s="37" t="s">
        <v>521</v>
      </c>
      <c r="E1033" s="37" t="s">
        <v>324</v>
      </c>
      <c r="F1033" s="38">
        <v>45662</v>
      </c>
      <c r="G1033" s="37" t="s">
        <v>215</v>
      </c>
      <c r="H1033" s="40">
        <v>395.33</v>
      </c>
      <c r="I1033" s="39">
        <f>IF(My_Payment[[#This Row],[Payment_Code]]="S",My_Payment[[#This Row],[Total AMT]]/2,IF(My_Payment[[#This Row],[Payment_Code]]="P",My_Payment[[#This Row],[Total AMT]],0))</f>
        <v>395.33</v>
      </c>
      <c r="J1033" s="39">
        <f>IF(My_Payment[[#This Row],[Payment_Code]]="S",My_Payment[[#This Row],[Total AMT]]/2,IF(My_Payment[[#This Row],[Payment_Code]]="N",My_Payment[[#This Row],[Total AMT]],0))</f>
        <v>0</v>
      </c>
    </row>
    <row r="1034" spans="1:10">
      <c r="A1034" s="38">
        <v>45670</v>
      </c>
      <c r="B1034" s="37" t="s">
        <v>357</v>
      </c>
      <c r="C1034" s="37" t="s">
        <v>248</v>
      </c>
      <c r="D1034" s="37" t="s">
        <v>521</v>
      </c>
      <c r="E1034" s="37" t="s">
        <v>327</v>
      </c>
      <c r="F1034" s="38">
        <v>45693</v>
      </c>
      <c r="G1034" s="37" t="s">
        <v>215</v>
      </c>
      <c r="H1034" s="40">
        <v>395.33</v>
      </c>
      <c r="I1034" s="39">
        <f>IF(My_Payment[[#This Row],[Payment_Code]]="S",My_Payment[[#This Row],[Total AMT]]/2,IF(My_Payment[[#This Row],[Payment_Code]]="P",My_Payment[[#This Row],[Total AMT]],0))</f>
        <v>395.33</v>
      </c>
      <c r="J1034" s="39">
        <f>IF(My_Payment[[#This Row],[Payment_Code]]="S",My_Payment[[#This Row],[Total AMT]]/2,IF(My_Payment[[#This Row],[Payment_Code]]="N",My_Payment[[#This Row],[Total AMT]],0))</f>
        <v>0</v>
      </c>
    </row>
    <row r="1035" spans="1:10">
      <c r="A1035" s="38">
        <v>45701</v>
      </c>
      <c r="B1035" s="37" t="s">
        <v>357</v>
      </c>
      <c r="C1035" s="37" t="s">
        <v>248</v>
      </c>
      <c r="D1035" s="37" t="s">
        <v>521</v>
      </c>
      <c r="E1035" s="37" t="s">
        <v>80</v>
      </c>
      <c r="F1035" s="38">
        <v>45721</v>
      </c>
      <c r="G1035" s="37" t="s">
        <v>215</v>
      </c>
      <c r="H1035" s="40">
        <v>395.34</v>
      </c>
      <c r="I1035" s="39">
        <f>IF(My_Payment[[#This Row],[Payment_Code]]="S",My_Payment[[#This Row],[Total AMT]]/2,IF(My_Payment[[#This Row],[Payment_Code]]="P",My_Payment[[#This Row],[Total AMT]],0))</f>
        <v>395.34</v>
      </c>
      <c r="J1035" s="39">
        <f>IF(My_Payment[[#This Row],[Payment_Code]]="S",My_Payment[[#This Row],[Total AMT]]/2,IF(My_Payment[[#This Row],[Payment_Code]]="N",My_Payment[[#This Row],[Total AMT]],0))</f>
        <v>0</v>
      </c>
    </row>
    <row r="1036" spans="1:10">
      <c r="A1036" s="38">
        <v>45677</v>
      </c>
      <c r="B1036" s="37" t="s">
        <v>348</v>
      </c>
      <c r="C1036" s="37" t="s">
        <v>209</v>
      </c>
      <c r="D1036" s="37" t="s">
        <v>48</v>
      </c>
      <c r="E1036" s="37" t="s">
        <v>211</v>
      </c>
      <c r="F1036" s="38">
        <v>45717</v>
      </c>
      <c r="G1036" s="37" t="s">
        <v>215</v>
      </c>
      <c r="H1036" s="40">
        <v>982.26</v>
      </c>
      <c r="I1036" s="39">
        <f>IF(My_Payment[[#This Row],[Payment_Code]]="S",My_Payment[[#This Row],[Total AMT]]/2,IF(My_Payment[[#This Row],[Payment_Code]]="P",My_Payment[[#This Row],[Total AMT]],0))</f>
        <v>982.26</v>
      </c>
      <c r="J1036" s="39">
        <f>IF(My_Payment[[#This Row],[Payment_Code]]="S",My_Payment[[#This Row],[Total AMT]]/2,IF(My_Payment[[#This Row],[Payment_Code]]="N",My_Payment[[#This Row],[Total AMT]],0))</f>
        <v>0</v>
      </c>
    </row>
    <row r="1037" spans="1:10">
      <c r="A1037" s="38">
        <v>45677</v>
      </c>
      <c r="B1037" s="37" t="s">
        <v>348</v>
      </c>
      <c r="C1037" s="37" t="s">
        <v>209</v>
      </c>
      <c r="D1037" s="37" t="s">
        <v>49</v>
      </c>
      <c r="E1037" s="37" t="s">
        <v>211</v>
      </c>
      <c r="F1037" s="38">
        <v>45717</v>
      </c>
      <c r="G1037" s="37" t="s">
        <v>215</v>
      </c>
      <c r="H1037" s="40">
        <f>(1412.97-268.13+155.15+466.36)*1.07</f>
        <v>1889.9945000000005</v>
      </c>
      <c r="I1037" s="39">
        <f>IF(My_Payment[[#This Row],[Payment_Code]]="S",My_Payment[[#This Row],[Total AMT]]/2,IF(My_Payment[[#This Row],[Payment_Code]]="P",My_Payment[[#This Row],[Total AMT]],0))</f>
        <v>1889.9945000000005</v>
      </c>
      <c r="J1037" s="39">
        <f>IF(My_Payment[[#This Row],[Payment_Code]]="S",My_Payment[[#This Row],[Total AMT]]/2,IF(My_Payment[[#This Row],[Payment_Code]]="N",My_Payment[[#This Row],[Total AMT]],0))</f>
        <v>0</v>
      </c>
    </row>
    <row r="1038" spans="1:10">
      <c r="A1038" s="38">
        <v>45675</v>
      </c>
      <c r="B1038" s="37" t="s">
        <v>348</v>
      </c>
      <c r="C1038" s="37" t="s">
        <v>209</v>
      </c>
      <c r="D1038" s="37" t="s">
        <v>81</v>
      </c>
      <c r="E1038" s="37" t="s">
        <v>211</v>
      </c>
      <c r="F1038" s="38">
        <v>45717</v>
      </c>
      <c r="G1038" s="37" t="s">
        <v>215</v>
      </c>
      <c r="H1038" s="40">
        <f t="shared" ref="H1038" si="15">699*1.07</f>
        <v>747.93000000000006</v>
      </c>
      <c r="I1038" s="39">
        <f>IF(My_Payment[[#This Row],[Payment_Code]]="S",My_Payment[[#This Row],[Total AMT]]/2,IF(My_Payment[[#This Row],[Payment_Code]]="P",My_Payment[[#This Row],[Total AMT]],0))</f>
        <v>747.93000000000006</v>
      </c>
      <c r="J1038" s="39">
        <f>IF(My_Payment[[#This Row],[Payment_Code]]="S",My_Payment[[#This Row],[Total AMT]]/2,IF(My_Payment[[#This Row],[Payment_Code]]="N",My_Payment[[#This Row],[Total AMT]],0))</f>
        <v>0</v>
      </c>
    </row>
    <row r="1039" spans="1:10">
      <c r="A1039" s="38">
        <v>45705</v>
      </c>
      <c r="B1039" s="37" t="s">
        <v>348</v>
      </c>
      <c r="C1039" s="37" t="s">
        <v>209</v>
      </c>
      <c r="D1039" s="37" t="s">
        <v>20</v>
      </c>
      <c r="E1039" s="37" t="s">
        <v>211</v>
      </c>
      <c r="F1039" s="38">
        <v>45717</v>
      </c>
      <c r="G1039" s="37" t="s">
        <v>215</v>
      </c>
      <c r="H1039" s="40">
        <f>SUM(H1036:H1038)*-0.25%</f>
        <v>-9.0504612500000015</v>
      </c>
      <c r="I1039" s="39">
        <f>IF(My_Payment[[#This Row],[Payment_Code]]="S",My_Payment[[#This Row],[Total AMT]]/2,IF(My_Payment[[#This Row],[Payment_Code]]="P",My_Payment[[#This Row],[Total AMT]],0))</f>
        <v>-9.0504612500000015</v>
      </c>
      <c r="J1039" s="39">
        <f>IF(My_Payment[[#This Row],[Payment_Code]]="S",My_Payment[[#This Row],[Total AMT]]/2,IF(My_Payment[[#This Row],[Payment_Code]]="N",My_Payment[[#This Row],[Total AMT]],0))</f>
        <v>0</v>
      </c>
    </row>
    <row r="1040" spans="1:10">
      <c r="A1040" s="38">
        <v>45708</v>
      </c>
      <c r="B1040" s="37" t="s">
        <v>348</v>
      </c>
      <c r="C1040" s="37" t="s">
        <v>209</v>
      </c>
      <c r="D1040" s="37" t="s">
        <v>48</v>
      </c>
      <c r="E1040" s="37" t="s">
        <v>211</v>
      </c>
      <c r="F1040" s="38">
        <v>45748</v>
      </c>
      <c r="G1040" s="37" t="s">
        <v>215</v>
      </c>
      <c r="H1040" s="40">
        <v>982.26</v>
      </c>
      <c r="I1040" s="39">
        <f>IF(My_Payment[[#This Row],[Payment_Code]]="S",My_Payment[[#This Row],[Total AMT]]/2,IF(My_Payment[[#This Row],[Payment_Code]]="P",My_Payment[[#This Row],[Total AMT]],0))</f>
        <v>982.26</v>
      </c>
      <c r="J1040" s="39">
        <f>IF(My_Payment[[#This Row],[Payment_Code]]="S",My_Payment[[#This Row],[Total AMT]]/2,IF(My_Payment[[#This Row],[Payment_Code]]="N",My_Payment[[#This Row],[Total AMT]],0))</f>
        <v>0</v>
      </c>
    </row>
    <row r="1041" spans="1:10">
      <c r="A1041" s="38">
        <v>45708</v>
      </c>
      <c r="B1041" s="37" t="s">
        <v>348</v>
      </c>
      <c r="C1041" s="37" t="s">
        <v>209</v>
      </c>
      <c r="D1041" s="37" t="s">
        <v>49</v>
      </c>
      <c r="E1041" s="37" t="s">
        <v>211</v>
      </c>
      <c r="F1041" s="38">
        <v>45748</v>
      </c>
      <c r="G1041" s="37" t="s">
        <v>215</v>
      </c>
      <c r="H1041" s="40">
        <f>(1412.97-268.13+155.15+466.36)*1.07</f>
        <v>1889.9945000000005</v>
      </c>
      <c r="I1041" s="39">
        <f>IF(My_Payment[[#This Row],[Payment_Code]]="S",My_Payment[[#This Row],[Total AMT]]/2,IF(My_Payment[[#This Row],[Payment_Code]]="P",My_Payment[[#This Row],[Total AMT]],0))</f>
        <v>1889.9945000000005</v>
      </c>
      <c r="J1041" s="39">
        <f>IF(My_Payment[[#This Row],[Payment_Code]]="S",My_Payment[[#This Row],[Total AMT]]/2,IF(My_Payment[[#This Row],[Payment_Code]]="N",My_Payment[[#This Row],[Total AMT]],0))</f>
        <v>0</v>
      </c>
    </row>
    <row r="1042" spans="1:10">
      <c r="A1042" s="38">
        <v>45706</v>
      </c>
      <c r="B1042" s="37" t="s">
        <v>348</v>
      </c>
      <c r="C1042" s="37" t="s">
        <v>209</v>
      </c>
      <c r="D1042" s="37" t="s">
        <v>81</v>
      </c>
      <c r="E1042" s="37" t="s">
        <v>211</v>
      </c>
      <c r="F1042" s="38">
        <v>45748</v>
      </c>
      <c r="G1042" s="37" t="s">
        <v>215</v>
      </c>
      <c r="H1042" s="40">
        <f>699*1.07</f>
        <v>747.93000000000006</v>
      </c>
      <c r="I1042" s="39">
        <f>IF(My_Payment[[#This Row],[Payment_Code]]="S",My_Payment[[#This Row],[Total AMT]]/2,IF(My_Payment[[#This Row],[Payment_Code]]="P",My_Payment[[#This Row],[Total AMT]],0))</f>
        <v>747.93000000000006</v>
      </c>
      <c r="J1042" s="39">
        <f>IF(My_Payment[[#This Row],[Payment_Code]]="S",My_Payment[[#This Row],[Total AMT]]/2,IF(My_Payment[[#This Row],[Payment_Code]]="N",My_Payment[[#This Row],[Total AMT]],0))</f>
        <v>0</v>
      </c>
    </row>
    <row r="1043" spans="1:10">
      <c r="A1043" s="38">
        <v>45733</v>
      </c>
      <c r="B1043" s="37" t="s">
        <v>348</v>
      </c>
      <c r="C1043" s="37" t="s">
        <v>209</v>
      </c>
      <c r="D1043" s="37" t="s">
        <v>20</v>
      </c>
      <c r="E1043" s="37" t="s">
        <v>211</v>
      </c>
      <c r="F1043" s="38">
        <v>45748</v>
      </c>
      <c r="G1043" s="37" t="s">
        <v>215</v>
      </c>
      <c r="H1043" s="40">
        <f>SUM(H1040:H1042)*-0.25%</f>
        <v>-9.0504612500000015</v>
      </c>
      <c r="I1043" s="39">
        <f>IF(My_Payment[[#This Row],[Payment_Code]]="S",My_Payment[[#This Row],[Total AMT]]/2,IF(My_Payment[[#This Row],[Payment_Code]]="P",My_Payment[[#This Row],[Total AMT]],0))</f>
        <v>-9.0504612500000015</v>
      </c>
      <c r="J1043" s="39">
        <f>IF(My_Payment[[#This Row],[Payment_Code]]="S",My_Payment[[#This Row],[Total AMT]]/2,IF(My_Payment[[#This Row],[Payment_Code]]="N",My_Payment[[#This Row],[Total AMT]],0))</f>
        <v>0</v>
      </c>
    </row>
    <row r="1044" spans="1:10">
      <c r="A1044" s="38">
        <v>45736</v>
      </c>
      <c r="B1044" s="37" t="s">
        <v>348</v>
      </c>
      <c r="C1044" s="37" t="s">
        <v>209</v>
      </c>
      <c r="D1044" s="37" t="s">
        <v>48</v>
      </c>
      <c r="E1044" s="37" t="s">
        <v>211</v>
      </c>
      <c r="F1044" s="38">
        <v>45778</v>
      </c>
      <c r="G1044" s="37" t="s">
        <v>215</v>
      </c>
      <c r="H1044" s="40">
        <f>(699+100+119)*1.07</f>
        <v>982.2600000000001</v>
      </c>
      <c r="I1044" s="39">
        <f>IF(My_Payment[[#This Row],[Payment_Code]]="S",My_Payment[[#This Row],[Total AMT]]/2,IF(My_Payment[[#This Row],[Payment_Code]]="P",My_Payment[[#This Row],[Total AMT]],0))</f>
        <v>982.2600000000001</v>
      </c>
      <c r="J1044" s="39">
        <f>IF(My_Payment[[#This Row],[Payment_Code]]="S",My_Payment[[#This Row],[Total AMT]]/2,IF(My_Payment[[#This Row],[Payment_Code]]="N",My_Payment[[#This Row],[Total AMT]],0))</f>
        <v>0</v>
      </c>
    </row>
    <row r="1045" spans="1:10">
      <c r="A1045" s="38">
        <v>45736</v>
      </c>
      <c r="B1045" s="37" t="s">
        <v>348</v>
      </c>
      <c r="C1045" s="37" t="s">
        <v>209</v>
      </c>
      <c r="D1045" s="37" t="s">
        <v>49</v>
      </c>
      <c r="E1045" s="37" t="s">
        <v>211</v>
      </c>
      <c r="F1045" s="38">
        <v>45778</v>
      </c>
      <c r="G1045" s="37" t="s">
        <v>215</v>
      </c>
      <c r="H1045" s="40">
        <f>(1412.97-268.13+155.15+466.36)*1.07</f>
        <v>1889.9945000000005</v>
      </c>
      <c r="I1045" s="39">
        <f>IF(My_Payment[[#This Row],[Payment_Code]]="S",My_Payment[[#This Row],[Total AMT]]/2,IF(My_Payment[[#This Row],[Payment_Code]]="P",My_Payment[[#This Row],[Total AMT]],0))</f>
        <v>1889.9945000000005</v>
      </c>
      <c r="J1045" s="39">
        <f>IF(My_Payment[[#This Row],[Payment_Code]]="S",My_Payment[[#This Row],[Total AMT]]/2,IF(My_Payment[[#This Row],[Payment_Code]]="N",My_Payment[[#This Row],[Total AMT]],0))</f>
        <v>0</v>
      </c>
    </row>
    <row r="1046" spans="1:10">
      <c r="A1046" s="38">
        <v>45734</v>
      </c>
      <c r="B1046" s="37" t="s">
        <v>348</v>
      </c>
      <c r="C1046" s="37" t="s">
        <v>209</v>
      </c>
      <c r="D1046" s="37" t="s">
        <v>81</v>
      </c>
      <c r="E1046" s="37" t="s">
        <v>211</v>
      </c>
      <c r="F1046" s="38">
        <v>45778</v>
      </c>
      <c r="G1046" s="37" t="s">
        <v>215</v>
      </c>
      <c r="H1046" s="40">
        <f>699*1.07</f>
        <v>747.93000000000006</v>
      </c>
      <c r="I1046" s="39">
        <f>IF(My_Payment[[#This Row],[Payment_Code]]="S",My_Payment[[#This Row],[Total AMT]]/2,IF(My_Payment[[#This Row],[Payment_Code]]="P",My_Payment[[#This Row],[Total AMT]],0))</f>
        <v>747.93000000000006</v>
      </c>
      <c r="J1046" s="39">
        <f>IF(My_Payment[[#This Row],[Payment_Code]]="S",My_Payment[[#This Row],[Total AMT]]/2,IF(My_Payment[[#This Row],[Payment_Code]]="N",My_Payment[[#This Row],[Total AMT]],0))</f>
        <v>0</v>
      </c>
    </row>
    <row r="1047" spans="1:10">
      <c r="A1047" s="38">
        <v>45764</v>
      </c>
      <c r="B1047" s="37" t="s">
        <v>348</v>
      </c>
      <c r="C1047" s="37" t="s">
        <v>209</v>
      </c>
      <c r="D1047" s="37" t="s">
        <v>20</v>
      </c>
      <c r="E1047" s="37" t="s">
        <v>211</v>
      </c>
      <c r="F1047" s="38">
        <v>45778</v>
      </c>
      <c r="G1047" s="37" t="s">
        <v>215</v>
      </c>
      <c r="H1047" s="40">
        <f>SUM(H1044:H1046)*-0.25%</f>
        <v>-9.0504612500000015</v>
      </c>
      <c r="I1047" s="39">
        <f>IF(My_Payment[[#This Row],[Payment_Code]]="S",My_Payment[[#This Row],[Total AMT]]/2,IF(My_Payment[[#This Row],[Payment_Code]]="P",My_Payment[[#This Row],[Total AMT]],0))</f>
        <v>-9.0504612500000015</v>
      </c>
      <c r="J1047" s="39">
        <f>IF(My_Payment[[#This Row],[Payment_Code]]="S",My_Payment[[#This Row],[Total AMT]]/2,IF(My_Payment[[#This Row],[Payment_Code]]="N",My_Payment[[#This Row],[Total AMT]],0))</f>
        <v>0</v>
      </c>
    </row>
    <row r="1048" spans="1:10">
      <c r="A1048" s="38">
        <v>45767</v>
      </c>
      <c r="B1048" s="37" t="s">
        <v>348</v>
      </c>
      <c r="C1048" s="37" t="s">
        <v>209</v>
      </c>
      <c r="D1048" s="37" t="s">
        <v>48</v>
      </c>
      <c r="E1048" s="37" t="s">
        <v>211</v>
      </c>
      <c r="F1048" s="38">
        <v>45809</v>
      </c>
      <c r="G1048" s="37" t="s">
        <v>215</v>
      </c>
      <c r="H1048" s="40">
        <f>(699+100+119)*1.07</f>
        <v>982.2600000000001</v>
      </c>
      <c r="I1048" s="39">
        <f>IF(My_Payment[[#This Row],[Payment_Code]]="S",My_Payment[[#This Row],[Total AMT]]/2,IF(My_Payment[[#This Row],[Payment_Code]]="P",My_Payment[[#This Row],[Total AMT]],0))</f>
        <v>982.2600000000001</v>
      </c>
      <c r="J1048" s="39">
        <f>IF(My_Payment[[#This Row],[Payment_Code]]="S",My_Payment[[#This Row],[Total AMT]]/2,IF(My_Payment[[#This Row],[Payment_Code]]="N",My_Payment[[#This Row],[Total AMT]],0))</f>
        <v>0</v>
      </c>
    </row>
    <row r="1049" spans="1:10">
      <c r="A1049" s="38">
        <v>45767</v>
      </c>
      <c r="B1049" s="37" t="s">
        <v>348</v>
      </c>
      <c r="C1049" s="37" t="s">
        <v>209</v>
      </c>
      <c r="D1049" s="37" t="s">
        <v>49</v>
      </c>
      <c r="E1049" s="37" t="s">
        <v>211</v>
      </c>
      <c r="F1049" s="38">
        <v>45809</v>
      </c>
      <c r="G1049" s="37" t="s">
        <v>215</v>
      </c>
      <c r="H1049" s="40">
        <f>(1412.97-268.13+155.15+466.36)*1.07</f>
        <v>1889.9945000000005</v>
      </c>
      <c r="I1049" s="39">
        <f>IF(My_Payment[[#This Row],[Payment_Code]]="S",My_Payment[[#This Row],[Total AMT]]/2,IF(My_Payment[[#This Row],[Payment_Code]]="P",My_Payment[[#This Row],[Total AMT]],0))</f>
        <v>1889.9945000000005</v>
      </c>
      <c r="J1049" s="39">
        <f>IF(My_Payment[[#This Row],[Payment_Code]]="S",My_Payment[[#This Row],[Total AMT]]/2,IF(My_Payment[[#This Row],[Payment_Code]]="N",My_Payment[[#This Row],[Total AMT]],0))</f>
        <v>0</v>
      </c>
    </row>
    <row r="1050" spans="1:10">
      <c r="A1050" s="38">
        <v>45765</v>
      </c>
      <c r="B1050" s="37" t="s">
        <v>348</v>
      </c>
      <c r="C1050" s="37" t="s">
        <v>209</v>
      </c>
      <c r="D1050" s="37" t="s">
        <v>81</v>
      </c>
      <c r="E1050" s="37" t="s">
        <v>211</v>
      </c>
      <c r="F1050" s="38">
        <v>45809</v>
      </c>
      <c r="G1050" s="37" t="s">
        <v>215</v>
      </c>
      <c r="H1050" s="40">
        <f>699*1.07</f>
        <v>747.93000000000006</v>
      </c>
      <c r="I1050" s="39">
        <f>IF(My_Payment[[#This Row],[Payment_Code]]="S",My_Payment[[#This Row],[Total AMT]]/2,IF(My_Payment[[#This Row],[Payment_Code]]="P",My_Payment[[#This Row],[Total AMT]],0))</f>
        <v>747.93000000000006</v>
      </c>
      <c r="J1050" s="39">
        <f>IF(My_Payment[[#This Row],[Payment_Code]]="S",My_Payment[[#This Row],[Total AMT]]/2,IF(My_Payment[[#This Row],[Payment_Code]]="N",My_Payment[[#This Row],[Total AMT]],0))</f>
        <v>0</v>
      </c>
    </row>
    <row r="1051" spans="1:10">
      <c r="A1051" s="38">
        <v>45794</v>
      </c>
      <c r="B1051" s="37" t="s">
        <v>348</v>
      </c>
      <c r="C1051" s="37" t="s">
        <v>209</v>
      </c>
      <c r="D1051" s="37" t="s">
        <v>20</v>
      </c>
      <c r="E1051" s="37" t="s">
        <v>211</v>
      </c>
      <c r="F1051" s="38">
        <v>45809</v>
      </c>
      <c r="G1051" s="37" t="s">
        <v>215</v>
      </c>
      <c r="H1051" s="40">
        <f>SUM(H1048:H1050)*-0.25%</f>
        <v>-9.0504612500000015</v>
      </c>
      <c r="I1051" s="39">
        <f>IF(My_Payment[[#This Row],[Payment_Code]]="S",My_Payment[[#This Row],[Total AMT]]/2,IF(My_Payment[[#This Row],[Payment_Code]]="P",My_Payment[[#This Row],[Total AMT]],0))</f>
        <v>-9.0504612500000015</v>
      </c>
      <c r="J1051" s="39">
        <f>IF(My_Payment[[#This Row],[Payment_Code]]="S",My_Payment[[#This Row],[Total AMT]]/2,IF(My_Payment[[#This Row],[Payment_Code]]="N",My_Payment[[#This Row],[Total AMT]],0))</f>
        <v>0</v>
      </c>
    </row>
    <row r="1052" spans="1:10">
      <c r="A1052" s="38">
        <v>45797</v>
      </c>
      <c r="B1052" s="37" t="s">
        <v>348</v>
      </c>
      <c r="C1052" s="37" t="s">
        <v>209</v>
      </c>
      <c r="D1052" s="37" t="s">
        <v>48</v>
      </c>
      <c r="E1052" s="37" t="s">
        <v>211</v>
      </c>
      <c r="F1052" s="38">
        <v>45839</v>
      </c>
      <c r="G1052" s="37" t="s">
        <v>215</v>
      </c>
      <c r="H1052" s="40">
        <f>(699+100+119)*1.07</f>
        <v>982.2600000000001</v>
      </c>
      <c r="I1052" s="39">
        <f>IF(My_Payment[[#This Row],[Payment_Code]]="S",My_Payment[[#This Row],[Total AMT]]/2,IF(My_Payment[[#This Row],[Payment_Code]]="P",My_Payment[[#This Row],[Total AMT]],0))</f>
        <v>982.2600000000001</v>
      </c>
      <c r="J1052" s="39">
        <f>IF(My_Payment[[#This Row],[Payment_Code]]="S",My_Payment[[#This Row],[Total AMT]]/2,IF(My_Payment[[#This Row],[Payment_Code]]="N",My_Payment[[#This Row],[Total AMT]],0))</f>
        <v>0</v>
      </c>
    </row>
    <row r="1053" spans="1:10">
      <c r="A1053" s="38">
        <v>45797</v>
      </c>
      <c r="B1053" s="37" t="s">
        <v>348</v>
      </c>
      <c r="C1053" s="37" t="s">
        <v>209</v>
      </c>
      <c r="D1053" s="37" t="s">
        <v>49</v>
      </c>
      <c r="E1053" s="37" t="s">
        <v>211</v>
      </c>
      <c r="F1053" s="38">
        <v>45839</v>
      </c>
      <c r="G1053" s="37" t="s">
        <v>215</v>
      </c>
      <c r="H1053" s="40">
        <f>(1412.97-268.13+155.15+466.36)*1.07</f>
        <v>1889.9945000000005</v>
      </c>
      <c r="I1053" s="39">
        <f>IF(My_Payment[[#This Row],[Payment_Code]]="S",My_Payment[[#This Row],[Total AMT]]/2,IF(My_Payment[[#This Row],[Payment_Code]]="P",My_Payment[[#This Row],[Total AMT]],0))</f>
        <v>1889.9945000000005</v>
      </c>
      <c r="J1053" s="39">
        <f>IF(My_Payment[[#This Row],[Payment_Code]]="S",My_Payment[[#This Row],[Total AMT]]/2,IF(My_Payment[[#This Row],[Payment_Code]]="N",My_Payment[[#This Row],[Total AMT]],0))</f>
        <v>0</v>
      </c>
    </row>
    <row r="1054" spans="1:10">
      <c r="A1054" s="38">
        <v>45795</v>
      </c>
      <c r="B1054" s="37" t="s">
        <v>348</v>
      </c>
      <c r="C1054" s="37" t="s">
        <v>209</v>
      </c>
      <c r="D1054" s="37" t="s">
        <v>81</v>
      </c>
      <c r="E1054" s="37" t="s">
        <v>211</v>
      </c>
      <c r="F1054" s="38">
        <v>45839</v>
      </c>
      <c r="G1054" s="37" t="s">
        <v>215</v>
      </c>
      <c r="H1054" s="40">
        <f>499*1.07</f>
        <v>533.93000000000006</v>
      </c>
      <c r="I1054" s="39">
        <f>IF(My_Payment[[#This Row],[Payment_Code]]="S",My_Payment[[#This Row],[Total AMT]]/2,IF(My_Payment[[#This Row],[Payment_Code]]="P",My_Payment[[#This Row],[Total AMT]],0))</f>
        <v>533.93000000000006</v>
      </c>
      <c r="J1054" s="39">
        <f>IF(My_Payment[[#This Row],[Payment_Code]]="S",My_Payment[[#This Row],[Total AMT]]/2,IF(My_Payment[[#This Row],[Payment_Code]]="N",My_Payment[[#This Row],[Total AMT]],0))</f>
        <v>0</v>
      </c>
    </row>
    <row r="1055" spans="1:10">
      <c r="A1055" s="38">
        <v>45825</v>
      </c>
      <c r="B1055" s="37" t="s">
        <v>348</v>
      </c>
      <c r="C1055" s="37" t="s">
        <v>209</v>
      </c>
      <c r="D1055" s="37" t="s">
        <v>20</v>
      </c>
      <c r="E1055" s="37" t="s">
        <v>211</v>
      </c>
      <c r="F1055" s="38">
        <v>45839</v>
      </c>
      <c r="G1055" s="37" t="s">
        <v>215</v>
      </c>
      <c r="H1055" s="40">
        <f>SUM(H1052:H1054)*-0.25%</f>
        <v>-8.5154612500000013</v>
      </c>
      <c r="I1055" s="39">
        <f>IF(My_Payment[[#This Row],[Payment_Code]]="S",My_Payment[[#This Row],[Total AMT]]/2,IF(My_Payment[[#This Row],[Payment_Code]]="P",My_Payment[[#This Row],[Total AMT]],0))</f>
        <v>-8.5154612500000013</v>
      </c>
      <c r="J1055" s="39">
        <f>IF(My_Payment[[#This Row],[Payment_Code]]="S",My_Payment[[#This Row],[Total AMT]]/2,IF(My_Payment[[#This Row],[Payment_Code]]="N",My_Payment[[#This Row],[Total AMT]],0))</f>
        <v>0</v>
      </c>
    </row>
    <row r="1056" spans="1:10">
      <c r="A1056" s="38">
        <v>45828</v>
      </c>
      <c r="B1056" s="37" t="s">
        <v>348</v>
      </c>
      <c r="C1056" s="37" t="s">
        <v>209</v>
      </c>
      <c r="D1056" s="37" t="s">
        <v>48</v>
      </c>
      <c r="E1056" s="37" t="s">
        <v>211</v>
      </c>
      <c r="F1056" s="38">
        <v>45870</v>
      </c>
      <c r="G1056" s="37" t="s">
        <v>215</v>
      </c>
      <c r="H1056" s="40">
        <f>(699+100+119)*1.07</f>
        <v>982.2600000000001</v>
      </c>
      <c r="I1056" s="39">
        <f>IF(My_Payment[[#This Row],[Payment_Code]]="S",My_Payment[[#This Row],[Total AMT]]/2,IF(My_Payment[[#This Row],[Payment_Code]]="P",My_Payment[[#This Row],[Total AMT]],0))</f>
        <v>982.2600000000001</v>
      </c>
      <c r="J1056" s="39">
        <f>IF(My_Payment[[#This Row],[Payment_Code]]="S",My_Payment[[#This Row],[Total AMT]]/2,IF(My_Payment[[#This Row],[Payment_Code]]="N",My_Payment[[#This Row],[Total AMT]],0))</f>
        <v>0</v>
      </c>
    </row>
    <row r="1057" spans="1:10">
      <c r="A1057" s="38">
        <v>45828</v>
      </c>
      <c r="B1057" s="37" t="s">
        <v>348</v>
      </c>
      <c r="C1057" s="37" t="s">
        <v>209</v>
      </c>
      <c r="D1057" s="37" t="s">
        <v>49</v>
      </c>
      <c r="E1057" s="37" t="s">
        <v>211</v>
      </c>
      <c r="F1057" s="38">
        <v>45870</v>
      </c>
      <c r="G1057" s="37" t="s">
        <v>215</v>
      </c>
      <c r="H1057" s="40">
        <f>(1412.97-268.13+155.15-15.04)*1.07</f>
        <v>1374.8965000000003</v>
      </c>
      <c r="I1057" s="39">
        <f>IF(My_Payment[[#This Row],[Payment_Code]]="S",My_Payment[[#This Row],[Total AMT]]/2,IF(My_Payment[[#This Row],[Payment_Code]]="P",My_Payment[[#This Row],[Total AMT]],0))</f>
        <v>1374.8965000000003</v>
      </c>
      <c r="J1057" s="39">
        <f>IF(My_Payment[[#This Row],[Payment_Code]]="S",My_Payment[[#This Row],[Total AMT]]/2,IF(My_Payment[[#This Row],[Payment_Code]]="N",My_Payment[[#This Row],[Total AMT]],0))</f>
        <v>0</v>
      </c>
    </row>
    <row r="1058" spans="1:10">
      <c r="A1058" s="38">
        <v>45826</v>
      </c>
      <c r="B1058" s="37" t="s">
        <v>348</v>
      </c>
      <c r="C1058" s="37" t="s">
        <v>209</v>
      </c>
      <c r="D1058" s="37" t="s">
        <v>81</v>
      </c>
      <c r="E1058" s="37" t="s">
        <v>211</v>
      </c>
      <c r="F1058" s="38">
        <v>45870</v>
      </c>
      <c r="G1058" s="37" t="s">
        <v>215</v>
      </c>
      <c r="H1058" s="40">
        <f>499*1.07</f>
        <v>533.93000000000006</v>
      </c>
      <c r="I1058" s="39">
        <f>IF(My_Payment[[#This Row],[Payment_Code]]="S",My_Payment[[#This Row],[Total AMT]]/2,IF(My_Payment[[#This Row],[Payment_Code]]="P",My_Payment[[#This Row],[Total AMT]],0))</f>
        <v>533.93000000000006</v>
      </c>
      <c r="J1058" s="39">
        <f>IF(My_Payment[[#This Row],[Payment_Code]]="S",My_Payment[[#This Row],[Total AMT]]/2,IF(My_Payment[[#This Row],[Payment_Code]]="N",My_Payment[[#This Row],[Total AMT]],0))</f>
        <v>0</v>
      </c>
    </row>
    <row r="1059" spans="1:10">
      <c r="A1059" s="38">
        <v>45855</v>
      </c>
      <c r="B1059" s="37" t="s">
        <v>348</v>
      </c>
      <c r="C1059" s="37" t="s">
        <v>209</v>
      </c>
      <c r="D1059" s="37" t="s">
        <v>20</v>
      </c>
      <c r="E1059" s="37" t="s">
        <v>211</v>
      </c>
      <c r="F1059" s="38">
        <v>45870</v>
      </c>
      <c r="G1059" s="37" t="s">
        <v>215</v>
      </c>
      <c r="H1059" s="40">
        <f>SUM(H1056:H1058)*-0.25%+0.01</f>
        <v>-7.2177162500000014</v>
      </c>
      <c r="I1059" s="39">
        <f>IF(My_Payment[[#This Row],[Payment_Code]]="S",My_Payment[[#This Row],[Total AMT]]/2,IF(My_Payment[[#This Row],[Payment_Code]]="P",My_Payment[[#This Row],[Total AMT]],0))</f>
        <v>-7.2177162500000014</v>
      </c>
      <c r="J1059" s="39">
        <f>IF(My_Payment[[#This Row],[Payment_Code]]="S",My_Payment[[#This Row],[Total AMT]]/2,IF(My_Payment[[#This Row],[Payment_Code]]="N",My_Payment[[#This Row],[Total AMT]],0))</f>
        <v>0</v>
      </c>
    </row>
    <row r="1060" spans="1:10">
      <c r="A1060" s="38">
        <v>45858</v>
      </c>
      <c r="B1060" s="37" t="s">
        <v>348</v>
      </c>
      <c r="C1060" s="37" t="s">
        <v>209</v>
      </c>
      <c r="D1060" s="37" t="s">
        <v>48</v>
      </c>
      <c r="E1060" s="37" t="s">
        <v>211</v>
      </c>
      <c r="F1060" s="38">
        <v>45901</v>
      </c>
      <c r="G1060" s="37" t="s">
        <v>215</v>
      </c>
      <c r="H1060" s="40">
        <f>(699+100+119)*1.07</f>
        <v>982.2600000000001</v>
      </c>
      <c r="I1060" s="39">
        <f>IF(My_Payment[[#This Row],[Payment_Code]]="S",My_Payment[[#This Row],[Total AMT]]/2,IF(My_Payment[[#This Row],[Payment_Code]]="P",My_Payment[[#This Row],[Total AMT]],0))</f>
        <v>982.2600000000001</v>
      </c>
      <c r="J1060" s="39">
        <f>IF(My_Payment[[#This Row],[Payment_Code]]="S",My_Payment[[#This Row],[Total AMT]]/2,IF(My_Payment[[#This Row],[Payment_Code]]="N",My_Payment[[#This Row],[Total AMT]],0))</f>
        <v>0</v>
      </c>
    </row>
    <row r="1061" spans="1:10">
      <c r="A1061" s="38">
        <v>45858</v>
      </c>
      <c r="B1061" s="37" t="s">
        <v>348</v>
      </c>
      <c r="C1061" s="37" t="s">
        <v>209</v>
      </c>
      <c r="D1061" s="37" t="s">
        <v>49</v>
      </c>
      <c r="E1061" s="37" t="s">
        <v>211</v>
      </c>
      <c r="F1061" s="38">
        <v>45901</v>
      </c>
      <c r="G1061" s="37" t="s">
        <v>215</v>
      </c>
      <c r="H1061" s="40">
        <f>(1412.97-268.12+155.15)*1.07</f>
        <v>1391</v>
      </c>
      <c r="I1061" s="39">
        <f>IF(My_Payment[[#This Row],[Payment_Code]]="S",My_Payment[[#This Row],[Total AMT]]/2,IF(My_Payment[[#This Row],[Payment_Code]]="P",My_Payment[[#This Row],[Total AMT]],0))</f>
        <v>1391</v>
      </c>
      <c r="J1061" s="39">
        <f>IF(My_Payment[[#This Row],[Payment_Code]]="S",My_Payment[[#This Row],[Total AMT]]/2,IF(My_Payment[[#This Row],[Payment_Code]]="N",My_Payment[[#This Row],[Total AMT]],0))</f>
        <v>0</v>
      </c>
    </row>
    <row r="1062" spans="1:10">
      <c r="A1062" s="38">
        <v>45856</v>
      </c>
      <c r="B1062" s="37" t="s">
        <v>348</v>
      </c>
      <c r="C1062" s="37" t="s">
        <v>209</v>
      </c>
      <c r="D1062" s="37" t="s">
        <v>81</v>
      </c>
      <c r="E1062" s="37" t="s">
        <v>211</v>
      </c>
      <c r="F1062" s="38">
        <v>45901</v>
      </c>
      <c r="G1062" s="37" t="s">
        <v>215</v>
      </c>
      <c r="H1062" s="40">
        <v>516.09</v>
      </c>
      <c r="I1062" s="39">
        <f>IF(My_Payment[[#This Row],[Payment_Code]]="S",My_Payment[[#This Row],[Total AMT]]/2,IF(My_Payment[[#This Row],[Payment_Code]]="P",My_Payment[[#This Row],[Total AMT]],0))</f>
        <v>516.09</v>
      </c>
      <c r="J1062" s="39">
        <f>IF(My_Payment[[#This Row],[Payment_Code]]="S",My_Payment[[#This Row],[Total AMT]]/2,IF(My_Payment[[#This Row],[Payment_Code]]="N",My_Payment[[#This Row],[Total AMT]],0))</f>
        <v>0</v>
      </c>
    </row>
    <row r="1063" spans="1:10">
      <c r="A1063" s="38">
        <v>45886</v>
      </c>
      <c r="B1063" s="37" t="s">
        <v>348</v>
      </c>
      <c r="C1063" s="37" t="s">
        <v>209</v>
      </c>
      <c r="D1063" s="37" t="s">
        <v>20</v>
      </c>
      <c r="E1063" s="37" t="s">
        <v>211</v>
      </c>
      <c r="F1063" s="38">
        <v>45901</v>
      </c>
      <c r="G1063" s="37" t="s">
        <v>215</v>
      </c>
      <c r="H1063" s="40">
        <f>SUM(H1060:H1062)*-0.25%</f>
        <v>-7.2233750000000008</v>
      </c>
      <c r="I1063" s="39">
        <f>IF(My_Payment[[#This Row],[Payment_Code]]="S",My_Payment[[#This Row],[Total AMT]]/2,IF(My_Payment[[#This Row],[Payment_Code]]="P",My_Payment[[#This Row],[Total AMT]],0))</f>
        <v>-7.2233750000000008</v>
      </c>
      <c r="J1063" s="39">
        <f>IF(My_Payment[[#This Row],[Payment_Code]]="S",My_Payment[[#This Row],[Total AMT]]/2,IF(My_Payment[[#This Row],[Payment_Code]]="N",My_Payment[[#This Row],[Total AMT]],0))</f>
        <v>0</v>
      </c>
    </row>
    <row r="1064" spans="1:10">
      <c r="A1064" s="38">
        <v>45889</v>
      </c>
      <c r="B1064" s="37" t="s">
        <v>348</v>
      </c>
      <c r="C1064" s="37" t="s">
        <v>209</v>
      </c>
      <c r="D1064" s="37" t="s">
        <v>48</v>
      </c>
      <c r="E1064" s="37" t="s">
        <v>211</v>
      </c>
      <c r="F1064" s="38">
        <v>45931</v>
      </c>
      <c r="G1064" s="37" t="s">
        <v>215</v>
      </c>
      <c r="H1064" s="40">
        <f>(699+100+119)*1.07</f>
        <v>982.2600000000001</v>
      </c>
      <c r="I1064" s="39">
        <f>IF(My_Payment[[#This Row],[Payment_Code]]="S",My_Payment[[#This Row],[Total AMT]]/2,IF(My_Payment[[#This Row],[Payment_Code]]="P",My_Payment[[#This Row],[Total AMT]],0))</f>
        <v>982.2600000000001</v>
      </c>
      <c r="J1064" s="39">
        <f>IF(My_Payment[[#This Row],[Payment_Code]]="S",My_Payment[[#This Row],[Total AMT]]/2,IF(My_Payment[[#This Row],[Payment_Code]]="N",My_Payment[[#This Row],[Total AMT]],0))</f>
        <v>0</v>
      </c>
    </row>
    <row r="1065" spans="1:10">
      <c r="A1065" s="38">
        <v>45889</v>
      </c>
      <c r="B1065" s="37" t="s">
        <v>348</v>
      </c>
      <c r="C1065" s="37" t="s">
        <v>209</v>
      </c>
      <c r="D1065" s="37" t="s">
        <v>49</v>
      </c>
      <c r="E1065" s="37" t="s">
        <v>211</v>
      </c>
      <c r="F1065" s="38">
        <v>45931</v>
      </c>
      <c r="G1065" s="37" t="s">
        <v>215</v>
      </c>
      <c r="H1065" s="40">
        <f>(1412.97-268.12+155.15)*1.07</f>
        <v>1391</v>
      </c>
      <c r="I1065" s="39">
        <f>IF(My_Payment[[#This Row],[Payment_Code]]="S",My_Payment[[#This Row],[Total AMT]]/2,IF(My_Payment[[#This Row],[Payment_Code]]="P",My_Payment[[#This Row],[Total AMT]],0))</f>
        <v>1391</v>
      </c>
      <c r="J1065" s="39">
        <f>IF(My_Payment[[#This Row],[Payment_Code]]="S",My_Payment[[#This Row],[Total AMT]]/2,IF(My_Payment[[#This Row],[Payment_Code]]="N",My_Payment[[#This Row],[Total AMT]],0))</f>
        <v>0</v>
      </c>
    </row>
    <row r="1066" spans="1:10">
      <c r="A1066" s="38">
        <v>45887</v>
      </c>
      <c r="B1066" s="37" t="s">
        <v>348</v>
      </c>
      <c r="C1066" s="37" t="s">
        <v>209</v>
      </c>
      <c r="D1066" s="37" t="s">
        <v>81</v>
      </c>
      <c r="E1066" s="37" t="s">
        <v>211</v>
      </c>
      <c r="F1066" s="38">
        <v>45931</v>
      </c>
      <c r="G1066" s="37" t="s">
        <v>215</v>
      </c>
      <c r="H1066" s="40">
        <f>499*1.07</f>
        <v>533.93000000000006</v>
      </c>
      <c r="I1066" s="39">
        <f>IF(My_Payment[[#This Row],[Payment_Code]]="S",My_Payment[[#This Row],[Total AMT]]/2,IF(My_Payment[[#This Row],[Payment_Code]]="P",My_Payment[[#This Row],[Total AMT]],0))</f>
        <v>533.93000000000006</v>
      </c>
      <c r="J1066" s="39">
        <f>IF(My_Payment[[#This Row],[Payment_Code]]="S",My_Payment[[#This Row],[Total AMT]]/2,IF(My_Payment[[#This Row],[Payment_Code]]="N",My_Payment[[#This Row],[Total AMT]],0))</f>
        <v>0</v>
      </c>
    </row>
    <row r="1067" spans="1:10">
      <c r="A1067" s="38">
        <v>45917</v>
      </c>
      <c r="B1067" s="37" t="s">
        <v>348</v>
      </c>
      <c r="C1067" s="37" t="s">
        <v>209</v>
      </c>
      <c r="D1067" s="37" t="s">
        <v>20</v>
      </c>
      <c r="E1067" s="37" t="s">
        <v>211</v>
      </c>
      <c r="F1067" s="38">
        <v>45931</v>
      </c>
      <c r="G1067" s="37" t="s">
        <v>215</v>
      </c>
      <c r="H1067" s="40">
        <f>SUM(H1064:H1066)*-0.25%+0.01</f>
        <v>-7.2579750000000018</v>
      </c>
      <c r="I1067" s="39">
        <f>IF(My_Payment[[#This Row],[Payment_Code]]="S",My_Payment[[#This Row],[Total AMT]]/2,IF(My_Payment[[#This Row],[Payment_Code]]="P",My_Payment[[#This Row],[Total AMT]],0))</f>
        <v>-7.2579750000000018</v>
      </c>
      <c r="J1067" s="39">
        <f>IF(My_Payment[[#This Row],[Payment_Code]]="S",My_Payment[[#This Row],[Total AMT]]/2,IF(My_Payment[[#This Row],[Payment_Code]]="N",My_Payment[[#This Row],[Total AMT]],0))</f>
        <v>0</v>
      </c>
    </row>
    <row r="1068" spans="1:10">
      <c r="A1068" s="38">
        <v>45920</v>
      </c>
      <c r="B1068" s="37" t="s">
        <v>348</v>
      </c>
      <c r="C1068" s="37" t="s">
        <v>209</v>
      </c>
      <c r="D1068" s="37" t="s">
        <v>48</v>
      </c>
      <c r="E1068" s="37" t="s">
        <v>211</v>
      </c>
      <c r="F1068" s="38">
        <v>45962</v>
      </c>
      <c r="G1068" s="37" t="s">
        <v>215</v>
      </c>
      <c r="H1068" s="40">
        <f>(699+100+119)*1.07</f>
        <v>982.2600000000001</v>
      </c>
      <c r="I1068" s="39">
        <f>IF(My_Payment[[#This Row],[Payment_Code]]="S",My_Payment[[#This Row],[Total AMT]]/2,IF(My_Payment[[#This Row],[Payment_Code]]="P",My_Payment[[#This Row],[Total AMT]],0))</f>
        <v>982.2600000000001</v>
      </c>
      <c r="J1068" s="39">
        <f>IF(My_Payment[[#This Row],[Payment_Code]]="S",My_Payment[[#This Row],[Total AMT]]/2,IF(My_Payment[[#This Row],[Payment_Code]]="N",My_Payment[[#This Row],[Total AMT]],0))</f>
        <v>0</v>
      </c>
    </row>
    <row r="1069" spans="1:10">
      <c r="A1069" s="38">
        <v>45920</v>
      </c>
      <c r="B1069" s="37" t="s">
        <v>348</v>
      </c>
      <c r="C1069" s="37" t="s">
        <v>209</v>
      </c>
      <c r="D1069" s="37" t="s">
        <v>49</v>
      </c>
      <c r="E1069" s="37" t="s">
        <v>211</v>
      </c>
      <c r="F1069" s="38">
        <v>45962</v>
      </c>
      <c r="G1069" s="37" t="s">
        <v>215</v>
      </c>
      <c r="H1069" s="40">
        <f>(1412.97-268.12+155.15)*1.07</f>
        <v>1391</v>
      </c>
      <c r="I1069" s="39">
        <f>IF(My_Payment[[#This Row],[Payment_Code]]="S",My_Payment[[#This Row],[Total AMT]]/2,IF(My_Payment[[#This Row],[Payment_Code]]="P",My_Payment[[#This Row],[Total AMT]],0))</f>
        <v>1391</v>
      </c>
      <c r="J1069" s="39">
        <f>IF(My_Payment[[#This Row],[Payment_Code]]="S",My_Payment[[#This Row],[Total AMT]]/2,IF(My_Payment[[#This Row],[Payment_Code]]="N",My_Payment[[#This Row],[Total AMT]],0))</f>
        <v>0</v>
      </c>
    </row>
    <row r="1070" spans="1:10">
      <c r="A1070" s="38">
        <v>45918</v>
      </c>
      <c r="B1070" s="37" t="s">
        <v>348</v>
      </c>
      <c r="C1070" s="37" t="s">
        <v>209</v>
      </c>
      <c r="D1070" s="37" t="s">
        <v>81</v>
      </c>
      <c r="E1070" s="37" t="s">
        <v>211</v>
      </c>
      <c r="F1070" s="38">
        <v>45962</v>
      </c>
      <c r="G1070" s="37" t="s">
        <v>215</v>
      </c>
      <c r="H1070" s="40">
        <f>499*1.07</f>
        <v>533.93000000000006</v>
      </c>
      <c r="I1070" s="39">
        <f>IF(My_Payment[[#This Row],[Payment_Code]]="S",My_Payment[[#This Row],[Total AMT]]/2,IF(My_Payment[[#This Row],[Payment_Code]]="P",My_Payment[[#This Row],[Total AMT]],0))</f>
        <v>533.93000000000006</v>
      </c>
      <c r="J1070" s="39">
        <f>IF(My_Payment[[#This Row],[Payment_Code]]="S",My_Payment[[#This Row],[Total AMT]]/2,IF(My_Payment[[#This Row],[Payment_Code]]="N",My_Payment[[#This Row],[Total AMT]],0))</f>
        <v>0</v>
      </c>
    </row>
    <row r="1071" spans="1:10">
      <c r="A1071" s="38">
        <v>45947</v>
      </c>
      <c r="B1071" s="37" t="s">
        <v>348</v>
      </c>
      <c r="C1071" s="37" t="s">
        <v>209</v>
      </c>
      <c r="D1071" s="37" t="s">
        <v>20</v>
      </c>
      <c r="E1071" s="37" t="s">
        <v>211</v>
      </c>
      <c r="F1071" s="38">
        <v>45962</v>
      </c>
      <c r="G1071" s="37" t="s">
        <v>215</v>
      </c>
      <c r="H1071" s="40">
        <f>SUM(H1068:H1070)*-0.25%+0.01</f>
        <v>-7.2579750000000018</v>
      </c>
      <c r="I1071" s="39">
        <f>IF(My_Payment[[#This Row],[Payment_Code]]="S",My_Payment[[#This Row],[Total AMT]]/2,IF(My_Payment[[#This Row],[Payment_Code]]="P",My_Payment[[#This Row],[Total AMT]],0))</f>
        <v>-7.2579750000000018</v>
      </c>
      <c r="J1071" s="39">
        <f>IF(My_Payment[[#This Row],[Payment_Code]]="S",My_Payment[[#This Row],[Total AMT]]/2,IF(My_Payment[[#This Row],[Payment_Code]]="N",My_Payment[[#This Row],[Total AMT]],0))</f>
        <v>0</v>
      </c>
    </row>
    <row r="1072" spans="1:10">
      <c r="A1072" s="38">
        <v>45950</v>
      </c>
      <c r="B1072" s="37" t="s">
        <v>348</v>
      </c>
      <c r="C1072" s="37" t="s">
        <v>209</v>
      </c>
      <c r="D1072" s="37" t="s">
        <v>48</v>
      </c>
      <c r="E1072" s="37" t="s">
        <v>211</v>
      </c>
      <c r="F1072" s="38">
        <v>45992</v>
      </c>
      <c r="G1072" s="37" t="s">
        <v>215</v>
      </c>
      <c r="H1072" s="40">
        <f>(699-71.4+100-100)*1.07</f>
        <v>671.53200000000004</v>
      </c>
      <c r="I1072" s="39">
        <f>IF(My_Payment[[#This Row],[Payment_Code]]="S",My_Payment[[#This Row],[Total AMT]]/2,IF(My_Payment[[#This Row],[Payment_Code]]="P",My_Payment[[#This Row],[Total AMT]],0))</f>
        <v>671.53200000000004</v>
      </c>
      <c r="J1072" s="39">
        <f>IF(My_Payment[[#This Row],[Payment_Code]]="S",My_Payment[[#This Row],[Total AMT]]/2,IF(My_Payment[[#This Row],[Payment_Code]]="N",My_Payment[[#This Row],[Total AMT]],0))</f>
        <v>0</v>
      </c>
    </row>
    <row r="1073" spans="1:10">
      <c r="A1073" s="38">
        <v>45950</v>
      </c>
      <c r="B1073" s="37" t="s">
        <v>348</v>
      </c>
      <c r="C1073" s="37" t="s">
        <v>209</v>
      </c>
      <c r="D1073" s="37" t="s">
        <v>49</v>
      </c>
      <c r="E1073" s="37" t="s">
        <v>211</v>
      </c>
      <c r="F1073" s="38">
        <v>45992</v>
      </c>
      <c r="G1073" s="37" t="s">
        <v>215</v>
      </c>
      <c r="H1073" s="40">
        <f>(-847.78+160.87-93.09+642-102.6-119.4+1070-171-199)*1.07</f>
        <v>363.8</v>
      </c>
      <c r="I1073" s="39">
        <f>IF(My_Payment[[#This Row],[Payment_Code]]="S",My_Payment[[#This Row],[Total AMT]]/2,IF(My_Payment[[#This Row],[Payment_Code]]="P",My_Payment[[#This Row],[Total AMT]],0))</f>
        <v>363.8</v>
      </c>
      <c r="J1073" s="39">
        <f>IF(My_Payment[[#This Row],[Payment_Code]]="S",My_Payment[[#This Row],[Total AMT]]/2,IF(My_Payment[[#This Row],[Payment_Code]]="N",My_Payment[[#This Row],[Total AMT]],0))</f>
        <v>0</v>
      </c>
    </row>
    <row r="1074" spans="1:10">
      <c r="A1074" s="38">
        <v>45948</v>
      </c>
      <c r="B1074" s="37" t="s">
        <v>348</v>
      </c>
      <c r="C1074" s="37" t="s">
        <v>209</v>
      </c>
      <c r="D1074" s="37" t="s">
        <v>81</v>
      </c>
      <c r="E1074" s="37" t="s">
        <v>211</v>
      </c>
      <c r="F1074" s="38">
        <v>45992</v>
      </c>
      <c r="G1074" s="37" t="s">
        <v>215</v>
      </c>
      <c r="H1074" s="40">
        <f>569.97*1.07</f>
        <v>609.86790000000008</v>
      </c>
      <c r="I1074" s="39">
        <f>IF(My_Payment[[#This Row],[Payment_Code]]="S",My_Payment[[#This Row],[Total AMT]]/2,IF(My_Payment[[#This Row],[Payment_Code]]="P",My_Payment[[#This Row],[Total AMT]],0))</f>
        <v>609.86790000000008</v>
      </c>
      <c r="J1074" s="39">
        <f>IF(My_Payment[[#This Row],[Payment_Code]]="S",My_Payment[[#This Row],[Total AMT]]/2,IF(My_Payment[[#This Row],[Payment_Code]]="N",My_Payment[[#This Row],[Total AMT]],0))</f>
        <v>0</v>
      </c>
    </row>
    <row r="1075" spans="1:10">
      <c r="A1075" s="38">
        <v>45978</v>
      </c>
      <c r="B1075" s="37" t="s">
        <v>348</v>
      </c>
      <c r="C1075" s="37" t="s">
        <v>209</v>
      </c>
      <c r="D1075" s="37" t="s">
        <v>20</v>
      </c>
      <c r="E1075" s="37" t="s">
        <v>211</v>
      </c>
      <c r="F1075" s="38">
        <v>45992</v>
      </c>
      <c r="G1075" s="37" t="s">
        <v>215</v>
      </c>
      <c r="H1075" s="40">
        <f>SUM(H1072:H1074)*-0.25%</f>
        <v>-4.1129997500000002</v>
      </c>
      <c r="I1075" s="39">
        <f>IF(My_Payment[[#This Row],[Payment_Code]]="S",My_Payment[[#This Row],[Total AMT]]/2,IF(My_Payment[[#This Row],[Payment_Code]]="P",My_Payment[[#This Row],[Total AMT]],0))</f>
        <v>-4.1129997500000002</v>
      </c>
      <c r="J1075" s="39">
        <f>IF(My_Payment[[#This Row],[Payment_Code]]="S",My_Payment[[#This Row],[Total AMT]]/2,IF(My_Payment[[#This Row],[Payment_Code]]="N",My_Payment[[#This Row],[Total AMT]],0))</f>
        <v>0</v>
      </c>
    </row>
    <row r="1076" spans="1:10">
      <c r="A1076" s="38">
        <v>45981</v>
      </c>
      <c r="B1076" s="37" t="s">
        <v>348</v>
      </c>
      <c r="C1076" s="37" t="s">
        <v>209</v>
      </c>
      <c r="D1076" s="37" t="s">
        <v>48</v>
      </c>
      <c r="E1076" s="37" t="s">
        <v>211</v>
      </c>
      <c r="F1076" s="38">
        <v>46023</v>
      </c>
      <c r="G1076" s="37" t="s">
        <v>215</v>
      </c>
      <c r="H1076" s="40">
        <f>(699+100-100)*1.07</f>
        <v>747.93000000000006</v>
      </c>
      <c r="I1076" s="39">
        <f>IF(My_Payment[[#This Row],[Payment_Code]]="S",My_Payment[[#This Row],[Total AMT]]/2,IF(My_Payment[[#This Row],[Payment_Code]]="P",My_Payment[[#This Row],[Total AMT]],0))</f>
        <v>747.93000000000006</v>
      </c>
      <c r="J1076" s="39">
        <f>IF(My_Payment[[#This Row],[Payment_Code]]="S",My_Payment[[#This Row],[Total AMT]]/2,IF(My_Payment[[#This Row],[Payment_Code]]="N",My_Payment[[#This Row],[Total AMT]],0))</f>
        <v>0</v>
      </c>
    </row>
    <row r="1077" spans="1:10">
      <c r="A1077" s="38">
        <v>45981</v>
      </c>
      <c r="B1077" s="37" t="s">
        <v>348</v>
      </c>
      <c r="C1077" s="37" t="s">
        <v>209</v>
      </c>
      <c r="D1077" s="37" t="s">
        <v>49</v>
      </c>
      <c r="E1077" s="37" t="s">
        <v>211</v>
      </c>
      <c r="F1077" s="38">
        <v>46023</v>
      </c>
      <c r="G1077" s="37" t="s">
        <v>215</v>
      </c>
      <c r="H1077" s="40">
        <f>(1070-171-199)*1.07</f>
        <v>749</v>
      </c>
      <c r="I1077" s="39">
        <f>IF(My_Payment[[#This Row],[Payment_Code]]="S",My_Payment[[#This Row],[Total AMT]]/2,IF(My_Payment[[#This Row],[Payment_Code]]="P",My_Payment[[#This Row],[Total AMT]],0))</f>
        <v>749</v>
      </c>
      <c r="J1077" s="39">
        <f>IF(My_Payment[[#This Row],[Payment_Code]]="S",My_Payment[[#This Row],[Total AMT]]/2,IF(My_Payment[[#This Row],[Payment_Code]]="N",My_Payment[[#This Row],[Total AMT]],0))</f>
        <v>0</v>
      </c>
    </row>
    <row r="1078" spans="1:10">
      <c r="A1078" s="38">
        <v>45979</v>
      </c>
      <c r="B1078" s="37" t="s">
        <v>348</v>
      </c>
      <c r="C1078" s="37" t="s">
        <v>209</v>
      </c>
      <c r="D1078" s="37" t="s">
        <v>81</v>
      </c>
      <c r="E1078" s="37" t="s">
        <v>211</v>
      </c>
      <c r="F1078" s="38">
        <v>46023</v>
      </c>
      <c r="G1078" s="37" t="s">
        <v>215</v>
      </c>
      <c r="H1078" s="40">
        <f>699*1.07</f>
        <v>747.93000000000006</v>
      </c>
      <c r="I1078" s="39">
        <f>IF(My_Payment[[#This Row],[Payment_Code]]="S",My_Payment[[#This Row],[Total AMT]]/2,IF(My_Payment[[#This Row],[Payment_Code]]="P",My_Payment[[#This Row],[Total AMT]],0))</f>
        <v>747.93000000000006</v>
      </c>
      <c r="J1078" s="39">
        <f>IF(My_Payment[[#This Row],[Payment_Code]]="S",My_Payment[[#This Row],[Total AMT]]/2,IF(My_Payment[[#This Row],[Payment_Code]]="N",My_Payment[[#This Row],[Total AMT]],0))</f>
        <v>0</v>
      </c>
    </row>
    <row r="1079" spans="1:10">
      <c r="A1079" s="38">
        <v>46008</v>
      </c>
      <c r="B1079" s="37" t="s">
        <v>348</v>
      </c>
      <c r="C1079" s="37" t="s">
        <v>209</v>
      </c>
      <c r="D1079" s="37" t="s">
        <v>20</v>
      </c>
      <c r="E1079" s="37" t="s">
        <v>211</v>
      </c>
      <c r="F1079" s="38">
        <v>46023</v>
      </c>
      <c r="G1079" s="37" t="s">
        <v>215</v>
      </c>
      <c r="H1079" s="40">
        <f>SUM(H1076:H1078)*-0.25%</f>
        <v>-5.6121500000000006</v>
      </c>
      <c r="I1079" s="39">
        <f>IF(My_Payment[[#This Row],[Payment_Code]]="S",My_Payment[[#This Row],[Total AMT]]/2,IF(My_Payment[[#This Row],[Payment_Code]]="P",My_Payment[[#This Row],[Total AMT]],0))</f>
        <v>-5.6121500000000006</v>
      </c>
      <c r="J1079" s="39">
        <f>IF(My_Payment[[#This Row],[Payment_Code]]="S",My_Payment[[#This Row],[Total AMT]]/2,IF(My_Payment[[#This Row],[Payment_Code]]="N",My_Payment[[#This Row],[Total AMT]],0))</f>
        <v>0</v>
      </c>
    </row>
    <row r="1080" spans="1:10">
      <c r="A1080" s="38">
        <v>45677</v>
      </c>
      <c r="B1080" s="37" t="s">
        <v>345</v>
      </c>
      <c r="C1080" s="37" t="s">
        <v>248</v>
      </c>
      <c r="D1080" s="37" t="s">
        <v>346</v>
      </c>
      <c r="E1080" s="37" t="s">
        <v>211</v>
      </c>
      <c r="F1080" s="38">
        <v>45718</v>
      </c>
      <c r="G1080" s="37" t="s">
        <v>215</v>
      </c>
      <c r="H1080" s="40">
        <v>1191.8699999999999</v>
      </c>
      <c r="I1080" s="39">
        <f>IF(My_Payment[[#This Row],[Payment_Code]]="S",My_Payment[[#This Row],[Total AMT]]/2,IF(My_Payment[[#This Row],[Payment_Code]]="P",My_Payment[[#This Row],[Total AMT]],0))</f>
        <v>1191.8699999999999</v>
      </c>
      <c r="J1080" s="39">
        <f>IF(My_Payment[[#This Row],[Payment_Code]]="S",My_Payment[[#This Row],[Total AMT]]/2,IF(My_Payment[[#This Row],[Payment_Code]]="N",My_Payment[[#This Row],[Total AMT]],0))</f>
        <v>0</v>
      </c>
    </row>
    <row r="1081" spans="1:10">
      <c r="A1081" s="38">
        <v>45708</v>
      </c>
      <c r="B1081" s="37" t="s">
        <v>345</v>
      </c>
      <c r="C1081" s="37" t="s">
        <v>248</v>
      </c>
      <c r="D1081" s="37" t="s">
        <v>346</v>
      </c>
      <c r="E1081" s="37" t="s">
        <v>211</v>
      </c>
      <c r="F1081" s="38">
        <v>45749</v>
      </c>
      <c r="G1081" s="37" t="s">
        <v>215</v>
      </c>
      <c r="H1081" s="40">
        <v>1191.8699999999999</v>
      </c>
      <c r="I1081" s="39">
        <f>IF(My_Payment[[#This Row],[Payment_Code]]="S",My_Payment[[#This Row],[Total AMT]]/2,IF(My_Payment[[#This Row],[Payment_Code]]="P",My_Payment[[#This Row],[Total AMT]],0))</f>
        <v>1191.8699999999999</v>
      </c>
      <c r="J1081" s="39">
        <f>IF(My_Payment[[#This Row],[Payment_Code]]="S",My_Payment[[#This Row],[Total AMT]]/2,IF(My_Payment[[#This Row],[Payment_Code]]="N",My_Payment[[#This Row],[Total AMT]],0))</f>
        <v>0</v>
      </c>
    </row>
    <row r="1082" spans="1:10">
      <c r="A1082" s="38">
        <v>45736</v>
      </c>
      <c r="B1082" s="37" t="s">
        <v>345</v>
      </c>
      <c r="C1082" s="37" t="s">
        <v>248</v>
      </c>
      <c r="D1082" s="37" t="s">
        <v>346</v>
      </c>
      <c r="E1082" s="37" t="s">
        <v>211</v>
      </c>
      <c r="F1082" s="38">
        <v>45779</v>
      </c>
      <c r="G1082" s="37" t="s">
        <v>215</v>
      </c>
      <c r="H1082" s="40">
        <v>1191.8699999999999</v>
      </c>
      <c r="I1082" s="39">
        <f>IF(My_Payment[[#This Row],[Payment_Code]]="S",My_Payment[[#This Row],[Total AMT]]/2,IF(My_Payment[[#This Row],[Payment_Code]]="P",My_Payment[[#This Row],[Total AMT]],0))</f>
        <v>1191.8699999999999</v>
      </c>
      <c r="J1082" s="39">
        <f>IF(My_Payment[[#This Row],[Payment_Code]]="S",My_Payment[[#This Row],[Total AMT]]/2,IF(My_Payment[[#This Row],[Payment_Code]]="N",My_Payment[[#This Row],[Total AMT]],0))</f>
        <v>0</v>
      </c>
    </row>
    <row r="1083" spans="1:10">
      <c r="A1083" s="38">
        <v>45767</v>
      </c>
      <c r="B1083" s="37" t="s">
        <v>345</v>
      </c>
      <c r="C1083" s="37" t="s">
        <v>248</v>
      </c>
      <c r="D1083" s="37" t="s">
        <v>346</v>
      </c>
      <c r="E1083" s="37" t="s">
        <v>211</v>
      </c>
      <c r="F1083" s="38">
        <v>45810</v>
      </c>
      <c r="G1083" s="37" t="s">
        <v>215</v>
      </c>
      <c r="H1083" s="40">
        <v>1191.8699999999999</v>
      </c>
      <c r="I1083" s="39">
        <f>IF(My_Payment[[#This Row],[Payment_Code]]="S",My_Payment[[#This Row],[Total AMT]]/2,IF(My_Payment[[#This Row],[Payment_Code]]="P",My_Payment[[#This Row],[Total AMT]],0))</f>
        <v>1191.8699999999999</v>
      </c>
      <c r="J1083" s="39">
        <f>IF(My_Payment[[#This Row],[Payment_Code]]="S",My_Payment[[#This Row],[Total AMT]]/2,IF(My_Payment[[#This Row],[Payment_Code]]="N",My_Payment[[#This Row],[Total AMT]],0))</f>
        <v>0</v>
      </c>
    </row>
    <row r="1084" spans="1:10">
      <c r="A1084" s="38">
        <v>45797</v>
      </c>
      <c r="B1084" s="37" t="s">
        <v>345</v>
      </c>
      <c r="C1084" s="37" t="s">
        <v>248</v>
      </c>
      <c r="D1084" s="37" t="s">
        <v>346</v>
      </c>
      <c r="E1084" s="37" t="s">
        <v>211</v>
      </c>
      <c r="F1084" s="38">
        <v>45840</v>
      </c>
      <c r="G1084" s="37" t="s">
        <v>215</v>
      </c>
      <c r="H1084" s="40">
        <v>1191.8699999999999</v>
      </c>
      <c r="I1084" s="39">
        <f>IF(My_Payment[[#This Row],[Payment_Code]]="S",My_Payment[[#This Row],[Total AMT]]/2,IF(My_Payment[[#This Row],[Payment_Code]]="P",My_Payment[[#This Row],[Total AMT]],0))</f>
        <v>1191.8699999999999</v>
      </c>
      <c r="J1084" s="39">
        <f>IF(My_Payment[[#This Row],[Payment_Code]]="S",My_Payment[[#This Row],[Total AMT]]/2,IF(My_Payment[[#This Row],[Payment_Code]]="N",My_Payment[[#This Row],[Total AMT]],0))</f>
        <v>0</v>
      </c>
    </row>
    <row r="1085" spans="1:10">
      <c r="A1085" s="38">
        <v>45828</v>
      </c>
      <c r="B1085" s="37" t="s">
        <v>345</v>
      </c>
      <c r="C1085" s="37" t="s">
        <v>248</v>
      </c>
      <c r="D1085" s="37" t="s">
        <v>346</v>
      </c>
      <c r="E1085" s="37" t="s">
        <v>211</v>
      </c>
      <c r="F1085" s="38">
        <v>45871</v>
      </c>
      <c r="G1085" s="37" t="s">
        <v>215</v>
      </c>
      <c r="H1085" s="40">
        <v>1191.8699999999999</v>
      </c>
      <c r="I1085" s="39">
        <f>IF(My_Payment[[#This Row],[Payment_Code]]="S",My_Payment[[#This Row],[Total AMT]]/2,IF(My_Payment[[#This Row],[Payment_Code]]="P",My_Payment[[#This Row],[Total AMT]],0))</f>
        <v>1191.8699999999999</v>
      </c>
      <c r="J1085" s="39">
        <f>IF(My_Payment[[#This Row],[Payment_Code]]="S",My_Payment[[#This Row],[Total AMT]]/2,IF(My_Payment[[#This Row],[Payment_Code]]="N",My_Payment[[#This Row],[Total AMT]],0))</f>
        <v>0</v>
      </c>
    </row>
    <row r="1086" spans="1:10">
      <c r="A1086" s="38">
        <v>45858</v>
      </c>
      <c r="B1086" s="37" t="s">
        <v>345</v>
      </c>
      <c r="C1086" s="37" t="s">
        <v>248</v>
      </c>
      <c r="D1086" s="37" t="s">
        <v>346</v>
      </c>
      <c r="E1086" s="37" t="s">
        <v>211</v>
      </c>
      <c r="F1086" s="38">
        <v>45902</v>
      </c>
      <c r="G1086" s="37" t="s">
        <v>215</v>
      </c>
      <c r="H1086" s="40">
        <v>1191.8699999999999</v>
      </c>
      <c r="I1086" s="39">
        <f>IF(My_Payment[[#This Row],[Payment_Code]]="S",My_Payment[[#This Row],[Total AMT]]/2,IF(My_Payment[[#This Row],[Payment_Code]]="P",My_Payment[[#This Row],[Total AMT]],0))</f>
        <v>1191.8699999999999</v>
      </c>
      <c r="J1086" s="39">
        <f>IF(My_Payment[[#This Row],[Payment_Code]]="S",My_Payment[[#This Row],[Total AMT]]/2,IF(My_Payment[[#This Row],[Payment_Code]]="N",My_Payment[[#This Row],[Total AMT]],0))</f>
        <v>0</v>
      </c>
    </row>
    <row r="1087" spans="1:10">
      <c r="A1087" s="38">
        <v>45889</v>
      </c>
      <c r="B1087" s="37" t="s">
        <v>345</v>
      </c>
      <c r="C1087" s="37" t="s">
        <v>248</v>
      </c>
      <c r="D1087" s="37" t="s">
        <v>346</v>
      </c>
      <c r="E1087" s="37" t="s">
        <v>211</v>
      </c>
      <c r="F1087" s="38">
        <v>45932</v>
      </c>
      <c r="G1087" s="37" t="s">
        <v>215</v>
      </c>
      <c r="H1087" s="40">
        <v>1191.8699999999999</v>
      </c>
      <c r="I1087" s="39">
        <f>IF(My_Payment[[#This Row],[Payment_Code]]="S",My_Payment[[#This Row],[Total AMT]]/2,IF(My_Payment[[#This Row],[Payment_Code]]="P",My_Payment[[#This Row],[Total AMT]],0))</f>
        <v>1191.8699999999999</v>
      </c>
      <c r="J1087" s="39">
        <f>IF(My_Payment[[#This Row],[Payment_Code]]="S",My_Payment[[#This Row],[Total AMT]]/2,IF(My_Payment[[#This Row],[Payment_Code]]="N",My_Payment[[#This Row],[Total AMT]],0))</f>
        <v>0</v>
      </c>
    </row>
    <row r="1088" spans="1:10">
      <c r="A1088" s="38">
        <v>45920</v>
      </c>
      <c r="B1088" s="37" t="s">
        <v>345</v>
      </c>
      <c r="C1088" s="37" t="s">
        <v>248</v>
      </c>
      <c r="D1088" s="37" t="s">
        <v>346</v>
      </c>
      <c r="E1088" s="37" t="s">
        <v>211</v>
      </c>
      <c r="F1088" s="38">
        <v>45963</v>
      </c>
      <c r="G1088" s="37" t="s">
        <v>215</v>
      </c>
      <c r="H1088" s="40">
        <v>1243.8</v>
      </c>
      <c r="I1088" s="39">
        <f>IF(My_Payment[[#This Row],[Payment_Code]]="S",My_Payment[[#This Row],[Total AMT]]/2,IF(My_Payment[[#This Row],[Payment_Code]]="P",My_Payment[[#This Row],[Total AMT]],0))</f>
        <v>1243.8</v>
      </c>
      <c r="J1088" s="39">
        <f>IF(My_Payment[[#This Row],[Payment_Code]]="S",My_Payment[[#This Row],[Total AMT]]/2,IF(My_Payment[[#This Row],[Payment_Code]]="N",My_Payment[[#This Row],[Total AMT]],0))</f>
        <v>0</v>
      </c>
    </row>
    <row r="1089" spans="1:10">
      <c r="A1089" s="38">
        <v>45950</v>
      </c>
      <c r="B1089" s="37" t="s">
        <v>345</v>
      </c>
      <c r="C1089" s="37" t="s">
        <v>248</v>
      </c>
      <c r="D1089" s="37" t="s">
        <v>346</v>
      </c>
      <c r="E1089" s="37" t="s">
        <v>211</v>
      </c>
      <c r="F1089" s="38">
        <v>45993</v>
      </c>
      <c r="G1089" s="37" t="s">
        <v>215</v>
      </c>
      <c r="H1089" s="40">
        <v>1243.8</v>
      </c>
      <c r="I1089" s="39">
        <f>IF(My_Payment[[#This Row],[Payment_Code]]="S",My_Payment[[#This Row],[Total AMT]]/2,IF(My_Payment[[#This Row],[Payment_Code]]="P",My_Payment[[#This Row],[Total AMT]],0))</f>
        <v>1243.8</v>
      </c>
      <c r="J1089" s="39">
        <f>IF(My_Payment[[#This Row],[Payment_Code]]="S",My_Payment[[#This Row],[Total AMT]]/2,IF(My_Payment[[#This Row],[Payment_Code]]="N",My_Payment[[#This Row],[Total AMT]],0))</f>
        <v>0</v>
      </c>
    </row>
    <row r="1090" spans="1:10">
      <c r="A1090" s="38">
        <v>45981</v>
      </c>
      <c r="B1090" s="37" t="s">
        <v>345</v>
      </c>
      <c r="C1090" s="37" t="s">
        <v>248</v>
      </c>
      <c r="D1090" s="37" t="s">
        <v>346</v>
      </c>
      <c r="E1090" s="37" t="s">
        <v>211</v>
      </c>
      <c r="F1090" s="38">
        <v>46024</v>
      </c>
      <c r="G1090" s="37" t="s">
        <v>215</v>
      </c>
      <c r="H1090" s="40">
        <v>1243.8</v>
      </c>
      <c r="I1090" s="39">
        <f>IF(My_Payment[[#This Row],[Payment_Code]]="S",My_Payment[[#This Row],[Total AMT]]/2,IF(My_Payment[[#This Row],[Payment_Code]]="P",My_Payment[[#This Row],[Total AMT]],0))</f>
        <v>1243.8</v>
      </c>
      <c r="J1090" s="39">
        <f>IF(My_Payment[[#This Row],[Payment_Code]]="S",My_Payment[[#This Row],[Total AMT]]/2,IF(My_Payment[[#This Row],[Payment_Code]]="N",My_Payment[[#This Row],[Total AMT]],0))</f>
        <v>0</v>
      </c>
    </row>
    <row r="1091" spans="1:10">
      <c r="A1091" s="38">
        <v>46011</v>
      </c>
      <c r="B1091" s="37" t="s">
        <v>345</v>
      </c>
      <c r="C1091" s="37" t="s">
        <v>248</v>
      </c>
      <c r="D1091" s="37" t="s">
        <v>346</v>
      </c>
      <c r="E1091" s="37" t="s">
        <v>211</v>
      </c>
      <c r="F1091" s="38">
        <v>46055</v>
      </c>
      <c r="G1091" s="37" t="s">
        <v>215</v>
      </c>
      <c r="H1091" s="40">
        <v>1243.8</v>
      </c>
      <c r="I1091" s="39">
        <f>IF(My_Payment[[#This Row],[Payment_Code]]="S",My_Payment[[#This Row],[Total AMT]]/2,IF(My_Payment[[#This Row],[Payment_Code]]="P",My_Payment[[#This Row],[Total AMT]],0))</f>
        <v>1243.8</v>
      </c>
      <c r="J1091" s="39">
        <f>IF(My_Payment[[#This Row],[Payment_Code]]="S",My_Payment[[#This Row],[Total AMT]]/2,IF(My_Payment[[#This Row],[Payment_Code]]="N",My_Payment[[#This Row],[Total AMT]],0))</f>
        <v>0</v>
      </c>
    </row>
    <row r="1092" spans="1:10">
      <c r="A1092" s="38">
        <v>45695</v>
      </c>
      <c r="B1092" s="37" t="s">
        <v>298</v>
      </c>
      <c r="C1092" s="37" t="s">
        <v>299</v>
      </c>
      <c r="D1092" s="37" t="s">
        <v>621</v>
      </c>
      <c r="E1092" s="37" t="s">
        <v>596</v>
      </c>
      <c r="F1092" s="38">
        <v>45717</v>
      </c>
      <c r="G1092" s="37" t="s">
        <v>215</v>
      </c>
      <c r="H1092" s="40">
        <v>1360.83</v>
      </c>
      <c r="I1092" s="39">
        <f>IF(My_Payment[[#This Row],[Payment_Code]]="S",My_Payment[[#This Row],[Total AMT]]/2,IF(My_Payment[[#This Row],[Payment_Code]]="P",My_Payment[[#This Row],[Total AMT]],0))</f>
        <v>1360.83</v>
      </c>
      <c r="J1092" s="39">
        <f>IF(My_Payment[[#This Row],[Payment_Code]]="S",My_Payment[[#This Row],[Total AMT]]/2,IF(My_Payment[[#This Row],[Payment_Code]]="N",My_Payment[[#This Row],[Total AMT]],0))</f>
        <v>0</v>
      </c>
    </row>
    <row r="1093" spans="1:10">
      <c r="A1093" s="38">
        <v>45723</v>
      </c>
      <c r="B1093" s="37" t="s">
        <v>298</v>
      </c>
      <c r="C1093" s="37" t="s">
        <v>299</v>
      </c>
      <c r="D1093" s="37" t="s">
        <v>621</v>
      </c>
      <c r="E1093" s="37" t="s">
        <v>597</v>
      </c>
      <c r="F1093" s="38">
        <v>45748</v>
      </c>
      <c r="G1093" s="37" t="s">
        <v>215</v>
      </c>
      <c r="H1093" s="40">
        <v>1360.83</v>
      </c>
      <c r="I1093" s="39">
        <f>IF(My_Payment[[#This Row],[Payment_Code]]="S",My_Payment[[#This Row],[Total AMT]]/2,IF(My_Payment[[#This Row],[Payment_Code]]="P",My_Payment[[#This Row],[Total AMT]],0))</f>
        <v>1360.83</v>
      </c>
      <c r="J1093" s="39">
        <f>IF(My_Payment[[#This Row],[Payment_Code]]="S",My_Payment[[#This Row],[Total AMT]]/2,IF(My_Payment[[#This Row],[Payment_Code]]="N",My_Payment[[#This Row],[Total AMT]],0))</f>
        <v>0</v>
      </c>
    </row>
    <row r="1094" spans="1:10">
      <c r="A1094" s="38">
        <v>45754</v>
      </c>
      <c r="B1094" s="37" t="s">
        <v>298</v>
      </c>
      <c r="C1094" s="37" t="s">
        <v>299</v>
      </c>
      <c r="D1094" s="37" t="s">
        <v>621</v>
      </c>
      <c r="E1094" s="37" t="s">
        <v>598</v>
      </c>
      <c r="F1094" s="38">
        <v>45778</v>
      </c>
      <c r="G1094" s="37" t="s">
        <v>215</v>
      </c>
      <c r="H1094" s="40">
        <v>1360.83</v>
      </c>
      <c r="I1094" s="39">
        <f>IF(My_Payment[[#This Row],[Payment_Code]]="S",My_Payment[[#This Row],[Total AMT]]/2,IF(My_Payment[[#This Row],[Payment_Code]]="P",My_Payment[[#This Row],[Total AMT]],0))</f>
        <v>1360.83</v>
      </c>
      <c r="J1094" s="39">
        <f>IF(My_Payment[[#This Row],[Payment_Code]]="S",My_Payment[[#This Row],[Total AMT]]/2,IF(My_Payment[[#This Row],[Payment_Code]]="N",My_Payment[[#This Row],[Total AMT]],0))</f>
        <v>0</v>
      </c>
    </row>
    <row r="1095" spans="1:10">
      <c r="A1095" s="38">
        <v>45784</v>
      </c>
      <c r="B1095" s="37" t="s">
        <v>298</v>
      </c>
      <c r="C1095" s="37" t="s">
        <v>299</v>
      </c>
      <c r="D1095" s="37" t="s">
        <v>621</v>
      </c>
      <c r="E1095" s="37" t="s">
        <v>599</v>
      </c>
      <c r="F1095" s="38">
        <v>45809</v>
      </c>
      <c r="G1095" s="37" t="s">
        <v>215</v>
      </c>
      <c r="H1095" s="40">
        <v>1360.83</v>
      </c>
      <c r="I1095" s="39">
        <f>IF(My_Payment[[#This Row],[Payment_Code]]="S",My_Payment[[#This Row],[Total AMT]]/2,IF(My_Payment[[#This Row],[Payment_Code]]="P",My_Payment[[#This Row],[Total AMT]],0))</f>
        <v>1360.83</v>
      </c>
      <c r="J1095" s="39">
        <f>IF(My_Payment[[#This Row],[Payment_Code]]="S",My_Payment[[#This Row],[Total AMT]]/2,IF(My_Payment[[#This Row],[Payment_Code]]="N",My_Payment[[#This Row],[Total AMT]],0))</f>
        <v>0</v>
      </c>
    </row>
    <row r="1096" spans="1:10">
      <c r="A1096" s="38">
        <v>45815</v>
      </c>
      <c r="B1096" s="37" t="s">
        <v>298</v>
      </c>
      <c r="C1096" s="37" t="s">
        <v>299</v>
      </c>
      <c r="D1096" s="37" t="s">
        <v>621</v>
      </c>
      <c r="E1096" s="37" t="s">
        <v>600</v>
      </c>
      <c r="F1096" s="38">
        <v>45839</v>
      </c>
      <c r="G1096" s="37" t="s">
        <v>215</v>
      </c>
      <c r="H1096" s="40">
        <v>1360.83</v>
      </c>
      <c r="I1096" s="39">
        <f>IF(My_Payment[[#This Row],[Payment_Code]]="S",My_Payment[[#This Row],[Total AMT]]/2,IF(My_Payment[[#This Row],[Payment_Code]]="P",My_Payment[[#This Row],[Total AMT]],0))</f>
        <v>1360.83</v>
      </c>
      <c r="J1096" s="39">
        <f>IF(My_Payment[[#This Row],[Payment_Code]]="S",My_Payment[[#This Row],[Total AMT]]/2,IF(My_Payment[[#This Row],[Payment_Code]]="N",My_Payment[[#This Row],[Total AMT]],0))</f>
        <v>0</v>
      </c>
    </row>
    <row r="1097" spans="1:10">
      <c r="A1097" s="38">
        <v>45845</v>
      </c>
      <c r="B1097" s="37" t="s">
        <v>298</v>
      </c>
      <c r="C1097" s="37" t="s">
        <v>299</v>
      </c>
      <c r="D1097" s="37" t="s">
        <v>621</v>
      </c>
      <c r="E1097" s="37" t="s">
        <v>601</v>
      </c>
      <c r="F1097" s="38">
        <v>45870</v>
      </c>
      <c r="G1097" s="37" t="s">
        <v>215</v>
      </c>
      <c r="H1097" s="40">
        <v>1360.83</v>
      </c>
      <c r="I1097" s="39">
        <f>IF(My_Payment[[#This Row],[Payment_Code]]="S",My_Payment[[#This Row],[Total AMT]]/2,IF(My_Payment[[#This Row],[Payment_Code]]="P",My_Payment[[#This Row],[Total AMT]],0))</f>
        <v>1360.83</v>
      </c>
      <c r="J1097" s="39">
        <f>IF(My_Payment[[#This Row],[Payment_Code]]="S",My_Payment[[#This Row],[Total AMT]]/2,IF(My_Payment[[#This Row],[Payment_Code]]="N",My_Payment[[#This Row],[Total AMT]],0))</f>
        <v>0</v>
      </c>
    </row>
    <row r="1098" spans="1:10">
      <c r="A1098" s="38">
        <v>45876</v>
      </c>
      <c r="B1098" s="37" t="s">
        <v>298</v>
      </c>
      <c r="C1098" s="37" t="s">
        <v>299</v>
      </c>
      <c r="D1098" s="37" t="s">
        <v>621</v>
      </c>
      <c r="E1098" s="37" t="s">
        <v>602</v>
      </c>
      <c r="F1098" s="38">
        <v>45901</v>
      </c>
      <c r="G1098" s="37" t="s">
        <v>215</v>
      </c>
      <c r="H1098" s="40">
        <v>1360.83</v>
      </c>
      <c r="I1098" s="39">
        <f>IF(My_Payment[[#This Row],[Payment_Code]]="S",My_Payment[[#This Row],[Total AMT]]/2,IF(My_Payment[[#This Row],[Payment_Code]]="P",My_Payment[[#This Row],[Total AMT]],0))</f>
        <v>1360.83</v>
      </c>
      <c r="J1098" s="39">
        <f>IF(My_Payment[[#This Row],[Payment_Code]]="S",My_Payment[[#This Row],[Total AMT]]/2,IF(My_Payment[[#This Row],[Payment_Code]]="N",My_Payment[[#This Row],[Total AMT]],0))</f>
        <v>0</v>
      </c>
    </row>
    <row r="1099" spans="1:10">
      <c r="A1099" s="38">
        <v>45907</v>
      </c>
      <c r="B1099" s="37" t="s">
        <v>298</v>
      </c>
      <c r="C1099" s="37" t="s">
        <v>299</v>
      </c>
      <c r="D1099" s="37" t="s">
        <v>621</v>
      </c>
      <c r="E1099" s="37" t="s">
        <v>603</v>
      </c>
      <c r="F1099" s="38">
        <v>45931</v>
      </c>
      <c r="G1099" s="37" t="s">
        <v>215</v>
      </c>
      <c r="H1099" s="40">
        <v>1360.83</v>
      </c>
      <c r="I1099" s="39">
        <f>IF(My_Payment[[#This Row],[Payment_Code]]="S",My_Payment[[#This Row],[Total AMT]]/2,IF(My_Payment[[#This Row],[Payment_Code]]="P",My_Payment[[#This Row],[Total AMT]],0))</f>
        <v>1360.83</v>
      </c>
      <c r="J1099" s="39">
        <f>IF(My_Payment[[#This Row],[Payment_Code]]="S",My_Payment[[#This Row],[Total AMT]]/2,IF(My_Payment[[#This Row],[Payment_Code]]="N",My_Payment[[#This Row],[Total AMT]],0))</f>
        <v>0</v>
      </c>
    </row>
    <row r="1100" spans="1:10">
      <c r="A1100" s="38">
        <v>45937</v>
      </c>
      <c r="B1100" s="37" t="s">
        <v>298</v>
      </c>
      <c r="C1100" s="37" t="s">
        <v>299</v>
      </c>
      <c r="D1100" s="37" t="s">
        <v>621</v>
      </c>
      <c r="E1100" s="37" t="s">
        <v>604</v>
      </c>
      <c r="F1100" s="38">
        <v>45962</v>
      </c>
      <c r="G1100" s="37" t="s">
        <v>215</v>
      </c>
      <c r="H1100" s="40">
        <v>1360.83</v>
      </c>
      <c r="I1100" s="39">
        <f>IF(My_Payment[[#This Row],[Payment_Code]]="S",My_Payment[[#This Row],[Total AMT]]/2,IF(My_Payment[[#This Row],[Payment_Code]]="P",My_Payment[[#This Row],[Total AMT]],0))</f>
        <v>1360.83</v>
      </c>
      <c r="J1100" s="39">
        <f>IF(My_Payment[[#This Row],[Payment_Code]]="S",My_Payment[[#This Row],[Total AMT]]/2,IF(My_Payment[[#This Row],[Payment_Code]]="N",My_Payment[[#This Row],[Total AMT]],0))</f>
        <v>0</v>
      </c>
    </row>
    <row r="1101" spans="1:10">
      <c r="A1101" s="38">
        <v>45968</v>
      </c>
      <c r="B1101" s="37" t="s">
        <v>298</v>
      </c>
      <c r="C1101" s="37" t="s">
        <v>299</v>
      </c>
      <c r="D1101" s="37" t="s">
        <v>621</v>
      </c>
      <c r="E1101" s="37" t="s">
        <v>605</v>
      </c>
      <c r="F1101" s="38">
        <v>45992</v>
      </c>
      <c r="G1101" s="37" t="s">
        <v>215</v>
      </c>
      <c r="H1101" s="40">
        <v>1360.83</v>
      </c>
      <c r="I1101" s="39">
        <f>IF(My_Payment[[#This Row],[Payment_Code]]="S",My_Payment[[#This Row],[Total AMT]]/2,IF(My_Payment[[#This Row],[Payment_Code]]="P",My_Payment[[#This Row],[Total AMT]],0))</f>
        <v>1360.83</v>
      </c>
      <c r="J1101" s="39">
        <f>IF(My_Payment[[#This Row],[Payment_Code]]="S",My_Payment[[#This Row],[Total AMT]]/2,IF(My_Payment[[#This Row],[Payment_Code]]="N",My_Payment[[#This Row],[Total AMT]],0))</f>
        <v>0</v>
      </c>
    </row>
    <row r="1102" spans="1:10">
      <c r="A1102" s="38">
        <v>45998</v>
      </c>
      <c r="B1102" s="37" t="s">
        <v>298</v>
      </c>
      <c r="C1102" s="37" t="s">
        <v>299</v>
      </c>
      <c r="D1102" s="37" t="s">
        <v>621</v>
      </c>
      <c r="E1102" s="37" t="s">
        <v>606</v>
      </c>
      <c r="F1102" s="38">
        <v>46023</v>
      </c>
      <c r="G1102" s="37" t="s">
        <v>215</v>
      </c>
      <c r="H1102" s="40">
        <v>1360.83</v>
      </c>
      <c r="I1102" s="39">
        <f>IF(My_Payment[[#This Row],[Payment_Code]]="S",My_Payment[[#This Row],[Total AMT]]/2,IF(My_Payment[[#This Row],[Payment_Code]]="P",My_Payment[[#This Row],[Total AMT]],0))</f>
        <v>1360.83</v>
      </c>
      <c r="J1102" s="39">
        <f>IF(My_Payment[[#This Row],[Payment_Code]]="S",My_Payment[[#This Row],[Total AMT]]/2,IF(My_Payment[[#This Row],[Payment_Code]]="N",My_Payment[[#This Row],[Total AMT]],0))</f>
        <v>0</v>
      </c>
    </row>
    <row r="1103" spans="1:10">
      <c r="A1103" s="38">
        <v>46029</v>
      </c>
      <c r="B1103" s="37" t="s">
        <v>298</v>
      </c>
      <c r="C1103" s="37" t="s">
        <v>299</v>
      </c>
      <c r="D1103" s="37" t="s">
        <v>621</v>
      </c>
      <c r="E1103" s="37" t="s">
        <v>607</v>
      </c>
      <c r="F1103" s="38">
        <v>46054</v>
      </c>
      <c r="G1103" s="37" t="s">
        <v>215</v>
      </c>
      <c r="H1103" s="40">
        <v>1360.83</v>
      </c>
      <c r="I1103" s="39">
        <f>IF(My_Payment[[#This Row],[Payment_Code]]="S",My_Payment[[#This Row],[Total AMT]]/2,IF(My_Payment[[#This Row],[Payment_Code]]="P",My_Payment[[#This Row],[Total AMT]],0))</f>
        <v>1360.83</v>
      </c>
      <c r="J1103" s="39">
        <f>IF(My_Payment[[#This Row],[Payment_Code]]="S",My_Payment[[#This Row],[Total AMT]]/2,IF(My_Payment[[#This Row],[Payment_Code]]="N",My_Payment[[#This Row],[Total AMT]],0))</f>
        <v>0</v>
      </c>
    </row>
    <row r="1104" spans="1:10">
      <c r="A1104" s="38">
        <v>46060</v>
      </c>
      <c r="B1104" s="37" t="s">
        <v>298</v>
      </c>
      <c r="C1104" s="37" t="s">
        <v>299</v>
      </c>
      <c r="D1104" s="37" t="s">
        <v>621</v>
      </c>
      <c r="E1104" s="37" t="s">
        <v>608</v>
      </c>
      <c r="F1104" s="38">
        <v>46082</v>
      </c>
      <c r="G1104" s="37" t="s">
        <v>215</v>
      </c>
      <c r="H1104" s="40">
        <v>1360.83</v>
      </c>
      <c r="I1104" s="39">
        <f>IF(My_Payment[[#This Row],[Payment_Code]]="S",My_Payment[[#This Row],[Total AMT]]/2,IF(My_Payment[[#This Row],[Payment_Code]]="P",My_Payment[[#This Row],[Total AMT]],0))</f>
        <v>1360.83</v>
      </c>
      <c r="J1104" s="39">
        <f>IF(My_Payment[[#This Row],[Payment_Code]]="S",My_Payment[[#This Row],[Total AMT]]/2,IF(My_Payment[[#This Row],[Payment_Code]]="N",My_Payment[[#This Row],[Total AMT]],0))</f>
        <v>0</v>
      </c>
    </row>
    <row r="1105" spans="1:10">
      <c r="A1105" s="38">
        <v>46088</v>
      </c>
      <c r="B1105" s="37" t="s">
        <v>298</v>
      </c>
      <c r="C1105" s="37" t="s">
        <v>299</v>
      </c>
      <c r="D1105" s="37" t="s">
        <v>621</v>
      </c>
      <c r="E1105" s="37" t="s">
        <v>609</v>
      </c>
      <c r="F1105" s="38">
        <v>46113</v>
      </c>
      <c r="G1105" s="37" t="s">
        <v>215</v>
      </c>
      <c r="H1105" s="40">
        <v>1360.83</v>
      </c>
      <c r="I1105" s="39">
        <f>IF(My_Payment[[#This Row],[Payment_Code]]="S",My_Payment[[#This Row],[Total AMT]]/2,IF(My_Payment[[#This Row],[Payment_Code]]="P",My_Payment[[#This Row],[Total AMT]],0))</f>
        <v>1360.83</v>
      </c>
      <c r="J1105" s="39">
        <f>IF(My_Payment[[#This Row],[Payment_Code]]="S",My_Payment[[#This Row],[Total AMT]]/2,IF(My_Payment[[#This Row],[Payment_Code]]="N",My_Payment[[#This Row],[Total AMT]],0))</f>
        <v>0</v>
      </c>
    </row>
    <row r="1106" spans="1:10">
      <c r="A1106" s="38">
        <v>46119</v>
      </c>
      <c r="B1106" s="37" t="s">
        <v>298</v>
      </c>
      <c r="C1106" s="37" t="s">
        <v>299</v>
      </c>
      <c r="D1106" s="37" t="s">
        <v>621</v>
      </c>
      <c r="E1106" s="37" t="s">
        <v>610</v>
      </c>
      <c r="F1106" s="38">
        <v>46143</v>
      </c>
      <c r="G1106" s="37" t="s">
        <v>215</v>
      </c>
      <c r="H1106" s="40">
        <v>1360.83</v>
      </c>
      <c r="I1106" s="39">
        <f>IF(My_Payment[[#This Row],[Payment_Code]]="S",My_Payment[[#This Row],[Total AMT]]/2,IF(My_Payment[[#This Row],[Payment_Code]]="P",My_Payment[[#This Row],[Total AMT]],0))</f>
        <v>1360.83</v>
      </c>
      <c r="J1106" s="39">
        <f>IF(My_Payment[[#This Row],[Payment_Code]]="S",My_Payment[[#This Row],[Total AMT]]/2,IF(My_Payment[[#This Row],[Payment_Code]]="N",My_Payment[[#This Row],[Total AMT]],0))</f>
        <v>0</v>
      </c>
    </row>
    <row r="1107" spans="1:10">
      <c r="A1107" s="38">
        <v>46149</v>
      </c>
      <c r="B1107" s="37" t="s">
        <v>298</v>
      </c>
      <c r="C1107" s="37" t="s">
        <v>299</v>
      </c>
      <c r="D1107" s="37" t="s">
        <v>621</v>
      </c>
      <c r="E1107" s="37" t="s">
        <v>611</v>
      </c>
      <c r="F1107" s="38">
        <v>46174</v>
      </c>
      <c r="G1107" s="37" t="s">
        <v>215</v>
      </c>
      <c r="H1107" s="40">
        <v>1360.83</v>
      </c>
      <c r="I1107" s="39">
        <f>IF(My_Payment[[#This Row],[Payment_Code]]="S",My_Payment[[#This Row],[Total AMT]]/2,IF(My_Payment[[#This Row],[Payment_Code]]="P",My_Payment[[#This Row],[Total AMT]],0))</f>
        <v>1360.83</v>
      </c>
      <c r="J1107" s="39">
        <f>IF(My_Payment[[#This Row],[Payment_Code]]="S",My_Payment[[#This Row],[Total AMT]]/2,IF(My_Payment[[#This Row],[Payment_Code]]="N",My_Payment[[#This Row],[Total AMT]],0))</f>
        <v>0</v>
      </c>
    </row>
    <row r="1108" spans="1:10">
      <c r="A1108" s="38">
        <v>46180</v>
      </c>
      <c r="B1108" s="37" t="s">
        <v>298</v>
      </c>
      <c r="C1108" s="37" t="s">
        <v>299</v>
      </c>
      <c r="D1108" s="37" t="s">
        <v>621</v>
      </c>
      <c r="E1108" s="37" t="s">
        <v>612</v>
      </c>
      <c r="F1108" s="38">
        <v>46204</v>
      </c>
      <c r="G1108" s="37" t="s">
        <v>215</v>
      </c>
      <c r="H1108" s="40">
        <v>1360.83</v>
      </c>
      <c r="I1108" s="39">
        <f>IF(My_Payment[[#This Row],[Payment_Code]]="S",My_Payment[[#This Row],[Total AMT]]/2,IF(My_Payment[[#This Row],[Payment_Code]]="P",My_Payment[[#This Row],[Total AMT]],0))</f>
        <v>1360.83</v>
      </c>
      <c r="J1108" s="39">
        <f>IF(My_Payment[[#This Row],[Payment_Code]]="S",My_Payment[[#This Row],[Total AMT]]/2,IF(My_Payment[[#This Row],[Payment_Code]]="N",My_Payment[[#This Row],[Total AMT]],0))</f>
        <v>0</v>
      </c>
    </row>
    <row r="1109" spans="1:10">
      <c r="A1109" s="38">
        <v>46210</v>
      </c>
      <c r="B1109" s="37" t="s">
        <v>298</v>
      </c>
      <c r="C1109" s="37" t="s">
        <v>299</v>
      </c>
      <c r="D1109" s="37" t="s">
        <v>621</v>
      </c>
      <c r="E1109" s="37" t="s">
        <v>613</v>
      </c>
      <c r="F1109" s="38">
        <v>46235</v>
      </c>
      <c r="G1109" s="37" t="s">
        <v>215</v>
      </c>
      <c r="H1109" s="40">
        <v>1360.83</v>
      </c>
      <c r="I1109" s="39">
        <f>IF(My_Payment[[#This Row],[Payment_Code]]="S",My_Payment[[#This Row],[Total AMT]]/2,IF(My_Payment[[#This Row],[Payment_Code]]="P",My_Payment[[#This Row],[Total AMT]],0))</f>
        <v>1360.83</v>
      </c>
      <c r="J1109" s="39">
        <f>IF(My_Payment[[#This Row],[Payment_Code]]="S",My_Payment[[#This Row],[Total AMT]]/2,IF(My_Payment[[#This Row],[Payment_Code]]="N",My_Payment[[#This Row],[Total AMT]],0))</f>
        <v>0</v>
      </c>
    </row>
    <row r="1110" spans="1:10">
      <c r="A1110" s="38">
        <v>46241</v>
      </c>
      <c r="B1110" s="37" t="s">
        <v>298</v>
      </c>
      <c r="C1110" s="37" t="s">
        <v>299</v>
      </c>
      <c r="D1110" s="37" t="s">
        <v>621</v>
      </c>
      <c r="E1110" s="37" t="s">
        <v>614</v>
      </c>
      <c r="F1110" s="38">
        <v>46266</v>
      </c>
      <c r="G1110" s="37" t="s">
        <v>215</v>
      </c>
      <c r="H1110" s="40">
        <v>1360.83</v>
      </c>
      <c r="I1110" s="39">
        <f>IF(My_Payment[[#This Row],[Payment_Code]]="S",My_Payment[[#This Row],[Total AMT]]/2,IF(My_Payment[[#This Row],[Payment_Code]]="P",My_Payment[[#This Row],[Total AMT]],0))</f>
        <v>1360.83</v>
      </c>
      <c r="J1110" s="39">
        <f>IF(My_Payment[[#This Row],[Payment_Code]]="S",My_Payment[[#This Row],[Total AMT]]/2,IF(My_Payment[[#This Row],[Payment_Code]]="N",My_Payment[[#This Row],[Total AMT]],0))</f>
        <v>0</v>
      </c>
    </row>
    <row r="1111" spans="1:10">
      <c r="A1111" s="38">
        <v>46272</v>
      </c>
      <c r="B1111" s="37" t="s">
        <v>298</v>
      </c>
      <c r="C1111" s="37" t="s">
        <v>299</v>
      </c>
      <c r="D1111" s="37" t="s">
        <v>621</v>
      </c>
      <c r="E1111" s="37" t="s">
        <v>615</v>
      </c>
      <c r="F1111" s="38">
        <v>46296</v>
      </c>
      <c r="G1111" s="37" t="s">
        <v>215</v>
      </c>
      <c r="H1111" s="40">
        <v>1360.83</v>
      </c>
      <c r="I1111" s="39">
        <f>IF(My_Payment[[#This Row],[Payment_Code]]="S",My_Payment[[#This Row],[Total AMT]]/2,IF(My_Payment[[#This Row],[Payment_Code]]="P",My_Payment[[#This Row],[Total AMT]],0))</f>
        <v>1360.83</v>
      </c>
      <c r="J1111" s="39">
        <f>IF(My_Payment[[#This Row],[Payment_Code]]="S",My_Payment[[#This Row],[Total AMT]]/2,IF(My_Payment[[#This Row],[Payment_Code]]="N",My_Payment[[#This Row],[Total AMT]],0))</f>
        <v>0</v>
      </c>
    </row>
    <row r="1112" spans="1:10">
      <c r="A1112" s="38">
        <v>46302</v>
      </c>
      <c r="B1112" s="37" t="s">
        <v>298</v>
      </c>
      <c r="C1112" s="37" t="s">
        <v>299</v>
      </c>
      <c r="D1112" s="37" t="s">
        <v>621</v>
      </c>
      <c r="E1112" s="37" t="s">
        <v>616</v>
      </c>
      <c r="F1112" s="38">
        <v>46327</v>
      </c>
      <c r="G1112" s="37" t="s">
        <v>215</v>
      </c>
      <c r="H1112" s="40">
        <v>1360.83</v>
      </c>
      <c r="I1112" s="39">
        <f>IF(My_Payment[[#This Row],[Payment_Code]]="S",My_Payment[[#This Row],[Total AMT]]/2,IF(My_Payment[[#This Row],[Payment_Code]]="P",My_Payment[[#This Row],[Total AMT]],0))</f>
        <v>1360.83</v>
      </c>
      <c r="J1112" s="39">
        <f>IF(My_Payment[[#This Row],[Payment_Code]]="S",My_Payment[[#This Row],[Total AMT]]/2,IF(My_Payment[[#This Row],[Payment_Code]]="N",My_Payment[[#This Row],[Total AMT]],0))</f>
        <v>0</v>
      </c>
    </row>
    <row r="1113" spans="1:10">
      <c r="A1113" s="38">
        <v>46333</v>
      </c>
      <c r="B1113" s="37" t="s">
        <v>298</v>
      </c>
      <c r="C1113" s="37" t="s">
        <v>299</v>
      </c>
      <c r="D1113" s="37" t="s">
        <v>621</v>
      </c>
      <c r="E1113" s="37" t="s">
        <v>617</v>
      </c>
      <c r="F1113" s="38">
        <v>46357</v>
      </c>
      <c r="G1113" s="37" t="s">
        <v>215</v>
      </c>
      <c r="H1113" s="40">
        <v>1360.83</v>
      </c>
      <c r="I1113" s="39">
        <f>IF(My_Payment[[#This Row],[Payment_Code]]="S",My_Payment[[#This Row],[Total AMT]]/2,IF(My_Payment[[#This Row],[Payment_Code]]="P",My_Payment[[#This Row],[Total AMT]],0))</f>
        <v>1360.83</v>
      </c>
      <c r="J1113" s="39">
        <f>IF(My_Payment[[#This Row],[Payment_Code]]="S",My_Payment[[#This Row],[Total AMT]]/2,IF(My_Payment[[#This Row],[Payment_Code]]="N",My_Payment[[#This Row],[Total AMT]],0))</f>
        <v>0</v>
      </c>
    </row>
    <row r="1114" spans="1:10">
      <c r="A1114" s="38">
        <v>46363</v>
      </c>
      <c r="B1114" s="37" t="s">
        <v>298</v>
      </c>
      <c r="C1114" s="37" t="s">
        <v>299</v>
      </c>
      <c r="D1114" s="37" t="s">
        <v>621</v>
      </c>
      <c r="E1114" s="37" t="s">
        <v>618</v>
      </c>
      <c r="F1114" s="38">
        <v>46388</v>
      </c>
      <c r="G1114" s="37" t="s">
        <v>215</v>
      </c>
      <c r="H1114" s="40">
        <v>1360.83</v>
      </c>
      <c r="I1114" s="39">
        <f>IF(My_Payment[[#This Row],[Payment_Code]]="S",My_Payment[[#This Row],[Total AMT]]/2,IF(My_Payment[[#This Row],[Payment_Code]]="P",My_Payment[[#This Row],[Total AMT]],0))</f>
        <v>1360.83</v>
      </c>
      <c r="J1114" s="39">
        <f>IF(My_Payment[[#This Row],[Payment_Code]]="S",My_Payment[[#This Row],[Total AMT]]/2,IF(My_Payment[[#This Row],[Payment_Code]]="N",My_Payment[[#This Row],[Total AMT]],0))</f>
        <v>0</v>
      </c>
    </row>
    <row r="1115" spans="1:10">
      <c r="A1115" s="38">
        <v>46394</v>
      </c>
      <c r="B1115" s="37" t="s">
        <v>298</v>
      </c>
      <c r="C1115" s="37" t="s">
        <v>299</v>
      </c>
      <c r="D1115" s="37" t="s">
        <v>621</v>
      </c>
      <c r="E1115" s="37" t="s">
        <v>620</v>
      </c>
      <c r="F1115" s="38">
        <v>46419</v>
      </c>
      <c r="G1115" s="37" t="s">
        <v>215</v>
      </c>
      <c r="H1115" s="40">
        <v>1360.83</v>
      </c>
      <c r="I1115" s="39">
        <f>IF(My_Payment[[#This Row],[Payment_Code]]="S",My_Payment[[#This Row],[Total AMT]]/2,IF(My_Payment[[#This Row],[Payment_Code]]="P",My_Payment[[#This Row],[Total AMT]],0))</f>
        <v>1360.83</v>
      </c>
      <c r="J1115" s="39">
        <f>IF(My_Payment[[#This Row],[Payment_Code]]="S",My_Payment[[#This Row],[Total AMT]]/2,IF(My_Payment[[#This Row],[Payment_Code]]="N",My_Payment[[#This Row],[Total AMT]],0))</f>
        <v>0</v>
      </c>
    </row>
    <row r="1116" spans="1:10">
      <c r="A1116" s="38">
        <v>46425</v>
      </c>
      <c r="B1116" s="37" t="s">
        <v>298</v>
      </c>
      <c r="C1116" s="37" t="s">
        <v>299</v>
      </c>
      <c r="D1116" s="37" t="s">
        <v>621</v>
      </c>
      <c r="E1116" s="37" t="s">
        <v>622</v>
      </c>
      <c r="F1116" s="38">
        <v>46447</v>
      </c>
      <c r="G1116" s="37" t="s">
        <v>215</v>
      </c>
      <c r="H1116" s="40">
        <v>1360.83</v>
      </c>
      <c r="I1116" s="39">
        <f>IF(My_Payment[[#This Row],[Payment_Code]]="S",My_Payment[[#This Row],[Total AMT]]/2,IF(My_Payment[[#This Row],[Payment_Code]]="P",My_Payment[[#This Row],[Total AMT]],0))</f>
        <v>1360.83</v>
      </c>
      <c r="J1116" s="39">
        <f>IF(My_Payment[[#This Row],[Payment_Code]]="S",My_Payment[[#This Row],[Total AMT]]/2,IF(My_Payment[[#This Row],[Payment_Code]]="N",My_Payment[[#This Row],[Total AMT]],0))</f>
        <v>0</v>
      </c>
    </row>
    <row r="1117" spans="1:10">
      <c r="A1117" s="38">
        <v>46453</v>
      </c>
      <c r="B1117" s="37" t="s">
        <v>298</v>
      </c>
      <c r="C1117" s="37" t="s">
        <v>299</v>
      </c>
      <c r="D1117" s="37" t="s">
        <v>621</v>
      </c>
      <c r="E1117" s="37" t="s">
        <v>623</v>
      </c>
      <c r="F1117" s="38">
        <v>46478</v>
      </c>
      <c r="G1117" s="37" t="s">
        <v>215</v>
      </c>
      <c r="H1117" s="40">
        <v>1360.83</v>
      </c>
      <c r="I1117" s="39">
        <f>IF(My_Payment[[#This Row],[Payment_Code]]="S",My_Payment[[#This Row],[Total AMT]]/2,IF(My_Payment[[#This Row],[Payment_Code]]="P",My_Payment[[#This Row],[Total AMT]],0))</f>
        <v>1360.83</v>
      </c>
      <c r="J1117" s="39">
        <f>IF(My_Payment[[#This Row],[Payment_Code]]="S",My_Payment[[#This Row],[Total AMT]]/2,IF(My_Payment[[#This Row],[Payment_Code]]="N",My_Payment[[#This Row],[Total AMT]],0))</f>
        <v>0</v>
      </c>
    </row>
    <row r="1118" spans="1:10">
      <c r="A1118" s="38">
        <v>46484</v>
      </c>
      <c r="B1118" s="37" t="s">
        <v>298</v>
      </c>
      <c r="C1118" s="37" t="s">
        <v>299</v>
      </c>
      <c r="D1118" s="37" t="s">
        <v>621</v>
      </c>
      <c r="E1118" s="37" t="s">
        <v>624</v>
      </c>
      <c r="F1118" s="38">
        <v>46508</v>
      </c>
      <c r="G1118" s="37" t="s">
        <v>215</v>
      </c>
      <c r="H1118" s="40">
        <v>1360.83</v>
      </c>
      <c r="I1118" s="39">
        <f>IF(My_Payment[[#This Row],[Payment_Code]]="S",My_Payment[[#This Row],[Total AMT]]/2,IF(My_Payment[[#This Row],[Payment_Code]]="P",My_Payment[[#This Row],[Total AMT]],0))</f>
        <v>1360.83</v>
      </c>
      <c r="J1118" s="39">
        <f>IF(My_Payment[[#This Row],[Payment_Code]]="S",My_Payment[[#This Row],[Total AMT]]/2,IF(My_Payment[[#This Row],[Payment_Code]]="N",My_Payment[[#This Row],[Total AMT]],0))</f>
        <v>0</v>
      </c>
    </row>
    <row r="1119" spans="1:10">
      <c r="A1119" s="38">
        <v>46514</v>
      </c>
      <c r="B1119" s="37" t="s">
        <v>298</v>
      </c>
      <c r="C1119" s="37" t="s">
        <v>299</v>
      </c>
      <c r="D1119" s="37" t="s">
        <v>621</v>
      </c>
      <c r="E1119" s="37" t="s">
        <v>625</v>
      </c>
      <c r="F1119" s="38">
        <v>46539</v>
      </c>
      <c r="G1119" s="37" t="s">
        <v>215</v>
      </c>
      <c r="H1119" s="40">
        <v>1360.83</v>
      </c>
      <c r="I1119" s="39">
        <f>IF(My_Payment[[#This Row],[Payment_Code]]="S",My_Payment[[#This Row],[Total AMT]]/2,IF(My_Payment[[#This Row],[Payment_Code]]="P",My_Payment[[#This Row],[Total AMT]],0))</f>
        <v>1360.83</v>
      </c>
      <c r="J1119" s="39">
        <f>IF(My_Payment[[#This Row],[Payment_Code]]="S",My_Payment[[#This Row],[Total AMT]]/2,IF(My_Payment[[#This Row],[Payment_Code]]="N",My_Payment[[#This Row],[Total AMT]],0))</f>
        <v>0</v>
      </c>
    </row>
    <row r="1120" spans="1:10">
      <c r="A1120" s="38">
        <v>46545</v>
      </c>
      <c r="B1120" s="37" t="s">
        <v>298</v>
      </c>
      <c r="C1120" s="37" t="s">
        <v>299</v>
      </c>
      <c r="D1120" s="37" t="s">
        <v>621</v>
      </c>
      <c r="E1120" s="37" t="s">
        <v>626</v>
      </c>
      <c r="F1120" s="38">
        <v>46569</v>
      </c>
      <c r="G1120" s="37" t="s">
        <v>215</v>
      </c>
      <c r="H1120" s="40">
        <v>1360.83</v>
      </c>
      <c r="I1120" s="39">
        <f>IF(My_Payment[[#This Row],[Payment_Code]]="S",My_Payment[[#This Row],[Total AMT]]/2,IF(My_Payment[[#This Row],[Payment_Code]]="P",My_Payment[[#This Row],[Total AMT]],0))</f>
        <v>1360.83</v>
      </c>
      <c r="J1120" s="39">
        <f>IF(My_Payment[[#This Row],[Payment_Code]]="S",My_Payment[[#This Row],[Total AMT]]/2,IF(My_Payment[[#This Row],[Payment_Code]]="N",My_Payment[[#This Row],[Total AMT]],0))</f>
        <v>0</v>
      </c>
    </row>
    <row r="1121" spans="1:13">
      <c r="A1121" s="38">
        <v>46575</v>
      </c>
      <c r="B1121" s="37" t="s">
        <v>298</v>
      </c>
      <c r="C1121" s="37" t="s">
        <v>299</v>
      </c>
      <c r="D1121" s="37" t="s">
        <v>621</v>
      </c>
      <c r="E1121" s="37" t="s">
        <v>627</v>
      </c>
      <c r="F1121" s="38">
        <v>46600</v>
      </c>
      <c r="G1121" s="37" t="s">
        <v>215</v>
      </c>
      <c r="H1121" s="40">
        <v>1360.83</v>
      </c>
      <c r="I1121" s="39">
        <f>IF(My_Payment[[#This Row],[Payment_Code]]="S",My_Payment[[#This Row],[Total AMT]]/2,IF(My_Payment[[#This Row],[Payment_Code]]="P",My_Payment[[#This Row],[Total AMT]],0))</f>
        <v>1360.83</v>
      </c>
      <c r="J1121" s="39">
        <f>IF(My_Payment[[#This Row],[Payment_Code]]="S",My_Payment[[#This Row],[Total AMT]]/2,IF(My_Payment[[#This Row],[Payment_Code]]="N",My_Payment[[#This Row],[Total AMT]],0))</f>
        <v>0</v>
      </c>
    </row>
    <row r="1122" spans="1:13">
      <c r="A1122" s="38">
        <v>46606</v>
      </c>
      <c r="B1122" s="37" t="s">
        <v>298</v>
      </c>
      <c r="C1122" s="37" t="s">
        <v>299</v>
      </c>
      <c r="D1122" s="37" t="s">
        <v>621</v>
      </c>
      <c r="E1122" s="37" t="s">
        <v>628</v>
      </c>
      <c r="F1122" s="38">
        <v>46631</v>
      </c>
      <c r="G1122" s="37" t="s">
        <v>215</v>
      </c>
      <c r="H1122" s="40">
        <v>1360.83</v>
      </c>
      <c r="I1122" s="39">
        <f>IF(My_Payment[[#This Row],[Payment_Code]]="S",My_Payment[[#This Row],[Total AMT]]/2,IF(My_Payment[[#This Row],[Payment_Code]]="P",My_Payment[[#This Row],[Total AMT]],0))</f>
        <v>1360.83</v>
      </c>
      <c r="J1122" s="39">
        <f>IF(My_Payment[[#This Row],[Payment_Code]]="S",My_Payment[[#This Row],[Total AMT]]/2,IF(My_Payment[[#This Row],[Payment_Code]]="N",My_Payment[[#This Row],[Total AMT]],0))</f>
        <v>0</v>
      </c>
    </row>
    <row r="1123" spans="1:13">
      <c r="A1123" s="38">
        <v>46637</v>
      </c>
      <c r="B1123" s="37" t="s">
        <v>298</v>
      </c>
      <c r="C1123" s="37" t="s">
        <v>299</v>
      </c>
      <c r="D1123" s="37" t="s">
        <v>621</v>
      </c>
      <c r="E1123" s="37" t="s">
        <v>629</v>
      </c>
      <c r="F1123" s="38">
        <v>46661</v>
      </c>
      <c r="G1123" s="37" t="s">
        <v>215</v>
      </c>
      <c r="H1123" s="40">
        <v>1360.83</v>
      </c>
      <c r="I1123" s="39">
        <f>IF(My_Payment[[#This Row],[Payment_Code]]="S",My_Payment[[#This Row],[Total AMT]]/2,IF(My_Payment[[#This Row],[Payment_Code]]="P",My_Payment[[#This Row],[Total AMT]],0))</f>
        <v>1360.83</v>
      </c>
      <c r="J1123" s="39">
        <f>IF(My_Payment[[#This Row],[Payment_Code]]="S",My_Payment[[#This Row],[Total AMT]]/2,IF(My_Payment[[#This Row],[Payment_Code]]="N",My_Payment[[#This Row],[Total AMT]],0))</f>
        <v>0</v>
      </c>
      <c r="M1123" s="40"/>
    </row>
    <row r="1124" spans="1:13">
      <c r="A1124" s="38">
        <v>46667</v>
      </c>
      <c r="B1124" s="37" t="s">
        <v>298</v>
      </c>
      <c r="C1124" s="37" t="s">
        <v>299</v>
      </c>
      <c r="D1124" s="37" t="s">
        <v>621</v>
      </c>
      <c r="E1124" s="37" t="s">
        <v>630</v>
      </c>
      <c r="F1124" s="38">
        <v>46692</v>
      </c>
      <c r="G1124" s="37" t="s">
        <v>215</v>
      </c>
      <c r="H1124" s="40">
        <v>1360.83</v>
      </c>
      <c r="I1124" s="39">
        <f>IF(My_Payment[[#This Row],[Payment_Code]]="S",My_Payment[[#This Row],[Total AMT]]/2,IF(My_Payment[[#This Row],[Payment_Code]]="P",My_Payment[[#This Row],[Total AMT]],0))</f>
        <v>1360.83</v>
      </c>
      <c r="J1124" s="39">
        <f>IF(My_Payment[[#This Row],[Payment_Code]]="S",My_Payment[[#This Row],[Total AMT]]/2,IF(My_Payment[[#This Row],[Payment_Code]]="N",My_Payment[[#This Row],[Total AMT]],0))</f>
        <v>0</v>
      </c>
    </row>
    <row r="1125" spans="1:13">
      <c r="A1125" s="38">
        <v>46698</v>
      </c>
      <c r="B1125" s="37" t="s">
        <v>298</v>
      </c>
      <c r="C1125" s="37" t="s">
        <v>299</v>
      </c>
      <c r="D1125" s="37" t="s">
        <v>621</v>
      </c>
      <c r="E1125" s="37" t="s">
        <v>631</v>
      </c>
      <c r="F1125" s="38">
        <v>46722</v>
      </c>
      <c r="G1125" s="37" t="s">
        <v>215</v>
      </c>
      <c r="H1125" s="40">
        <v>1360.83</v>
      </c>
      <c r="I1125" s="39">
        <f>IF(My_Payment[[#This Row],[Payment_Code]]="S",My_Payment[[#This Row],[Total AMT]]/2,IF(My_Payment[[#This Row],[Payment_Code]]="P",My_Payment[[#This Row],[Total AMT]],0))</f>
        <v>1360.83</v>
      </c>
      <c r="J1125" s="39">
        <f>IF(My_Payment[[#This Row],[Payment_Code]]="S",My_Payment[[#This Row],[Total AMT]]/2,IF(My_Payment[[#This Row],[Payment_Code]]="N",My_Payment[[#This Row],[Total AMT]],0))</f>
        <v>0</v>
      </c>
    </row>
    <row r="1126" spans="1:13">
      <c r="A1126" s="38">
        <v>46728</v>
      </c>
      <c r="B1126" s="37" t="s">
        <v>298</v>
      </c>
      <c r="C1126" s="37" t="s">
        <v>299</v>
      </c>
      <c r="D1126" s="37" t="s">
        <v>621</v>
      </c>
      <c r="E1126" s="37" t="s">
        <v>632</v>
      </c>
      <c r="F1126" s="38">
        <v>46753</v>
      </c>
      <c r="G1126" s="37" t="s">
        <v>215</v>
      </c>
      <c r="H1126" s="40">
        <v>1360.83</v>
      </c>
      <c r="I1126" s="39">
        <f>IF(My_Payment[[#This Row],[Payment_Code]]="S",My_Payment[[#This Row],[Total AMT]]/2,IF(My_Payment[[#This Row],[Payment_Code]]="P",My_Payment[[#This Row],[Total AMT]],0))</f>
        <v>1360.83</v>
      </c>
      <c r="J1126" s="39">
        <f>IF(My_Payment[[#This Row],[Payment_Code]]="S",My_Payment[[#This Row],[Total AMT]]/2,IF(My_Payment[[#This Row],[Payment_Code]]="N",My_Payment[[#This Row],[Total AMT]],0))</f>
        <v>0</v>
      </c>
    </row>
    <row r="1127" spans="1:13">
      <c r="A1127" s="38">
        <v>46759</v>
      </c>
      <c r="B1127" s="37" t="s">
        <v>298</v>
      </c>
      <c r="C1127" s="37" t="s">
        <v>299</v>
      </c>
      <c r="D1127" s="37" t="s">
        <v>621</v>
      </c>
      <c r="E1127" s="37" t="s">
        <v>619</v>
      </c>
      <c r="F1127" s="38">
        <v>46784</v>
      </c>
      <c r="G1127" s="37" t="s">
        <v>215</v>
      </c>
      <c r="H1127" s="40">
        <v>1360.83</v>
      </c>
      <c r="I1127" s="39">
        <f>IF(My_Payment[[#This Row],[Payment_Code]]="S",My_Payment[[#This Row],[Total AMT]]/2,IF(My_Payment[[#This Row],[Payment_Code]]="P",My_Payment[[#This Row],[Total AMT]],0))</f>
        <v>1360.83</v>
      </c>
      <c r="J1127" s="39">
        <f>IF(My_Payment[[#This Row],[Payment_Code]]="S",My_Payment[[#This Row],[Total AMT]]/2,IF(My_Payment[[#This Row],[Payment_Code]]="N",My_Payment[[#This Row],[Total AMT]],0))</f>
        <v>0</v>
      </c>
    </row>
    <row r="1128" spans="1:13">
      <c r="A1128" s="38">
        <v>45657</v>
      </c>
      <c r="B1128" s="37" t="s">
        <v>208</v>
      </c>
      <c r="C1128" s="37" t="s">
        <v>209</v>
      </c>
      <c r="D1128" s="37" t="s">
        <v>217</v>
      </c>
      <c r="E1128" s="37" t="s">
        <v>211</v>
      </c>
      <c r="F1128" s="38">
        <v>45690</v>
      </c>
      <c r="G1128" s="37" t="s">
        <v>212</v>
      </c>
      <c r="H1128" s="39">
        <v>1710.49</v>
      </c>
      <c r="I1128" s="39">
        <f>IF(My_Payment[[#This Row],[Payment_Code]]="S",My_Payment[[#This Row],[Total AMT]]/2,IF(My_Payment[[#This Row],[Payment_Code]]="P",My_Payment[[#This Row],[Total AMT]],0))</f>
        <v>855.245</v>
      </c>
      <c r="J1128" s="39">
        <f>IF(My_Payment[[#This Row],[Payment_Code]]="S",My_Payment[[#This Row],[Total AMT]]/2,IF(My_Payment[[#This Row],[Payment_Code]]="N",My_Payment[[#This Row],[Total AMT]],0))</f>
        <v>855.245</v>
      </c>
    </row>
    <row r="1129" spans="1:13">
      <c r="A1129" s="38">
        <v>45665</v>
      </c>
      <c r="B1129" s="37" t="s">
        <v>225</v>
      </c>
      <c r="C1129" s="37" t="s">
        <v>226</v>
      </c>
      <c r="D1129" s="37" t="s">
        <v>392</v>
      </c>
      <c r="E1129" s="37" t="s">
        <v>211</v>
      </c>
      <c r="F1129" s="38">
        <v>45710</v>
      </c>
      <c r="G1129" s="37" t="s">
        <v>215</v>
      </c>
      <c r="H1129" s="40">
        <v>139</v>
      </c>
      <c r="I1129" s="39">
        <f>IF(My_Payment[[#This Row],[Payment_Code]]="S",My_Payment[[#This Row],[Total AMT]]/2,IF(My_Payment[[#This Row],[Payment_Code]]="P",My_Payment[[#This Row],[Total AMT]],0))</f>
        <v>139</v>
      </c>
      <c r="J1129" s="39">
        <f>IF(My_Payment[[#This Row],[Payment_Code]]="S",My_Payment[[#This Row],[Total AMT]]/2,IF(My_Payment[[#This Row],[Payment_Code]]="N",My_Payment[[#This Row],[Total AMT]],0))</f>
        <v>0</v>
      </c>
    </row>
    <row r="1130" spans="1:13">
      <c r="A1130" s="38">
        <v>45696</v>
      </c>
      <c r="B1130" s="37" t="s">
        <v>225</v>
      </c>
      <c r="C1130" s="37" t="s">
        <v>226</v>
      </c>
      <c r="D1130" s="37" t="s">
        <v>392</v>
      </c>
      <c r="E1130" s="37" t="s">
        <v>211</v>
      </c>
      <c r="F1130" s="38">
        <v>45738</v>
      </c>
      <c r="G1130" s="37" t="s">
        <v>215</v>
      </c>
      <c r="H1130" s="40">
        <v>139</v>
      </c>
      <c r="I1130" s="39">
        <f>IF(My_Payment[[#This Row],[Payment_Code]]="S",My_Payment[[#This Row],[Total AMT]]/2,IF(My_Payment[[#This Row],[Payment_Code]]="P",My_Payment[[#This Row],[Total AMT]],0))</f>
        <v>139</v>
      </c>
      <c r="J1130" s="39">
        <f>IF(My_Payment[[#This Row],[Payment_Code]]="S",My_Payment[[#This Row],[Total AMT]]/2,IF(My_Payment[[#This Row],[Payment_Code]]="N",My_Payment[[#This Row],[Total AMT]],0))</f>
        <v>0</v>
      </c>
    </row>
    <row r="1131" spans="1:13">
      <c r="A1131" s="38">
        <v>45685</v>
      </c>
      <c r="B1131" s="37" t="s">
        <v>225</v>
      </c>
      <c r="C1131" s="37" t="s">
        <v>226</v>
      </c>
      <c r="D1131" s="37" t="s">
        <v>227</v>
      </c>
      <c r="E1131" s="37" t="s">
        <v>211</v>
      </c>
      <c r="F1131" s="38">
        <v>45710</v>
      </c>
      <c r="G1131" s="37" t="s">
        <v>212</v>
      </c>
      <c r="H1131" s="40">
        <v>518</v>
      </c>
      <c r="I1131" s="39">
        <v>219</v>
      </c>
      <c r="J1131" s="39">
        <v>299</v>
      </c>
    </row>
    <row r="1132" spans="1:13">
      <c r="A1132" s="38">
        <v>45716</v>
      </c>
      <c r="B1132" s="37" t="s">
        <v>225</v>
      </c>
      <c r="C1132" s="37" t="s">
        <v>226</v>
      </c>
      <c r="D1132" s="37" t="s">
        <v>227</v>
      </c>
      <c r="E1132" s="37" t="s">
        <v>211</v>
      </c>
      <c r="F1132" s="38">
        <v>45738</v>
      </c>
      <c r="G1132" s="37" t="s">
        <v>212</v>
      </c>
      <c r="H1132" s="40">
        <v>518</v>
      </c>
      <c r="I1132" s="39">
        <v>219</v>
      </c>
      <c r="J1132" s="39">
        <v>299</v>
      </c>
    </row>
    <row r="1133" spans="1:13">
      <c r="A1133" s="38">
        <v>45744</v>
      </c>
      <c r="B1133" s="37" t="s">
        <v>225</v>
      </c>
      <c r="C1133" s="37" t="s">
        <v>226</v>
      </c>
      <c r="D1133" s="37" t="s">
        <v>227</v>
      </c>
      <c r="E1133" s="37" t="s">
        <v>211</v>
      </c>
      <c r="F1133" s="38">
        <v>45769</v>
      </c>
      <c r="G1133" s="37" t="s">
        <v>212</v>
      </c>
      <c r="H1133" s="40">
        <v>518</v>
      </c>
      <c r="I1133" s="39">
        <v>219</v>
      </c>
      <c r="J1133" s="39">
        <v>299</v>
      </c>
    </row>
    <row r="1134" spans="1:13">
      <c r="A1134" s="38">
        <v>45775</v>
      </c>
      <c r="B1134" s="37" t="s">
        <v>225</v>
      </c>
      <c r="C1134" s="37" t="s">
        <v>226</v>
      </c>
      <c r="D1134" s="37" t="s">
        <v>227</v>
      </c>
      <c r="E1134" s="37" t="s">
        <v>211</v>
      </c>
      <c r="F1134" s="38">
        <v>45799</v>
      </c>
      <c r="G1134" s="37" t="s">
        <v>212</v>
      </c>
      <c r="H1134" s="40">
        <v>518</v>
      </c>
      <c r="I1134" s="39">
        <v>219</v>
      </c>
      <c r="J1134" s="39">
        <v>299</v>
      </c>
    </row>
    <row r="1135" spans="1:13">
      <c r="A1135" s="38">
        <v>45805</v>
      </c>
      <c r="B1135" s="37" t="s">
        <v>225</v>
      </c>
      <c r="C1135" s="37" t="s">
        <v>226</v>
      </c>
      <c r="D1135" s="37" t="s">
        <v>227</v>
      </c>
      <c r="E1135" s="37" t="s">
        <v>211</v>
      </c>
      <c r="F1135" s="38">
        <v>45830</v>
      </c>
      <c r="G1135" s="37" t="s">
        <v>212</v>
      </c>
      <c r="H1135" s="40">
        <v>518</v>
      </c>
      <c r="I1135" s="39">
        <v>219</v>
      </c>
      <c r="J1135" s="39">
        <v>299</v>
      </c>
    </row>
    <row r="1136" spans="1:13">
      <c r="A1136" s="38">
        <v>45836</v>
      </c>
      <c r="B1136" s="37" t="s">
        <v>225</v>
      </c>
      <c r="C1136" s="37" t="s">
        <v>226</v>
      </c>
      <c r="D1136" s="37" t="s">
        <v>227</v>
      </c>
      <c r="E1136" s="37" t="s">
        <v>211</v>
      </c>
      <c r="F1136" s="38">
        <v>45860</v>
      </c>
      <c r="G1136" s="37" t="s">
        <v>212</v>
      </c>
      <c r="H1136" s="40">
        <v>518</v>
      </c>
      <c r="I1136" s="39">
        <v>219</v>
      </c>
      <c r="J1136" s="39">
        <v>299</v>
      </c>
    </row>
    <row r="1137" spans="1:10">
      <c r="A1137" s="38">
        <v>45866</v>
      </c>
      <c r="B1137" s="37" t="s">
        <v>225</v>
      </c>
      <c r="C1137" s="37" t="s">
        <v>226</v>
      </c>
      <c r="D1137" s="37" t="s">
        <v>227</v>
      </c>
      <c r="E1137" s="37" t="s">
        <v>211</v>
      </c>
      <c r="F1137" s="38">
        <v>45891</v>
      </c>
      <c r="G1137" s="37" t="s">
        <v>212</v>
      </c>
      <c r="H1137" s="40">
        <v>518</v>
      </c>
      <c r="I1137" s="39">
        <v>219</v>
      </c>
      <c r="J1137" s="39">
        <v>299</v>
      </c>
    </row>
    <row r="1138" spans="1:10">
      <c r="A1138" s="38">
        <v>45897</v>
      </c>
      <c r="B1138" s="37" t="s">
        <v>225</v>
      </c>
      <c r="C1138" s="37" t="s">
        <v>226</v>
      </c>
      <c r="D1138" s="37" t="s">
        <v>227</v>
      </c>
      <c r="E1138" s="37" t="s">
        <v>211</v>
      </c>
      <c r="F1138" s="38">
        <v>45922</v>
      </c>
      <c r="G1138" s="37" t="s">
        <v>212</v>
      </c>
      <c r="H1138" s="40">
        <v>518</v>
      </c>
      <c r="I1138" s="39">
        <v>219</v>
      </c>
      <c r="J1138" s="39">
        <v>299</v>
      </c>
    </row>
    <row r="1139" spans="1:10">
      <c r="A1139" s="38">
        <v>45928</v>
      </c>
      <c r="B1139" s="37" t="s">
        <v>225</v>
      </c>
      <c r="C1139" s="37" t="s">
        <v>226</v>
      </c>
      <c r="D1139" s="37" t="s">
        <v>227</v>
      </c>
      <c r="E1139" s="37" t="s">
        <v>211</v>
      </c>
      <c r="F1139" s="38">
        <v>45952</v>
      </c>
      <c r="G1139" s="37" t="s">
        <v>212</v>
      </c>
      <c r="H1139" s="40">
        <v>518</v>
      </c>
      <c r="I1139" s="39">
        <v>219</v>
      </c>
      <c r="J1139" s="39">
        <v>299</v>
      </c>
    </row>
    <row r="1140" spans="1:10">
      <c r="A1140" s="38">
        <v>45958</v>
      </c>
      <c r="B1140" s="37" t="s">
        <v>225</v>
      </c>
      <c r="C1140" s="37" t="s">
        <v>226</v>
      </c>
      <c r="D1140" s="37" t="s">
        <v>227</v>
      </c>
      <c r="E1140" s="37" t="s">
        <v>211</v>
      </c>
      <c r="F1140" s="38">
        <v>45983</v>
      </c>
      <c r="G1140" s="37" t="s">
        <v>212</v>
      </c>
      <c r="H1140" s="40">
        <v>518</v>
      </c>
      <c r="I1140" s="39">
        <v>219</v>
      </c>
      <c r="J1140" s="39">
        <v>299</v>
      </c>
    </row>
    <row r="1141" spans="1:10">
      <c r="A1141" s="38">
        <v>45989</v>
      </c>
      <c r="B1141" s="37" t="s">
        <v>225</v>
      </c>
      <c r="C1141" s="37" t="s">
        <v>226</v>
      </c>
      <c r="D1141" s="37" t="s">
        <v>227</v>
      </c>
      <c r="E1141" s="37" t="s">
        <v>211</v>
      </c>
      <c r="F1141" s="38">
        <v>46013</v>
      </c>
      <c r="G1141" s="37" t="s">
        <v>212</v>
      </c>
      <c r="H1141" s="40">
        <v>518</v>
      </c>
      <c r="I1141" s="39">
        <v>219</v>
      </c>
      <c r="J1141" s="39">
        <v>299</v>
      </c>
    </row>
    <row r="1142" spans="1:10">
      <c r="A1142" s="38">
        <v>46019</v>
      </c>
      <c r="B1142" s="37" t="s">
        <v>225</v>
      </c>
      <c r="C1142" s="37" t="s">
        <v>226</v>
      </c>
      <c r="D1142" s="37" t="s">
        <v>227</v>
      </c>
      <c r="E1142" s="37" t="s">
        <v>211</v>
      </c>
      <c r="F1142" s="38">
        <v>46044</v>
      </c>
      <c r="G1142" s="37" t="s">
        <v>212</v>
      </c>
      <c r="H1142" s="40">
        <v>518</v>
      </c>
      <c r="I1142" s="39">
        <v>219</v>
      </c>
      <c r="J1142" s="39">
        <v>299</v>
      </c>
    </row>
    <row r="1143" spans="1:10">
      <c r="A1143" s="38">
        <v>46050</v>
      </c>
      <c r="B1143" s="37" t="s">
        <v>225</v>
      </c>
      <c r="C1143" s="37" t="s">
        <v>226</v>
      </c>
      <c r="D1143" s="37" t="s">
        <v>227</v>
      </c>
      <c r="E1143" s="37" t="s">
        <v>211</v>
      </c>
      <c r="F1143" s="38">
        <v>46075</v>
      </c>
      <c r="G1143" s="37" t="s">
        <v>212</v>
      </c>
      <c r="H1143" s="40">
        <v>518</v>
      </c>
      <c r="I1143" s="39">
        <v>219</v>
      </c>
      <c r="J1143" s="39">
        <v>299</v>
      </c>
    </row>
    <row r="1144" spans="1:10">
      <c r="A1144" s="38">
        <v>45646</v>
      </c>
      <c r="B1144" s="37" t="s">
        <v>305</v>
      </c>
      <c r="C1144" s="37" t="s">
        <v>226</v>
      </c>
      <c r="D1144" s="37" t="s">
        <v>505</v>
      </c>
      <c r="E1144" s="37" t="s">
        <v>211</v>
      </c>
      <c r="F1144" s="38">
        <v>45695</v>
      </c>
      <c r="G1144" s="37" t="s">
        <v>215</v>
      </c>
      <c r="H1144" s="39">
        <v>45</v>
      </c>
      <c r="I1144" s="39">
        <f>IF(My_Payment[[#This Row],[Payment_Code]]="S",My_Payment[[#This Row],[Total AMT]]/2,IF(My_Payment[[#This Row],[Payment_Code]]="P",My_Payment[[#This Row],[Total AMT]],0))</f>
        <v>45</v>
      </c>
      <c r="J1144" s="39">
        <f>IF(My_Payment[[#This Row],[Payment_Code]]="S",My_Payment[[#This Row],[Total AMT]]/2,IF(My_Payment[[#This Row],[Payment_Code]]="N",My_Payment[[#This Row],[Total AMT]],0))</f>
        <v>0</v>
      </c>
    </row>
    <row r="1145" spans="1:10">
      <c r="A1145" s="38">
        <v>45647</v>
      </c>
      <c r="B1145" s="37" t="s">
        <v>305</v>
      </c>
      <c r="C1145" s="37" t="s">
        <v>226</v>
      </c>
      <c r="D1145" s="37" t="s">
        <v>634</v>
      </c>
      <c r="E1145" s="37" t="s">
        <v>211</v>
      </c>
      <c r="F1145" s="38">
        <v>45695</v>
      </c>
      <c r="G1145" s="37" t="s">
        <v>215</v>
      </c>
      <c r="H1145" s="39">
        <v>1120</v>
      </c>
      <c r="I1145" s="39">
        <f>IF(My_Payment[[#This Row],[Payment_Code]]="S",My_Payment[[#This Row],[Total AMT]]/2,IF(My_Payment[[#This Row],[Payment_Code]]="P",My_Payment[[#This Row],[Total AMT]],0))</f>
        <v>1120</v>
      </c>
      <c r="J1145" s="39">
        <f>IF(My_Payment[[#This Row],[Payment_Code]]="S",My_Payment[[#This Row],[Total AMT]]/2,IF(My_Payment[[#This Row],[Payment_Code]]="N",My_Payment[[#This Row],[Total AMT]],0))</f>
        <v>0</v>
      </c>
    </row>
    <row r="1146" spans="1:10">
      <c r="A1146" s="38">
        <v>45647</v>
      </c>
      <c r="B1146" s="37" t="s">
        <v>305</v>
      </c>
      <c r="C1146" s="37" t="s">
        <v>226</v>
      </c>
      <c r="D1146" s="37" t="s">
        <v>505</v>
      </c>
      <c r="E1146" s="37" t="s">
        <v>211</v>
      </c>
      <c r="F1146" s="38">
        <v>45695</v>
      </c>
      <c r="G1146" s="37" t="s">
        <v>215</v>
      </c>
      <c r="H1146" s="39">
        <v>45</v>
      </c>
      <c r="I1146" s="39">
        <f>IF(My_Payment[[#This Row],[Payment_Code]]="S",My_Payment[[#This Row],[Total AMT]]/2,IF(My_Payment[[#This Row],[Payment_Code]]="P",My_Payment[[#This Row],[Total AMT]],0))</f>
        <v>45</v>
      </c>
      <c r="J1146" s="39">
        <f>IF(My_Payment[[#This Row],[Payment_Code]]="S",My_Payment[[#This Row],[Total AMT]]/2,IF(My_Payment[[#This Row],[Payment_Code]]="N",My_Payment[[#This Row],[Total AMT]],0))</f>
        <v>0</v>
      </c>
    </row>
    <row r="1147" spans="1:10">
      <c r="A1147" s="38">
        <v>45658</v>
      </c>
      <c r="B1147" s="37" t="s">
        <v>305</v>
      </c>
      <c r="C1147" s="37" t="s">
        <v>226</v>
      </c>
      <c r="D1147" s="37" t="s">
        <v>316</v>
      </c>
      <c r="E1147" s="37" t="s">
        <v>211</v>
      </c>
      <c r="F1147" s="38">
        <v>45695</v>
      </c>
      <c r="G1147" s="37" t="s">
        <v>212</v>
      </c>
      <c r="H1147" s="39">
        <v>992.96</v>
      </c>
      <c r="I1147" s="39">
        <f>IF(My_Payment[[#This Row],[Payment_Code]]="S",My_Payment[[#This Row],[Total AMT]]/2,IF(My_Payment[[#This Row],[Payment_Code]]="P",My_Payment[[#This Row],[Total AMT]],0))</f>
        <v>496.48</v>
      </c>
      <c r="J1147" s="39">
        <f>IF(My_Payment[[#This Row],[Payment_Code]]="S",My_Payment[[#This Row],[Total AMT]]/2,IF(My_Payment[[#This Row],[Payment_Code]]="N",My_Payment[[#This Row],[Total AMT]],0))</f>
        <v>496.48</v>
      </c>
    </row>
    <row r="1148" spans="1:10">
      <c r="A1148" s="38">
        <v>45659</v>
      </c>
      <c r="B1148" s="37" t="s">
        <v>305</v>
      </c>
      <c r="C1148" s="37" t="s">
        <v>226</v>
      </c>
      <c r="D1148" s="37" t="s">
        <v>635</v>
      </c>
      <c r="E1148" s="37" t="s">
        <v>211</v>
      </c>
      <c r="F1148" s="38">
        <v>45695</v>
      </c>
      <c r="G1148" s="37" t="s">
        <v>215</v>
      </c>
      <c r="H1148" s="39">
        <v>25</v>
      </c>
      <c r="I1148" s="39">
        <f>IF(My_Payment[[#This Row],[Payment_Code]]="S",My_Payment[[#This Row],[Total AMT]]/2,IF(My_Payment[[#This Row],[Payment_Code]]="P",My_Payment[[#This Row],[Total AMT]],0))</f>
        <v>25</v>
      </c>
      <c r="J1148" s="39">
        <f>IF(My_Payment[[#This Row],[Payment_Code]]="S",My_Payment[[#This Row],[Total AMT]]/2,IF(My_Payment[[#This Row],[Payment_Code]]="N",My_Payment[[#This Row],[Total AMT]],0))</f>
        <v>0</v>
      </c>
    </row>
    <row r="1149" spans="1:10">
      <c r="A1149" s="38">
        <v>45659</v>
      </c>
      <c r="B1149" s="37" t="s">
        <v>305</v>
      </c>
      <c r="C1149" s="37" t="s">
        <v>226</v>
      </c>
      <c r="D1149" s="37" t="s">
        <v>635</v>
      </c>
      <c r="E1149" s="37" t="s">
        <v>211</v>
      </c>
      <c r="F1149" s="38">
        <v>45695</v>
      </c>
      <c r="G1149" s="37" t="s">
        <v>215</v>
      </c>
      <c r="H1149" s="39">
        <v>50</v>
      </c>
      <c r="I1149" s="39">
        <f>IF(My_Payment[[#This Row],[Payment_Code]]="S",My_Payment[[#This Row],[Total AMT]]/2,IF(My_Payment[[#This Row],[Payment_Code]]="P",My_Payment[[#This Row],[Total AMT]],0))</f>
        <v>50</v>
      </c>
      <c r="J1149" s="39">
        <f>IF(My_Payment[[#This Row],[Payment_Code]]="S",My_Payment[[#This Row],[Total AMT]]/2,IF(My_Payment[[#This Row],[Payment_Code]]="N",My_Payment[[#This Row],[Total AMT]],0))</f>
        <v>0</v>
      </c>
    </row>
    <row r="1150" spans="1:10">
      <c r="A1150" s="38">
        <v>45659</v>
      </c>
      <c r="B1150" s="37" t="s">
        <v>305</v>
      </c>
      <c r="C1150" s="37" t="s">
        <v>226</v>
      </c>
      <c r="D1150" s="37" t="s">
        <v>448</v>
      </c>
      <c r="E1150" s="37" t="s">
        <v>211</v>
      </c>
      <c r="F1150" s="38">
        <v>45695</v>
      </c>
      <c r="G1150" s="37" t="s">
        <v>215</v>
      </c>
      <c r="H1150" s="39">
        <v>1590</v>
      </c>
      <c r="I1150" s="39">
        <f>IF(My_Payment[[#This Row],[Payment_Code]]="S",My_Payment[[#This Row],[Total AMT]]/2,IF(My_Payment[[#This Row],[Payment_Code]]="P",My_Payment[[#This Row],[Total AMT]],0))</f>
        <v>1590</v>
      </c>
      <c r="J1150" s="39">
        <f>IF(My_Payment[[#This Row],[Payment_Code]]="S",My_Payment[[#This Row],[Total AMT]]/2,IF(My_Payment[[#This Row],[Payment_Code]]="N",My_Payment[[#This Row],[Total AMT]],0))</f>
        <v>0</v>
      </c>
    </row>
    <row r="1151" spans="1:10">
      <c r="A1151" s="38">
        <v>45659</v>
      </c>
      <c r="B1151" s="37" t="s">
        <v>305</v>
      </c>
      <c r="C1151" s="37" t="s">
        <v>226</v>
      </c>
      <c r="D1151" s="37" t="s">
        <v>448</v>
      </c>
      <c r="E1151" s="37" t="s">
        <v>211</v>
      </c>
      <c r="F1151" s="38">
        <v>45695</v>
      </c>
      <c r="G1151" s="37" t="s">
        <v>215</v>
      </c>
      <c r="H1151" s="39">
        <v>2390</v>
      </c>
      <c r="I1151" s="39">
        <f>IF(My_Payment[[#This Row],[Payment_Code]]="S",My_Payment[[#This Row],[Total AMT]]/2,IF(My_Payment[[#This Row],[Payment_Code]]="P",My_Payment[[#This Row],[Total AMT]],0))</f>
        <v>2390</v>
      </c>
      <c r="J1151" s="39">
        <f>IF(My_Payment[[#This Row],[Payment_Code]]="S",My_Payment[[#This Row],[Total AMT]]/2,IF(My_Payment[[#This Row],[Payment_Code]]="N",My_Payment[[#This Row],[Total AMT]],0))</f>
        <v>0</v>
      </c>
    </row>
    <row r="1152" spans="1:10">
      <c r="A1152" s="38">
        <v>45661</v>
      </c>
      <c r="B1152" s="37" t="s">
        <v>305</v>
      </c>
      <c r="C1152" s="37" t="s">
        <v>226</v>
      </c>
      <c r="D1152" s="37" t="s">
        <v>636</v>
      </c>
      <c r="E1152" s="37" t="s">
        <v>211</v>
      </c>
      <c r="F1152" s="38">
        <v>45695</v>
      </c>
      <c r="G1152" s="37" t="s">
        <v>215</v>
      </c>
      <c r="H1152" s="39">
        <v>50</v>
      </c>
      <c r="I1152" s="39">
        <f>IF(My_Payment[[#This Row],[Payment_Code]]="S",My_Payment[[#This Row],[Total AMT]]/2,IF(My_Payment[[#This Row],[Payment_Code]]="P",My_Payment[[#This Row],[Total AMT]],0))</f>
        <v>50</v>
      </c>
      <c r="J1152" s="39">
        <f>IF(My_Payment[[#This Row],[Payment_Code]]="S",My_Payment[[#This Row],[Total AMT]]/2,IF(My_Payment[[#This Row],[Payment_Code]]="N",My_Payment[[#This Row],[Total AMT]],0))</f>
        <v>0</v>
      </c>
    </row>
    <row r="1153" spans="1:10">
      <c r="A1153" s="38">
        <v>45661</v>
      </c>
      <c r="B1153" s="37" t="s">
        <v>305</v>
      </c>
      <c r="C1153" s="37" t="s">
        <v>226</v>
      </c>
      <c r="D1153" s="37" t="s">
        <v>636</v>
      </c>
      <c r="E1153" s="37" t="s">
        <v>211</v>
      </c>
      <c r="F1153" s="38">
        <v>45695</v>
      </c>
      <c r="G1153" s="37" t="s">
        <v>215</v>
      </c>
      <c r="H1153" s="39">
        <v>50</v>
      </c>
      <c r="I1153" s="39">
        <f>IF(My_Payment[[#This Row],[Payment_Code]]="S",My_Payment[[#This Row],[Total AMT]]/2,IF(My_Payment[[#This Row],[Payment_Code]]="P",My_Payment[[#This Row],[Total AMT]],0))</f>
        <v>50</v>
      </c>
      <c r="J1153" s="39">
        <f>IF(My_Payment[[#This Row],[Payment_Code]]="S",My_Payment[[#This Row],[Total AMT]]/2,IF(My_Payment[[#This Row],[Payment_Code]]="N",My_Payment[[#This Row],[Total AMT]],0))</f>
        <v>0</v>
      </c>
    </row>
    <row r="1154" spans="1:10">
      <c r="A1154" s="38">
        <v>45669</v>
      </c>
      <c r="B1154" s="37" t="s">
        <v>305</v>
      </c>
      <c r="C1154" s="37" t="s">
        <v>226</v>
      </c>
      <c r="D1154" s="37" t="s">
        <v>637</v>
      </c>
      <c r="E1154" s="37" t="s">
        <v>211</v>
      </c>
      <c r="F1154" s="38">
        <v>45695</v>
      </c>
      <c r="G1154" s="37" t="s">
        <v>215</v>
      </c>
      <c r="H1154" s="39">
        <v>1925</v>
      </c>
      <c r="I1154" s="39">
        <f>IF(My_Payment[[#This Row],[Payment_Code]]="S",My_Payment[[#This Row],[Total AMT]]/2,IF(My_Payment[[#This Row],[Payment_Code]]="P",My_Payment[[#This Row],[Total AMT]],0))</f>
        <v>1925</v>
      </c>
      <c r="J1154" s="39">
        <f>IF(My_Payment[[#This Row],[Payment_Code]]="S",My_Payment[[#This Row],[Total AMT]]/2,IF(My_Payment[[#This Row],[Payment_Code]]="N",My_Payment[[#This Row],[Total AMT]],0))</f>
        <v>0</v>
      </c>
    </row>
    <row r="1155" spans="1:10">
      <c r="A1155" s="38">
        <v>45675</v>
      </c>
      <c r="B1155" s="37" t="s">
        <v>305</v>
      </c>
      <c r="C1155" s="37" t="s">
        <v>226</v>
      </c>
      <c r="D1155" s="37" t="s">
        <v>9</v>
      </c>
      <c r="E1155" s="37" t="s">
        <v>317</v>
      </c>
      <c r="F1155" s="38">
        <v>45695</v>
      </c>
      <c r="G1155" s="37" t="s">
        <v>215</v>
      </c>
      <c r="H1155" s="39">
        <v>3564.88</v>
      </c>
      <c r="I1155" s="39">
        <f>IF(My_Payment[[#This Row],[Payment_Code]]="S",My_Payment[[#This Row],[Total AMT]]/2,IF(My_Payment[[#This Row],[Payment_Code]]="P",My_Payment[[#This Row],[Total AMT]],0))</f>
        <v>3564.88</v>
      </c>
      <c r="J1155" s="39">
        <f>IF(My_Payment[[#This Row],[Payment_Code]]="S",My_Payment[[#This Row],[Total AMT]]/2,IF(My_Payment[[#This Row],[Payment_Code]]="N",My_Payment[[#This Row],[Total AMT]],0))</f>
        <v>0</v>
      </c>
    </row>
    <row r="1156" spans="1:10">
      <c r="A1156" s="38">
        <v>45706</v>
      </c>
      <c r="B1156" s="37" t="s">
        <v>305</v>
      </c>
      <c r="C1156" s="37" t="s">
        <v>226</v>
      </c>
      <c r="D1156" s="37" t="s">
        <v>9</v>
      </c>
      <c r="E1156" s="37" t="s">
        <v>318</v>
      </c>
      <c r="F1156" s="38">
        <v>45723</v>
      </c>
      <c r="G1156" s="37" t="s">
        <v>215</v>
      </c>
      <c r="H1156" s="39">
        <v>3564.88</v>
      </c>
      <c r="I1156" s="39">
        <f>IF(My_Payment[[#This Row],[Payment_Code]]="S",My_Payment[[#This Row],[Total AMT]]/2,IF(My_Payment[[#This Row],[Payment_Code]]="P",My_Payment[[#This Row],[Total AMT]],0))</f>
        <v>3564.88</v>
      </c>
      <c r="J1156" s="39">
        <f>IF(My_Payment[[#This Row],[Payment_Code]]="S",My_Payment[[#This Row],[Total AMT]]/2,IF(My_Payment[[#This Row],[Payment_Code]]="N",My_Payment[[#This Row],[Total AMT]],0))</f>
        <v>0</v>
      </c>
    </row>
    <row r="1157" spans="1:10">
      <c r="A1157" s="38">
        <v>45734</v>
      </c>
      <c r="B1157" s="37" t="s">
        <v>305</v>
      </c>
      <c r="C1157" s="37" t="s">
        <v>226</v>
      </c>
      <c r="D1157" s="37" t="s">
        <v>9</v>
      </c>
      <c r="E1157" s="37" t="s">
        <v>319</v>
      </c>
      <c r="F1157" s="38">
        <v>45754</v>
      </c>
      <c r="G1157" s="37" t="s">
        <v>215</v>
      </c>
      <c r="H1157" s="39">
        <v>3564.88</v>
      </c>
      <c r="I1157" s="39">
        <f>IF(My_Payment[[#This Row],[Payment_Code]]="S",My_Payment[[#This Row],[Total AMT]]/2,IF(My_Payment[[#This Row],[Payment_Code]]="P",My_Payment[[#This Row],[Total AMT]],0))</f>
        <v>3564.88</v>
      </c>
      <c r="J1157" s="39">
        <f>IF(My_Payment[[#This Row],[Payment_Code]]="S",My_Payment[[#This Row],[Total AMT]]/2,IF(My_Payment[[#This Row],[Payment_Code]]="N",My_Payment[[#This Row],[Total AMT]],0))</f>
        <v>0</v>
      </c>
    </row>
    <row r="1158" spans="1:10">
      <c r="A1158" s="38">
        <v>45765</v>
      </c>
      <c r="B1158" s="37" t="s">
        <v>305</v>
      </c>
      <c r="C1158" s="37" t="s">
        <v>226</v>
      </c>
      <c r="D1158" s="37" t="s">
        <v>9</v>
      </c>
      <c r="E1158" s="37" t="s">
        <v>320</v>
      </c>
      <c r="F1158" s="38">
        <v>45784</v>
      </c>
      <c r="G1158" s="37" t="s">
        <v>215</v>
      </c>
      <c r="H1158" s="39">
        <v>3564.88</v>
      </c>
      <c r="I1158" s="39">
        <f>IF(My_Payment[[#This Row],[Payment_Code]]="S",My_Payment[[#This Row],[Total AMT]]/2,IF(My_Payment[[#This Row],[Payment_Code]]="P",My_Payment[[#This Row],[Total AMT]],0))</f>
        <v>3564.88</v>
      </c>
      <c r="J1158" s="39">
        <f>IF(My_Payment[[#This Row],[Payment_Code]]="S",My_Payment[[#This Row],[Total AMT]]/2,IF(My_Payment[[#This Row],[Payment_Code]]="N",My_Payment[[#This Row],[Total AMT]],0))</f>
        <v>0</v>
      </c>
    </row>
    <row r="1159" spans="1:10">
      <c r="A1159" s="38">
        <v>45795</v>
      </c>
      <c r="B1159" s="37" t="s">
        <v>305</v>
      </c>
      <c r="C1159" s="37" t="s">
        <v>226</v>
      </c>
      <c r="D1159" s="37" t="s">
        <v>9</v>
      </c>
      <c r="E1159" s="37" t="s">
        <v>321</v>
      </c>
      <c r="F1159" s="38">
        <v>45815</v>
      </c>
      <c r="G1159" s="37" t="s">
        <v>215</v>
      </c>
      <c r="H1159" s="39">
        <v>3564.88</v>
      </c>
      <c r="I1159" s="39">
        <f>IF(My_Payment[[#This Row],[Payment_Code]]="S",My_Payment[[#This Row],[Total AMT]]/2,IF(My_Payment[[#This Row],[Payment_Code]]="P",My_Payment[[#This Row],[Total AMT]],0))</f>
        <v>3564.88</v>
      </c>
      <c r="J1159" s="39">
        <f>IF(My_Payment[[#This Row],[Payment_Code]]="S",My_Payment[[#This Row],[Total AMT]]/2,IF(My_Payment[[#This Row],[Payment_Code]]="N",My_Payment[[#This Row],[Total AMT]],0))</f>
        <v>0</v>
      </c>
    </row>
    <row r="1160" spans="1:10">
      <c r="A1160" s="38">
        <v>45826</v>
      </c>
      <c r="B1160" s="37" t="s">
        <v>305</v>
      </c>
      <c r="C1160" s="37" t="s">
        <v>226</v>
      </c>
      <c r="D1160" s="37" t="s">
        <v>9</v>
      </c>
      <c r="E1160" s="37" t="s">
        <v>25</v>
      </c>
      <c r="F1160" s="38">
        <v>45845</v>
      </c>
      <c r="G1160" s="37" t="s">
        <v>215</v>
      </c>
      <c r="H1160" s="39">
        <v>3564.9</v>
      </c>
      <c r="I1160" s="39">
        <f>IF(My_Payment[[#This Row],[Payment_Code]]="S",My_Payment[[#This Row],[Total AMT]]/2,IF(My_Payment[[#This Row],[Payment_Code]]="P",My_Payment[[#This Row],[Total AMT]],0))</f>
        <v>3564.9</v>
      </c>
      <c r="J1160" s="39">
        <f>IF(My_Payment[[#This Row],[Payment_Code]]="S",My_Payment[[#This Row],[Total AMT]]/2,IF(My_Payment[[#This Row],[Payment_Code]]="N",My_Payment[[#This Row],[Total AMT]],0))</f>
        <v>0</v>
      </c>
    </row>
    <row r="1161" spans="1:10">
      <c r="A1161" s="38">
        <v>45648</v>
      </c>
      <c r="B1161" s="37" t="s">
        <v>345</v>
      </c>
      <c r="C1161" s="37" t="s">
        <v>248</v>
      </c>
      <c r="D1161" s="37" t="s">
        <v>640</v>
      </c>
      <c r="E1161" s="37" t="s">
        <v>211</v>
      </c>
      <c r="F1161" s="38">
        <v>45690</v>
      </c>
      <c r="G1161" s="37" t="s">
        <v>212</v>
      </c>
      <c r="H1161" s="39">
        <v>1568.41</v>
      </c>
      <c r="I1161" s="39">
        <f>IF(My_Payment[[#This Row],[Payment_Code]]="S",My_Payment[[#This Row],[Total AMT]]/2,IF(My_Payment[[#This Row],[Payment_Code]]="P",My_Payment[[#This Row],[Total AMT]],0))</f>
        <v>784.20500000000004</v>
      </c>
      <c r="J1161" s="39">
        <f>IF(My_Payment[[#This Row],[Payment_Code]]="S",My_Payment[[#This Row],[Total AMT]]/2,IF(My_Payment[[#This Row],[Payment_Code]]="N",My_Payment[[#This Row],[Total AMT]],0))</f>
        <v>784.20500000000004</v>
      </c>
    </row>
    <row r="1162" spans="1:10">
      <c r="A1162" s="38">
        <v>45662</v>
      </c>
      <c r="B1162" s="37" t="s">
        <v>357</v>
      </c>
      <c r="C1162" s="37" t="s">
        <v>248</v>
      </c>
      <c r="D1162" s="37" t="s">
        <v>641</v>
      </c>
      <c r="E1162" s="37" t="s">
        <v>211</v>
      </c>
      <c r="F1162" s="38">
        <v>45693</v>
      </c>
      <c r="G1162" s="37" t="s">
        <v>215</v>
      </c>
      <c r="H1162" s="39">
        <v>338</v>
      </c>
      <c r="I1162" s="39">
        <f>IF(My_Payment[[#This Row],[Payment_Code]]="S",My_Payment[[#This Row],[Total AMT]]/2,IF(My_Payment[[#This Row],[Payment_Code]]="P",My_Payment[[#This Row],[Total AMT]],0))</f>
        <v>338</v>
      </c>
      <c r="J1162" s="39">
        <f>IF(My_Payment[[#This Row],[Payment_Code]]="S",My_Payment[[#This Row],[Total AMT]]/2,IF(My_Payment[[#This Row],[Payment_Code]]="N",My_Payment[[#This Row],[Total AMT]],0))</f>
        <v>0</v>
      </c>
    </row>
    <row r="1163" spans="1:10">
      <c r="A1163" s="38">
        <v>45700</v>
      </c>
      <c r="B1163" s="37" t="s">
        <v>208</v>
      </c>
      <c r="C1163" s="37" t="s">
        <v>209</v>
      </c>
      <c r="D1163" s="37" t="s">
        <v>217</v>
      </c>
      <c r="E1163" s="37" t="s">
        <v>211</v>
      </c>
      <c r="F1163" s="38">
        <v>45749</v>
      </c>
      <c r="G1163" s="37" t="s">
        <v>212</v>
      </c>
      <c r="H1163" s="39">
        <v>2329.94</v>
      </c>
      <c r="I1163" s="39">
        <v>1083.97</v>
      </c>
      <c r="J1163" s="39">
        <v>1245.97</v>
      </c>
    </row>
    <row r="1164" spans="1:10">
      <c r="A1164" s="38">
        <v>45700</v>
      </c>
      <c r="B1164" s="37" t="s">
        <v>208</v>
      </c>
      <c r="C1164" s="37" t="s">
        <v>209</v>
      </c>
      <c r="D1164" s="37" t="s">
        <v>446</v>
      </c>
      <c r="E1164" s="37" t="s">
        <v>211</v>
      </c>
      <c r="F1164" s="38">
        <v>45749</v>
      </c>
      <c r="G1164" s="37" t="s">
        <v>212</v>
      </c>
      <c r="H1164" s="39">
        <v>1080</v>
      </c>
      <c r="I1164" s="39">
        <f>IF(My_Payment[[#This Row],[Payment_Code]]="S",My_Payment[[#This Row],[Total AMT]]/2,IF(My_Payment[[#This Row],[Payment_Code]]="P",My_Payment[[#This Row],[Total AMT]],0))</f>
        <v>540</v>
      </c>
      <c r="J1164" s="39">
        <f>IF(My_Payment[[#This Row],[Payment_Code]]="S",My_Payment[[#This Row],[Total AMT]]/2,IF(My_Payment[[#This Row],[Payment_Code]]="N",My_Payment[[#This Row],[Total AMT]],0))</f>
        <v>540</v>
      </c>
    </row>
    <row r="1165" spans="1:10">
      <c r="A1165" s="38">
        <v>45705</v>
      </c>
      <c r="B1165" s="37" t="s">
        <v>208</v>
      </c>
      <c r="C1165" s="37" t="s">
        <v>209</v>
      </c>
      <c r="D1165" s="37" t="s">
        <v>642</v>
      </c>
      <c r="E1165" s="37" t="s">
        <v>211</v>
      </c>
      <c r="F1165" s="38">
        <v>45749</v>
      </c>
      <c r="G1165" s="37" t="s">
        <v>215</v>
      </c>
      <c r="H1165" s="39">
        <v>1490</v>
      </c>
      <c r="I1165" s="39">
        <f>IF(My_Payment[[#This Row],[Payment_Code]]="S",My_Payment[[#This Row],[Total AMT]]/2,IF(My_Payment[[#This Row],[Payment_Code]]="P",My_Payment[[#This Row],[Total AMT]],0))</f>
        <v>1490</v>
      </c>
      <c r="J1165" s="39">
        <f>IF(My_Payment[[#This Row],[Payment_Code]]="S",My_Payment[[#This Row],[Total AMT]]/2,IF(My_Payment[[#This Row],[Payment_Code]]="N",My_Payment[[#This Row],[Total AMT]],0))</f>
        <v>0</v>
      </c>
    </row>
    <row r="1166" spans="1:10">
      <c r="A1166" s="38">
        <v>45730</v>
      </c>
      <c r="B1166" s="37" t="s">
        <v>208</v>
      </c>
      <c r="C1166" s="37" t="s">
        <v>209</v>
      </c>
      <c r="D1166" s="37" t="s">
        <v>511</v>
      </c>
      <c r="E1166" s="37" t="s">
        <v>211</v>
      </c>
      <c r="F1166" s="38">
        <v>45779</v>
      </c>
      <c r="G1166" s="37" t="s">
        <v>215</v>
      </c>
      <c r="H1166" s="39">
        <v>2100</v>
      </c>
      <c r="I1166" s="39">
        <f>IF(My_Payment[[#This Row],[Payment_Code]]="S",My_Payment[[#This Row],[Total AMT]]/2,IF(My_Payment[[#This Row],[Payment_Code]]="P",My_Payment[[#This Row],[Total AMT]],0))</f>
        <v>2100</v>
      </c>
      <c r="J1166" s="39">
        <f>IF(My_Payment[[#This Row],[Payment_Code]]="S",My_Payment[[#This Row],[Total AMT]]/2,IF(My_Payment[[#This Row],[Payment_Code]]="N",My_Payment[[#This Row],[Total AMT]],0))</f>
        <v>0</v>
      </c>
    </row>
    <row r="1167" spans="1:10">
      <c r="A1167" s="38">
        <v>45678</v>
      </c>
      <c r="B1167" s="37" t="s">
        <v>305</v>
      </c>
      <c r="C1167" s="37" t="s">
        <v>226</v>
      </c>
      <c r="D1167" s="37" t="s">
        <v>505</v>
      </c>
      <c r="E1167" s="37" t="s">
        <v>211</v>
      </c>
      <c r="F1167" s="38">
        <v>45723</v>
      </c>
      <c r="G1167" s="37" t="s">
        <v>215</v>
      </c>
      <c r="H1167" s="39">
        <v>40</v>
      </c>
      <c r="I1167" s="39">
        <f>IF(My_Payment[[#This Row],[Payment_Code]]="S",My_Payment[[#This Row],[Total AMT]]/2,IF(My_Payment[[#This Row],[Payment_Code]]="P",My_Payment[[#This Row],[Total AMT]],0))</f>
        <v>40</v>
      </c>
      <c r="J1167" s="39">
        <f>IF(My_Payment[[#This Row],[Payment_Code]]="S",My_Payment[[#This Row],[Total AMT]]/2,IF(My_Payment[[#This Row],[Payment_Code]]="N",My_Payment[[#This Row],[Total AMT]],0))</f>
        <v>0</v>
      </c>
    </row>
    <row r="1168" spans="1:10">
      <c r="A1168" s="38">
        <v>45686</v>
      </c>
      <c r="B1168" s="37" t="s">
        <v>305</v>
      </c>
      <c r="C1168" s="37" t="s">
        <v>226</v>
      </c>
      <c r="D1168" s="37" t="s">
        <v>643</v>
      </c>
      <c r="E1168" s="37" t="s">
        <v>211</v>
      </c>
      <c r="F1168" s="38">
        <v>45723</v>
      </c>
      <c r="G1168" s="37" t="s">
        <v>215</v>
      </c>
      <c r="H1168" s="39">
        <v>1890</v>
      </c>
      <c r="I1168" s="39">
        <f>IF(My_Payment[[#This Row],[Payment_Code]]="S",My_Payment[[#This Row],[Total AMT]]/2,IF(My_Payment[[#This Row],[Payment_Code]]="P",My_Payment[[#This Row],[Total AMT]],0))</f>
        <v>1890</v>
      </c>
      <c r="J1168" s="39">
        <f>IF(My_Payment[[#This Row],[Payment_Code]]="S",My_Payment[[#This Row],[Total AMT]]/2,IF(My_Payment[[#This Row],[Payment_Code]]="N",My_Payment[[#This Row],[Total AMT]],0))</f>
        <v>0</v>
      </c>
    </row>
    <row r="1169" spans="1:10">
      <c r="A1169" s="38">
        <v>45705</v>
      </c>
      <c r="B1169" s="37" t="s">
        <v>305</v>
      </c>
      <c r="C1169" s="37" t="s">
        <v>226</v>
      </c>
      <c r="D1169" s="37" t="s">
        <v>644</v>
      </c>
      <c r="E1169" s="37" t="s">
        <v>211</v>
      </c>
      <c r="F1169" s="38">
        <v>45723</v>
      </c>
      <c r="G1169" s="37" t="s">
        <v>212</v>
      </c>
      <c r="H1169" s="39">
        <v>1185</v>
      </c>
      <c r="I1169" s="39">
        <f>IF(My_Payment[[#This Row],[Payment_Code]]="S",My_Payment[[#This Row],[Total AMT]]/2,IF(My_Payment[[#This Row],[Payment_Code]]="P",My_Payment[[#This Row],[Total AMT]],0))</f>
        <v>592.5</v>
      </c>
      <c r="J1169" s="39">
        <f>IF(My_Payment[[#This Row],[Payment_Code]]="S",My_Payment[[#This Row],[Total AMT]]/2,IF(My_Payment[[#This Row],[Payment_Code]]="N",My_Payment[[#This Row],[Total AMT]],0))</f>
        <v>592.5</v>
      </c>
    </row>
    <row r="1170" spans="1:10">
      <c r="A1170" s="38">
        <v>45683</v>
      </c>
      <c r="B1170" s="37" t="s">
        <v>345</v>
      </c>
      <c r="C1170" s="37" t="s">
        <v>248</v>
      </c>
      <c r="D1170" s="37" t="s">
        <v>640</v>
      </c>
      <c r="E1170" s="37" t="s">
        <v>211</v>
      </c>
      <c r="F1170" s="38">
        <v>45718</v>
      </c>
      <c r="G1170" s="37" t="s">
        <v>212</v>
      </c>
      <c r="H1170" s="39">
        <v>1536.09</v>
      </c>
      <c r="I1170" s="39">
        <f>IF(My_Payment[[#This Row],[Payment_Code]]="S",My_Payment[[#This Row],[Total AMT]]/2,IF(My_Payment[[#This Row],[Payment_Code]]="P",My_Payment[[#This Row],[Total AMT]],0))</f>
        <v>768.04499999999996</v>
      </c>
      <c r="J1170" s="39">
        <f>IF(My_Payment[[#This Row],[Payment_Code]]="S",My_Payment[[#This Row],[Total AMT]]/2,IF(My_Payment[[#This Row],[Payment_Code]]="N",My_Payment[[#This Row],[Total AMT]],0))</f>
        <v>768.04499999999996</v>
      </c>
    </row>
    <row r="1171" spans="1:10">
      <c r="A1171" s="38">
        <v>45693</v>
      </c>
      <c r="B1171" s="37" t="s">
        <v>357</v>
      </c>
      <c r="C1171" s="37" t="s">
        <v>248</v>
      </c>
      <c r="D1171" s="37" t="s">
        <v>645</v>
      </c>
      <c r="E1171" s="37" t="s">
        <v>459</v>
      </c>
      <c r="F1171" s="38">
        <v>45721</v>
      </c>
      <c r="G1171" s="37" t="s">
        <v>215</v>
      </c>
      <c r="H1171" s="39">
        <v>286.39999999999998</v>
      </c>
      <c r="I1171" s="39">
        <f>IF(My_Payment[[#This Row],[Payment_Code]]="S",My_Payment[[#This Row],[Total AMT]]/2,IF(My_Payment[[#This Row],[Payment_Code]]="P",My_Payment[[#This Row],[Total AMT]],0))</f>
        <v>286.39999999999998</v>
      </c>
      <c r="J1171" s="39">
        <f>IF(My_Payment[[#This Row],[Payment_Code]]="S",My_Payment[[#This Row],[Total AMT]]/2,IF(My_Payment[[#This Row],[Payment_Code]]="N",My_Payment[[#This Row],[Total AMT]],0))</f>
        <v>0</v>
      </c>
    </row>
    <row r="1172" spans="1:10">
      <c r="A1172" s="38">
        <v>45721</v>
      </c>
      <c r="B1172" s="37" t="s">
        <v>357</v>
      </c>
      <c r="C1172" s="37" t="s">
        <v>248</v>
      </c>
      <c r="D1172" s="37" t="s">
        <v>645</v>
      </c>
      <c r="E1172" s="37" t="s">
        <v>460</v>
      </c>
      <c r="F1172" s="38">
        <v>45752</v>
      </c>
      <c r="G1172" s="37" t="s">
        <v>215</v>
      </c>
      <c r="H1172" s="39">
        <v>286.39999999999998</v>
      </c>
      <c r="I1172" s="39">
        <f>IF(My_Payment[[#This Row],[Payment_Code]]="S",My_Payment[[#This Row],[Total AMT]]/2,IF(My_Payment[[#This Row],[Payment_Code]]="P",My_Payment[[#This Row],[Total AMT]],0))</f>
        <v>286.39999999999998</v>
      </c>
      <c r="J1172" s="39">
        <f>IF(My_Payment[[#This Row],[Payment_Code]]="S",My_Payment[[#This Row],[Total AMT]]/2,IF(My_Payment[[#This Row],[Payment_Code]]="N",My_Payment[[#This Row],[Total AMT]],0))</f>
        <v>0</v>
      </c>
    </row>
    <row r="1173" spans="1:10">
      <c r="A1173" s="38">
        <v>45752</v>
      </c>
      <c r="B1173" s="37" t="s">
        <v>357</v>
      </c>
      <c r="C1173" s="37" t="s">
        <v>248</v>
      </c>
      <c r="D1173" s="37" t="s">
        <v>645</v>
      </c>
      <c r="E1173" s="37" t="s">
        <v>461</v>
      </c>
      <c r="F1173" s="38">
        <v>45782</v>
      </c>
      <c r="G1173" s="37" t="s">
        <v>215</v>
      </c>
      <c r="H1173" s="39">
        <v>286.39999999999998</v>
      </c>
      <c r="I1173" s="39">
        <f>IF(My_Payment[[#This Row],[Payment_Code]]="S",My_Payment[[#This Row],[Total AMT]]/2,IF(My_Payment[[#This Row],[Payment_Code]]="P",My_Payment[[#This Row],[Total AMT]],0))</f>
        <v>286.39999999999998</v>
      </c>
      <c r="J1173" s="39">
        <f>IF(My_Payment[[#This Row],[Payment_Code]]="S",My_Payment[[#This Row],[Total AMT]]/2,IF(My_Payment[[#This Row],[Payment_Code]]="N",My_Payment[[#This Row],[Total AMT]],0))</f>
        <v>0</v>
      </c>
    </row>
    <row r="1174" spans="1:10">
      <c r="A1174" s="38">
        <v>45782</v>
      </c>
      <c r="B1174" s="37" t="s">
        <v>357</v>
      </c>
      <c r="C1174" s="37" t="s">
        <v>248</v>
      </c>
      <c r="D1174" s="37" t="s">
        <v>645</v>
      </c>
      <c r="E1174" s="37" t="s">
        <v>462</v>
      </c>
      <c r="F1174" s="38">
        <v>45813</v>
      </c>
      <c r="G1174" s="37" t="s">
        <v>215</v>
      </c>
      <c r="H1174" s="39">
        <v>286.39999999999998</v>
      </c>
      <c r="I1174" s="39">
        <f>IF(My_Payment[[#This Row],[Payment_Code]]="S",My_Payment[[#This Row],[Total AMT]]/2,IF(My_Payment[[#This Row],[Payment_Code]]="P",My_Payment[[#This Row],[Total AMT]],0))</f>
        <v>286.39999999999998</v>
      </c>
      <c r="J1174" s="39">
        <f>IF(My_Payment[[#This Row],[Payment_Code]]="S",My_Payment[[#This Row],[Total AMT]]/2,IF(My_Payment[[#This Row],[Payment_Code]]="N",My_Payment[[#This Row],[Total AMT]],0))</f>
        <v>0</v>
      </c>
    </row>
    <row r="1175" spans="1:10">
      <c r="A1175" s="38">
        <v>45813</v>
      </c>
      <c r="B1175" s="37" t="s">
        <v>357</v>
      </c>
      <c r="C1175" s="37" t="s">
        <v>248</v>
      </c>
      <c r="D1175" s="37" t="s">
        <v>645</v>
      </c>
      <c r="E1175" s="37" t="s">
        <v>463</v>
      </c>
      <c r="F1175" s="38">
        <v>45843</v>
      </c>
      <c r="G1175" s="37" t="s">
        <v>215</v>
      </c>
      <c r="H1175" s="39">
        <v>286.39999999999998</v>
      </c>
      <c r="I1175" s="39">
        <f>IF(My_Payment[[#This Row],[Payment_Code]]="S",My_Payment[[#This Row],[Total AMT]]/2,IF(My_Payment[[#This Row],[Payment_Code]]="P",My_Payment[[#This Row],[Total AMT]],0))</f>
        <v>286.39999999999998</v>
      </c>
      <c r="J1175" s="39">
        <f>IF(My_Payment[[#This Row],[Payment_Code]]="S",My_Payment[[#This Row],[Total AMT]]/2,IF(My_Payment[[#This Row],[Payment_Code]]="N",My_Payment[[#This Row],[Total AMT]],0))</f>
        <v>0</v>
      </c>
    </row>
    <row r="1176" spans="1:10">
      <c r="A1176" s="38">
        <v>45693</v>
      </c>
      <c r="B1176" s="37" t="s">
        <v>357</v>
      </c>
      <c r="C1176" s="37" t="s">
        <v>248</v>
      </c>
      <c r="D1176" s="37" t="s">
        <v>646</v>
      </c>
      <c r="E1176" s="37" t="s">
        <v>211</v>
      </c>
      <c r="F1176" s="38">
        <v>45721</v>
      </c>
      <c r="G1176" s="37" t="s">
        <v>215</v>
      </c>
      <c r="H1176" s="39">
        <v>188</v>
      </c>
      <c r="I1176" s="39">
        <f>IF(My_Payment[[#This Row],[Payment_Code]]="S",My_Payment[[#This Row],[Total AMT]]/2,IF(My_Payment[[#This Row],[Payment_Code]]="P",My_Payment[[#This Row],[Total AMT]],0))</f>
        <v>188</v>
      </c>
      <c r="J1176" s="39">
        <f>IF(My_Payment[[#This Row],[Payment_Code]]="S",My_Payment[[#This Row],[Total AMT]]/2,IF(My_Payment[[#This Row],[Payment_Code]]="N",My_Payment[[#This Row],[Total AMT]],0))</f>
        <v>0</v>
      </c>
    </row>
    <row r="1177" spans="1:10">
      <c r="A1177" s="38">
        <v>45696</v>
      </c>
      <c r="B1177" s="37" t="s">
        <v>357</v>
      </c>
      <c r="C1177" s="37" t="s">
        <v>248</v>
      </c>
      <c r="D1177" s="37" t="s">
        <v>647</v>
      </c>
      <c r="E1177" s="37" t="s">
        <v>211</v>
      </c>
      <c r="F1177" s="38">
        <v>45721</v>
      </c>
      <c r="G1177" s="37" t="s">
        <v>215</v>
      </c>
      <c r="H1177" s="39">
        <v>113</v>
      </c>
      <c r="I1177" s="39">
        <f>IF(My_Payment[[#This Row],[Payment_Code]]="S",My_Payment[[#This Row],[Total AMT]]/2,IF(My_Payment[[#This Row],[Payment_Code]]="P",My_Payment[[#This Row],[Total AMT]],0))</f>
        <v>113</v>
      </c>
      <c r="J1177" s="39">
        <f>IF(My_Payment[[#This Row],[Payment_Code]]="S",My_Payment[[#This Row],[Total AMT]]/2,IF(My_Payment[[#This Row],[Payment_Code]]="N",My_Payment[[#This Row],[Total AMT]],0))</f>
        <v>0</v>
      </c>
    </row>
    <row r="1178" spans="1:10">
      <c r="A1178" s="38">
        <v>45701</v>
      </c>
      <c r="B1178" s="37" t="s">
        <v>357</v>
      </c>
      <c r="C1178" s="37" t="s">
        <v>248</v>
      </c>
      <c r="D1178" s="37" t="s">
        <v>648</v>
      </c>
      <c r="E1178" s="37" t="s">
        <v>211</v>
      </c>
      <c r="F1178" s="38">
        <v>45721</v>
      </c>
      <c r="G1178" s="37" t="s">
        <v>215</v>
      </c>
      <c r="H1178" s="39">
        <v>317</v>
      </c>
      <c r="I1178" s="39">
        <f>IF(My_Payment[[#This Row],[Payment_Code]]="S",My_Payment[[#This Row],[Total AMT]]/2,IF(My_Payment[[#This Row],[Payment_Code]]="P",My_Payment[[#This Row],[Total AMT]],0))</f>
        <v>317</v>
      </c>
      <c r="J1178" s="39">
        <f>IF(My_Payment[[#This Row],[Payment_Code]]="S",My_Payment[[#This Row],[Total AMT]]/2,IF(My_Payment[[#This Row],[Payment_Code]]="N",My_Payment[[#This Row],[Total AMT]],0))</f>
        <v>0</v>
      </c>
    </row>
    <row r="1179" spans="1:10">
      <c r="A1179" s="38">
        <v>45715</v>
      </c>
      <c r="B1179" s="37" t="s">
        <v>357</v>
      </c>
      <c r="C1179" s="37" t="s">
        <v>248</v>
      </c>
      <c r="D1179" s="37" t="s">
        <v>649</v>
      </c>
      <c r="E1179" s="37" t="s">
        <v>324</v>
      </c>
      <c r="F1179" s="38">
        <v>45752</v>
      </c>
      <c r="G1179" s="37" t="s">
        <v>215</v>
      </c>
      <c r="H1179" s="39">
        <v>92.67</v>
      </c>
      <c r="I1179" s="39">
        <f>IF(My_Payment[[#This Row],[Payment_Code]]="S",My_Payment[[#This Row],[Total AMT]]/2,IF(My_Payment[[#This Row],[Payment_Code]]="P",My_Payment[[#This Row],[Total AMT]],0))</f>
        <v>92.67</v>
      </c>
      <c r="J1179" s="39">
        <f>IF(My_Payment[[#This Row],[Payment_Code]]="S",My_Payment[[#This Row],[Total AMT]]/2,IF(My_Payment[[#This Row],[Payment_Code]]="N",My_Payment[[#This Row],[Total AMT]],0))</f>
        <v>0</v>
      </c>
    </row>
    <row r="1180" spans="1:10">
      <c r="A1180" s="38">
        <v>45743</v>
      </c>
      <c r="B1180" s="37" t="s">
        <v>357</v>
      </c>
      <c r="C1180" s="37" t="s">
        <v>248</v>
      </c>
      <c r="D1180" s="37" t="s">
        <v>649</v>
      </c>
      <c r="E1180" s="37" t="s">
        <v>327</v>
      </c>
      <c r="F1180" s="38">
        <v>45782</v>
      </c>
      <c r="G1180" s="37" t="s">
        <v>215</v>
      </c>
      <c r="H1180" s="39">
        <v>92.67</v>
      </c>
      <c r="I1180" s="39">
        <f>IF(My_Payment[[#This Row],[Payment_Code]]="S",My_Payment[[#This Row],[Total AMT]]/2,IF(My_Payment[[#This Row],[Payment_Code]]="P",My_Payment[[#This Row],[Total AMT]],0))</f>
        <v>92.67</v>
      </c>
      <c r="J1180" s="39">
        <f>IF(My_Payment[[#This Row],[Payment_Code]]="S",My_Payment[[#This Row],[Total AMT]]/2,IF(My_Payment[[#This Row],[Payment_Code]]="N",My_Payment[[#This Row],[Total AMT]],0))</f>
        <v>0</v>
      </c>
    </row>
    <row r="1181" spans="1:10">
      <c r="A1181" s="38">
        <v>45774</v>
      </c>
      <c r="B1181" s="37" t="s">
        <v>357</v>
      </c>
      <c r="C1181" s="37" t="s">
        <v>248</v>
      </c>
      <c r="D1181" s="37" t="s">
        <v>649</v>
      </c>
      <c r="E1181" s="37" t="s">
        <v>80</v>
      </c>
      <c r="F1181" s="38">
        <v>45813</v>
      </c>
      <c r="G1181" s="37" t="s">
        <v>215</v>
      </c>
      <c r="H1181" s="39">
        <v>92.66</v>
      </c>
      <c r="I1181" s="39">
        <f>IF(My_Payment[[#This Row],[Payment_Code]]="S",My_Payment[[#This Row],[Total AMT]]/2,IF(My_Payment[[#This Row],[Payment_Code]]="P",My_Payment[[#This Row],[Total AMT]],0))</f>
        <v>92.66</v>
      </c>
      <c r="J1181" s="39">
        <f>IF(My_Payment[[#This Row],[Payment_Code]]="S",My_Payment[[#This Row],[Total AMT]]/2,IF(My_Payment[[#This Row],[Payment_Code]]="N",My_Payment[[#This Row],[Total AMT]],0))</f>
        <v>0</v>
      </c>
    </row>
    <row r="1182" spans="1:10">
      <c r="A1182" s="38">
        <v>45739</v>
      </c>
      <c r="B1182" s="37" t="s">
        <v>345</v>
      </c>
      <c r="C1182" s="37" t="s">
        <v>248</v>
      </c>
      <c r="D1182" s="37" t="s">
        <v>471</v>
      </c>
      <c r="E1182" s="37" t="s">
        <v>211</v>
      </c>
      <c r="F1182" s="38">
        <v>45779</v>
      </c>
      <c r="G1182" s="37" t="s">
        <v>212</v>
      </c>
      <c r="H1182" s="39">
        <v>1282.5</v>
      </c>
      <c r="I1182" s="39">
        <f>IF(My_Payment[[#This Row],[Payment_Code]]="S",My_Payment[[#This Row],[Total AMT]]/2,IF(My_Payment[[#This Row],[Payment_Code]]="P",My_Payment[[#This Row],[Total AMT]],0))</f>
        <v>641.25</v>
      </c>
      <c r="J1182" s="39">
        <f>IF(My_Payment[[#This Row],[Payment_Code]]="S",My_Payment[[#This Row],[Total AMT]]/2,IF(My_Payment[[#This Row],[Payment_Code]]="N",My_Payment[[#This Row],[Total AMT]],0))</f>
        <v>641.25</v>
      </c>
    </row>
    <row r="1183" spans="1:10">
      <c r="A1183" s="38">
        <v>45733</v>
      </c>
      <c r="B1183" s="37" t="s">
        <v>305</v>
      </c>
      <c r="C1183" s="37" t="s">
        <v>226</v>
      </c>
      <c r="D1183" s="37" t="s">
        <v>33</v>
      </c>
      <c r="E1183" s="37" t="s">
        <v>211</v>
      </c>
      <c r="F1183" s="38">
        <v>45754</v>
      </c>
      <c r="G1183" s="37" t="s">
        <v>215</v>
      </c>
      <c r="H1183" s="39">
        <v>111.3</v>
      </c>
      <c r="I1183" s="39">
        <f>IF(My_Payment[[#This Row],[Payment_Code]]="S",My_Payment[[#This Row],[Total AMT]]/2,IF(My_Payment[[#This Row],[Payment_Code]]="P",My_Payment[[#This Row],[Total AMT]],0))</f>
        <v>111.3</v>
      </c>
      <c r="J1183" s="39">
        <f>IF(My_Payment[[#This Row],[Payment_Code]]="S",My_Payment[[#This Row],[Total AMT]]/2,IF(My_Payment[[#This Row],[Payment_Code]]="N",My_Payment[[#This Row],[Total AMT]],0))</f>
        <v>0</v>
      </c>
    </row>
    <row r="1184" spans="1:10">
      <c r="A1184" s="38">
        <v>45734</v>
      </c>
      <c r="B1184" s="37" t="s">
        <v>305</v>
      </c>
      <c r="C1184" s="37" t="s">
        <v>226</v>
      </c>
      <c r="D1184" s="37" t="s">
        <v>33</v>
      </c>
      <c r="E1184" s="37" t="s">
        <v>211</v>
      </c>
      <c r="F1184" s="38">
        <v>45754</v>
      </c>
      <c r="G1184" s="37" t="s">
        <v>215</v>
      </c>
      <c r="H1184" s="39">
        <v>198.6</v>
      </c>
      <c r="I1184" s="39">
        <f>IF(My_Payment[[#This Row],[Payment_Code]]="S",My_Payment[[#This Row],[Total AMT]]/2,IF(My_Payment[[#This Row],[Payment_Code]]="P",My_Payment[[#This Row],[Total AMT]],0))</f>
        <v>198.6</v>
      </c>
      <c r="J1184" s="39">
        <f>IF(My_Payment[[#This Row],[Payment_Code]]="S",My_Payment[[#This Row],[Total AMT]]/2,IF(My_Payment[[#This Row],[Payment_Code]]="N",My_Payment[[#This Row],[Total AMT]],0))</f>
        <v>0</v>
      </c>
    </row>
    <row r="1185" spans="1:10">
      <c r="A1185" s="38">
        <v>45737</v>
      </c>
      <c r="B1185" s="37" t="s">
        <v>305</v>
      </c>
      <c r="C1185" s="37" t="s">
        <v>226</v>
      </c>
      <c r="D1185" s="37" t="s">
        <v>650</v>
      </c>
      <c r="E1185" s="37" t="s">
        <v>211</v>
      </c>
      <c r="F1185" s="38">
        <v>45784</v>
      </c>
      <c r="G1185" s="37" t="s">
        <v>215</v>
      </c>
      <c r="H1185" s="39">
        <v>1357</v>
      </c>
      <c r="I1185" s="39">
        <f>IF(My_Payment[[#This Row],[Payment_Code]]="S",My_Payment[[#This Row],[Total AMT]]/2,IF(My_Payment[[#This Row],[Payment_Code]]="P",My_Payment[[#This Row],[Total AMT]],0))</f>
        <v>1357</v>
      </c>
      <c r="J1185" s="39">
        <f>IF(My_Payment[[#This Row],[Payment_Code]]="S",My_Payment[[#This Row],[Total AMT]]/2,IF(My_Payment[[#This Row],[Payment_Code]]="N",My_Payment[[#This Row],[Total AMT]],0))</f>
        <v>0</v>
      </c>
    </row>
    <row r="1186" spans="1:10">
      <c r="A1186" s="38">
        <v>45745</v>
      </c>
      <c r="B1186" s="37" t="s">
        <v>305</v>
      </c>
      <c r="C1186" s="37" t="s">
        <v>226</v>
      </c>
      <c r="D1186" s="37" t="s">
        <v>651</v>
      </c>
      <c r="E1186" s="37" t="s">
        <v>211</v>
      </c>
      <c r="F1186" s="38">
        <v>45784</v>
      </c>
      <c r="G1186" s="37" t="s">
        <v>212</v>
      </c>
      <c r="H1186" s="39">
        <v>997</v>
      </c>
      <c r="I1186" s="39">
        <f>IF(My_Payment[[#This Row],[Payment_Code]]="S",My_Payment[[#This Row],[Total AMT]]/2,IF(My_Payment[[#This Row],[Payment_Code]]="P",My_Payment[[#This Row],[Total AMT]],0))</f>
        <v>498.5</v>
      </c>
      <c r="J1186" s="39">
        <f>IF(My_Payment[[#This Row],[Payment_Code]]="S",My_Payment[[#This Row],[Total AMT]]/2,IF(My_Payment[[#This Row],[Payment_Code]]="N",My_Payment[[#This Row],[Total AMT]],0))</f>
        <v>498.5</v>
      </c>
    </row>
    <row r="1187" spans="1:10">
      <c r="A1187" s="38">
        <v>45746</v>
      </c>
      <c r="B1187" s="37" t="s">
        <v>305</v>
      </c>
      <c r="C1187" s="37" t="s">
        <v>226</v>
      </c>
      <c r="D1187" s="37" t="s">
        <v>652</v>
      </c>
      <c r="E1187" s="37" t="s">
        <v>211</v>
      </c>
      <c r="F1187" s="38">
        <v>45784</v>
      </c>
      <c r="G1187" s="37" t="s">
        <v>215</v>
      </c>
      <c r="H1187" s="39">
        <v>65</v>
      </c>
      <c r="I1187" s="39">
        <f>IF(My_Payment[[#This Row],[Payment_Code]]="S",My_Payment[[#This Row],[Total AMT]]/2,IF(My_Payment[[#This Row],[Payment_Code]]="P",My_Payment[[#This Row],[Total AMT]],0))</f>
        <v>65</v>
      </c>
      <c r="J1187" s="39">
        <f>IF(My_Payment[[#This Row],[Payment_Code]]="S",My_Payment[[#This Row],[Total AMT]]/2,IF(My_Payment[[#This Row],[Payment_Code]]="N",My_Payment[[#This Row],[Total AMT]],0))</f>
        <v>0</v>
      </c>
    </row>
    <row r="1188" spans="1:10">
      <c r="A1188" s="38">
        <v>45746</v>
      </c>
      <c r="B1188" s="37" t="s">
        <v>305</v>
      </c>
      <c r="C1188" s="37" t="s">
        <v>226</v>
      </c>
      <c r="D1188" s="37" t="s">
        <v>635</v>
      </c>
      <c r="E1188" s="37" t="s">
        <v>211</v>
      </c>
      <c r="F1188" s="38">
        <v>45784</v>
      </c>
      <c r="G1188" s="37" t="s">
        <v>215</v>
      </c>
      <c r="H1188" s="39">
        <v>10</v>
      </c>
      <c r="I1188" s="39">
        <f>IF(My_Payment[[#This Row],[Payment_Code]]="S",My_Payment[[#This Row],[Total AMT]]/2,IF(My_Payment[[#This Row],[Payment_Code]]="P",My_Payment[[#This Row],[Total AMT]],0))</f>
        <v>10</v>
      </c>
      <c r="J1188" s="39">
        <f>IF(My_Payment[[#This Row],[Payment_Code]]="S",My_Payment[[#This Row],[Total AMT]]/2,IF(My_Payment[[#This Row],[Payment_Code]]="N",My_Payment[[#This Row],[Total AMT]],0))</f>
        <v>0</v>
      </c>
    </row>
    <row r="1189" spans="1:10">
      <c r="A1189" s="38">
        <v>45746</v>
      </c>
      <c r="B1189" s="37" t="s">
        <v>305</v>
      </c>
      <c r="C1189" s="37" t="s">
        <v>226</v>
      </c>
      <c r="D1189" s="37" t="s">
        <v>653</v>
      </c>
      <c r="E1189" s="37" t="s">
        <v>211</v>
      </c>
      <c r="F1189" s="38">
        <v>45784</v>
      </c>
      <c r="G1189" s="37" t="s">
        <v>215</v>
      </c>
      <c r="H1189" s="39">
        <v>45</v>
      </c>
      <c r="I1189" s="39">
        <f>IF(My_Payment[[#This Row],[Payment_Code]]="S",My_Payment[[#This Row],[Total AMT]]/2,IF(My_Payment[[#This Row],[Payment_Code]]="P",My_Payment[[#This Row],[Total AMT]],0))</f>
        <v>45</v>
      </c>
      <c r="J1189" s="39">
        <f>IF(My_Payment[[#This Row],[Payment_Code]]="S",My_Payment[[#This Row],[Total AMT]]/2,IF(My_Payment[[#This Row],[Payment_Code]]="N",My_Payment[[#This Row],[Total AMT]],0))</f>
        <v>0</v>
      </c>
    </row>
    <row r="1190" spans="1:10">
      <c r="A1190" s="38">
        <v>45746</v>
      </c>
      <c r="B1190" s="37" t="s">
        <v>305</v>
      </c>
      <c r="C1190" s="37" t="s">
        <v>226</v>
      </c>
      <c r="D1190" s="37" t="s">
        <v>653</v>
      </c>
      <c r="E1190" s="37" t="s">
        <v>211</v>
      </c>
      <c r="F1190" s="38">
        <v>45784</v>
      </c>
      <c r="G1190" s="37" t="s">
        <v>215</v>
      </c>
      <c r="H1190" s="39">
        <v>45</v>
      </c>
      <c r="I1190" s="39">
        <f>IF(My_Payment[[#This Row],[Payment_Code]]="S",My_Payment[[#This Row],[Total AMT]]/2,IF(My_Payment[[#This Row],[Payment_Code]]="P",My_Payment[[#This Row],[Total AMT]],0))</f>
        <v>45</v>
      </c>
      <c r="J1190" s="39">
        <f>IF(My_Payment[[#This Row],[Payment_Code]]="S",My_Payment[[#This Row],[Total AMT]]/2,IF(My_Payment[[#This Row],[Payment_Code]]="N",My_Payment[[#This Row],[Total AMT]],0))</f>
        <v>0</v>
      </c>
    </row>
    <row r="1191" spans="1:10">
      <c r="A1191" s="38">
        <v>45746</v>
      </c>
      <c r="B1191" s="37" t="s">
        <v>305</v>
      </c>
      <c r="C1191" s="37" t="s">
        <v>226</v>
      </c>
      <c r="D1191" s="37" t="s">
        <v>635</v>
      </c>
      <c r="E1191" s="37" t="s">
        <v>211</v>
      </c>
      <c r="F1191" s="38">
        <v>45784</v>
      </c>
      <c r="G1191" s="37" t="s">
        <v>215</v>
      </c>
      <c r="H1191" s="39">
        <v>15</v>
      </c>
      <c r="I1191" s="39">
        <f>IF(My_Payment[[#This Row],[Payment_Code]]="S",My_Payment[[#This Row],[Total AMT]]/2,IF(My_Payment[[#This Row],[Payment_Code]]="P",My_Payment[[#This Row],[Total AMT]],0))</f>
        <v>15</v>
      </c>
      <c r="J1191" s="39">
        <f>IF(My_Payment[[#This Row],[Payment_Code]]="S",My_Payment[[#This Row],[Total AMT]]/2,IF(My_Payment[[#This Row],[Payment_Code]]="N",My_Payment[[#This Row],[Total AMT]],0))</f>
        <v>0</v>
      </c>
    </row>
    <row r="1192" spans="1:10">
      <c r="A1192" s="38">
        <v>45746</v>
      </c>
      <c r="B1192" s="37" t="s">
        <v>305</v>
      </c>
      <c r="C1192" s="37" t="s">
        <v>226</v>
      </c>
      <c r="D1192" s="37" t="s">
        <v>635</v>
      </c>
      <c r="E1192" s="37" t="s">
        <v>211</v>
      </c>
      <c r="F1192" s="38">
        <v>45784</v>
      </c>
      <c r="G1192" s="37" t="s">
        <v>215</v>
      </c>
      <c r="H1192" s="39">
        <v>15</v>
      </c>
      <c r="I1192" s="39">
        <f>IF(My_Payment[[#This Row],[Payment_Code]]="S",My_Payment[[#This Row],[Total AMT]]/2,IF(My_Payment[[#This Row],[Payment_Code]]="P",My_Payment[[#This Row],[Total AMT]],0))</f>
        <v>15</v>
      </c>
      <c r="J1192" s="39">
        <f>IF(My_Payment[[#This Row],[Payment_Code]]="S",My_Payment[[#This Row],[Total AMT]]/2,IF(My_Payment[[#This Row],[Payment_Code]]="N",My_Payment[[#This Row],[Total AMT]],0))</f>
        <v>0</v>
      </c>
    </row>
    <row r="1193" spans="1:10">
      <c r="A1193" s="38">
        <v>45755</v>
      </c>
      <c r="B1193" s="37" t="s">
        <v>305</v>
      </c>
      <c r="C1193" s="37" t="s">
        <v>226</v>
      </c>
      <c r="D1193" s="37" t="s">
        <v>654</v>
      </c>
      <c r="E1193" s="37" t="s">
        <v>211</v>
      </c>
      <c r="F1193" s="38">
        <v>45784</v>
      </c>
      <c r="G1193" s="37" t="s">
        <v>215</v>
      </c>
      <c r="H1193" s="39">
        <v>992</v>
      </c>
      <c r="I1193" s="39">
        <f>IF(My_Payment[[#This Row],[Payment_Code]]="S",My_Payment[[#This Row],[Total AMT]]/2,IF(My_Payment[[#This Row],[Payment_Code]]="P",My_Payment[[#This Row],[Total AMT]],0))</f>
        <v>992</v>
      </c>
      <c r="J1193" s="39">
        <f>IF(My_Payment[[#This Row],[Payment_Code]]="S",My_Payment[[#This Row],[Total AMT]]/2,IF(My_Payment[[#This Row],[Payment_Code]]="N",My_Payment[[#This Row],[Total AMT]],0))</f>
        <v>0</v>
      </c>
    </row>
    <row r="1194" spans="1:10">
      <c r="A1194" s="38">
        <v>45738</v>
      </c>
      <c r="B1194" s="37" t="s">
        <v>208</v>
      </c>
      <c r="C1194" s="37" t="s">
        <v>209</v>
      </c>
      <c r="D1194" s="37" t="s">
        <v>217</v>
      </c>
      <c r="E1194" s="37" t="s">
        <v>211</v>
      </c>
      <c r="F1194" s="38">
        <v>45779</v>
      </c>
      <c r="G1194" s="37" t="s">
        <v>212</v>
      </c>
      <c r="H1194" s="39">
        <v>1603.89</v>
      </c>
      <c r="I1194" s="39">
        <v>811.19</v>
      </c>
      <c r="J1194" s="39">
        <v>792.7</v>
      </c>
    </row>
    <row r="1195" spans="1:10">
      <c r="A1195" s="38">
        <v>45839</v>
      </c>
      <c r="B1195" s="37" t="s">
        <v>482</v>
      </c>
      <c r="C1195" s="37" t="s">
        <v>496</v>
      </c>
      <c r="D1195" s="37" t="s">
        <v>497</v>
      </c>
      <c r="E1195" s="37" t="s">
        <v>484</v>
      </c>
      <c r="F1195" s="38">
        <v>45839</v>
      </c>
      <c r="G1195" s="37" t="s">
        <v>212</v>
      </c>
      <c r="H1195" s="40">
        <v>359</v>
      </c>
      <c r="I1195" s="39">
        <v>180</v>
      </c>
      <c r="J1195" s="39">
        <v>179</v>
      </c>
    </row>
    <row r="1196" spans="1:10">
      <c r="A1196" s="38">
        <v>45870</v>
      </c>
      <c r="B1196" s="37" t="s">
        <v>482</v>
      </c>
      <c r="C1196" s="37" t="s">
        <v>496</v>
      </c>
      <c r="D1196" s="37" t="s">
        <v>497</v>
      </c>
      <c r="E1196" s="37" t="s">
        <v>485</v>
      </c>
      <c r="F1196" s="38">
        <v>45870</v>
      </c>
      <c r="G1196" s="37" t="s">
        <v>212</v>
      </c>
      <c r="H1196" s="40">
        <v>359</v>
      </c>
      <c r="I1196" s="39">
        <v>180</v>
      </c>
      <c r="J1196" s="39">
        <v>179</v>
      </c>
    </row>
    <row r="1197" spans="1:10">
      <c r="A1197" s="38">
        <v>45901</v>
      </c>
      <c r="B1197" s="37" t="s">
        <v>482</v>
      </c>
      <c r="C1197" s="37" t="s">
        <v>496</v>
      </c>
      <c r="D1197" s="37" t="s">
        <v>497</v>
      </c>
      <c r="E1197" s="37" t="s">
        <v>486</v>
      </c>
      <c r="F1197" s="38">
        <v>45901</v>
      </c>
      <c r="G1197" s="37" t="s">
        <v>212</v>
      </c>
      <c r="H1197" s="40">
        <v>359</v>
      </c>
      <c r="I1197" s="39">
        <v>180</v>
      </c>
      <c r="J1197" s="39">
        <v>179</v>
      </c>
    </row>
    <row r="1198" spans="1:10">
      <c r="A1198" s="38">
        <v>45931</v>
      </c>
      <c r="B1198" s="37" t="s">
        <v>482</v>
      </c>
      <c r="C1198" s="37" t="s">
        <v>496</v>
      </c>
      <c r="D1198" s="37" t="s">
        <v>497</v>
      </c>
      <c r="E1198" s="37" t="s">
        <v>487</v>
      </c>
      <c r="F1198" s="38">
        <v>45931</v>
      </c>
      <c r="G1198" s="37" t="s">
        <v>212</v>
      </c>
      <c r="H1198" s="40">
        <v>359</v>
      </c>
      <c r="I1198" s="39">
        <v>180</v>
      </c>
      <c r="J1198" s="39">
        <v>179</v>
      </c>
    </row>
    <row r="1199" spans="1:10">
      <c r="A1199" s="38">
        <v>45962</v>
      </c>
      <c r="B1199" s="37" t="s">
        <v>482</v>
      </c>
      <c r="C1199" s="37" t="s">
        <v>496</v>
      </c>
      <c r="D1199" s="37" t="s">
        <v>497</v>
      </c>
      <c r="E1199" s="37" t="s">
        <v>488</v>
      </c>
      <c r="F1199" s="38">
        <v>45962</v>
      </c>
      <c r="G1199" s="37" t="s">
        <v>212</v>
      </c>
      <c r="H1199" s="40">
        <v>359</v>
      </c>
      <c r="I1199" s="39">
        <v>180</v>
      </c>
      <c r="J1199" s="39">
        <v>179</v>
      </c>
    </row>
    <row r="1200" spans="1:10">
      <c r="A1200" s="38">
        <v>45992</v>
      </c>
      <c r="B1200" s="37" t="s">
        <v>482</v>
      </c>
      <c r="C1200" s="37" t="s">
        <v>496</v>
      </c>
      <c r="D1200" s="37" t="s">
        <v>497</v>
      </c>
      <c r="E1200" s="37" t="s">
        <v>489</v>
      </c>
      <c r="F1200" s="38">
        <v>45992</v>
      </c>
      <c r="G1200" s="37" t="s">
        <v>212</v>
      </c>
      <c r="H1200" s="40">
        <v>359</v>
      </c>
      <c r="I1200" s="39">
        <v>180</v>
      </c>
      <c r="J1200" s="39">
        <v>179</v>
      </c>
    </row>
    <row r="1201" spans="1:10">
      <c r="A1201" s="38">
        <v>46023</v>
      </c>
      <c r="B1201" s="37" t="s">
        <v>482</v>
      </c>
      <c r="C1201" s="37" t="s">
        <v>496</v>
      </c>
      <c r="D1201" s="37" t="s">
        <v>497</v>
      </c>
      <c r="E1201" s="37" t="s">
        <v>490</v>
      </c>
      <c r="F1201" s="38">
        <v>46023</v>
      </c>
      <c r="G1201" s="37" t="s">
        <v>212</v>
      </c>
      <c r="H1201" s="40">
        <v>359</v>
      </c>
      <c r="I1201" s="39">
        <v>180</v>
      </c>
      <c r="J1201" s="39">
        <v>179</v>
      </c>
    </row>
    <row r="1202" spans="1:10">
      <c r="A1202" s="38">
        <v>46054</v>
      </c>
      <c r="B1202" s="37" t="s">
        <v>482</v>
      </c>
      <c r="C1202" s="37" t="s">
        <v>496</v>
      </c>
      <c r="D1202" s="37" t="s">
        <v>497</v>
      </c>
      <c r="E1202" s="37" t="s">
        <v>491</v>
      </c>
      <c r="F1202" s="38">
        <v>46054</v>
      </c>
      <c r="G1202" s="37" t="s">
        <v>212</v>
      </c>
      <c r="H1202" s="40">
        <v>359</v>
      </c>
      <c r="I1202" s="39">
        <v>180</v>
      </c>
      <c r="J1202" s="39">
        <v>179</v>
      </c>
    </row>
    <row r="1203" spans="1:10">
      <c r="A1203" s="38">
        <v>46082</v>
      </c>
      <c r="B1203" s="37" t="s">
        <v>482</v>
      </c>
      <c r="C1203" s="37" t="s">
        <v>496</v>
      </c>
      <c r="D1203" s="37" t="s">
        <v>497</v>
      </c>
      <c r="E1203" s="37" t="s">
        <v>492</v>
      </c>
      <c r="F1203" s="38">
        <v>46082</v>
      </c>
      <c r="G1203" s="37" t="s">
        <v>212</v>
      </c>
      <c r="H1203" s="40">
        <v>359</v>
      </c>
      <c r="I1203" s="39">
        <v>180</v>
      </c>
      <c r="J1203" s="39">
        <v>179</v>
      </c>
    </row>
    <row r="1204" spans="1:10">
      <c r="A1204" s="38">
        <v>46113</v>
      </c>
      <c r="B1204" s="37" t="s">
        <v>482</v>
      </c>
      <c r="C1204" s="37" t="s">
        <v>496</v>
      </c>
      <c r="D1204" s="37" t="s">
        <v>497</v>
      </c>
      <c r="E1204" s="37" t="s">
        <v>493</v>
      </c>
      <c r="F1204" s="38">
        <v>46113</v>
      </c>
      <c r="G1204" s="37" t="s">
        <v>212</v>
      </c>
      <c r="H1204" s="40">
        <v>359</v>
      </c>
      <c r="I1204" s="39">
        <v>180</v>
      </c>
      <c r="J1204" s="39">
        <v>179</v>
      </c>
    </row>
    <row r="1205" spans="1:10">
      <c r="A1205" s="38">
        <v>46143</v>
      </c>
      <c r="B1205" s="37" t="s">
        <v>482</v>
      </c>
      <c r="C1205" s="37" t="s">
        <v>496</v>
      </c>
      <c r="D1205" s="37" t="s">
        <v>497</v>
      </c>
      <c r="E1205" s="37" t="s">
        <v>494</v>
      </c>
      <c r="F1205" s="38">
        <v>46143</v>
      </c>
      <c r="G1205" s="37" t="s">
        <v>212</v>
      </c>
      <c r="H1205" s="40">
        <v>359</v>
      </c>
      <c r="I1205" s="39">
        <v>180</v>
      </c>
      <c r="J1205" s="39">
        <v>179</v>
      </c>
    </row>
    <row r="1206" spans="1:10">
      <c r="A1206" s="38">
        <v>46174</v>
      </c>
      <c r="B1206" s="37" t="s">
        <v>482</v>
      </c>
      <c r="C1206" s="37" t="s">
        <v>496</v>
      </c>
      <c r="D1206" s="37" t="s">
        <v>497</v>
      </c>
      <c r="E1206" s="37" t="s">
        <v>495</v>
      </c>
      <c r="F1206" s="38">
        <v>46174</v>
      </c>
      <c r="G1206" s="37" t="s">
        <v>212</v>
      </c>
      <c r="H1206" s="40">
        <v>359</v>
      </c>
      <c r="I1206" s="39">
        <v>180</v>
      </c>
      <c r="J1206" s="39">
        <v>179</v>
      </c>
    </row>
    <row r="1207" spans="1:10">
      <c r="A1207" s="38">
        <v>45778</v>
      </c>
      <c r="B1207" s="37" t="s">
        <v>208</v>
      </c>
      <c r="C1207" s="37" t="s">
        <v>209</v>
      </c>
      <c r="D1207" s="37" t="s">
        <v>217</v>
      </c>
      <c r="E1207" s="37" t="s">
        <v>211</v>
      </c>
      <c r="F1207" s="38">
        <v>45810</v>
      </c>
      <c r="G1207" s="37" t="s">
        <v>212</v>
      </c>
      <c r="H1207" s="39">
        <v>1027.23</v>
      </c>
      <c r="I1207" s="39">
        <v>687.12</v>
      </c>
      <c r="J1207" s="39">
        <v>340.11</v>
      </c>
    </row>
    <row r="1208" spans="1:10">
      <c r="A1208" s="38">
        <v>45762</v>
      </c>
      <c r="B1208" s="37" t="s">
        <v>305</v>
      </c>
      <c r="C1208" s="37" t="s">
        <v>226</v>
      </c>
      <c r="D1208" s="37" t="s">
        <v>426</v>
      </c>
      <c r="E1208" s="37" t="s">
        <v>211</v>
      </c>
      <c r="F1208" s="38">
        <v>45784</v>
      </c>
      <c r="G1208" s="37" t="s">
        <v>212</v>
      </c>
      <c r="H1208" s="39">
        <v>436</v>
      </c>
      <c r="I1208" s="39">
        <v>366.5</v>
      </c>
      <c r="J1208" s="39">
        <v>69.5</v>
      </c>
    </row>
    <row r="1209" spans="1:10">
      <c r="A1209" s="38">
        <v>45762</v>
      </c>
      <c r="B1209" s="37" t="s">
        <v>305</v>
      </c>
      <c r="C1209" s="37" t="s">
        <v>226</v>
      </c>
      <c r="D1209" s="37" t="s">
        <v>33</v>
      </c>
      <c r="E1209" s="37" t="s">
        <v>211</v>
      </c>
      <c r="F1209" s="38">
        <v>45784</v>
      </c>
      <c r="G1209" s="37" t="s">
        <v>215</v>
      </c>
      <c r="H1209" s="39">
        <v>161.4</v>
      </c>
      <c r="I1209" s="39">
        <f>IF(My_Payment[[#This Row],[Payment_Code]]="S",My_Payment[[#This Row],[Total AMT]]/2,IF(My_Payment[[#This Row],[Payment_Code]]="P",My_Payment[[#This Row],[Total AMT]],0))</f>
        <v>161.4</v>
      </c>
      <c r="J1209" s="39">
        <f>IF(My_Payment[[#This Row],[Payment_Code]]="S",My_Payment[[#This Row],[Total AMT]]/2,IF(My_Payment[[#This Row],[Payment_Code]]="N",My_Payment[[#This Row],[Total AMT]],0))</f>
        <v>0</v>
      </c>
    </row>
    <row r="1210" spans="1:10">
      <c r="A1210" s="38">
        <v>45765</v>
      </c>
      <c r="B1210" s="37" t="s">
        <v>305</v>
      </c>
      <c r="C1210" s="37" t="s">
        <v>226</v>
      </c>
      <c r="D1210" s="37" t="s">
        <v>33</v>
      </c>
      <c r="E1210" s="37" t="s">
        <v>211</v>
      </c>
      <c r="F1210" s="38">
        <v>45815</v>
      </c>
      <c r="G1210" s="37" t="s">
        <v>215</v>
      </c>
      <c r="H1210" s="39">
        <v>213.03</v>
      </c>
      <c r="I1210" s="39">
        <f>IF(My_Payment[[#This Row],[Payment_Code]]="S",My_Payment[[#This Row],[Total AMT]]/2,IF(My_Payment[[#This Row],[Payment_Code]]="P",My_Payment[[#This Row],[Total AMT]],0))</f>
        <v>213.03</v>
      </c>
      <c r="J1210" s="39">
        <f>IF(My_Payment[[#This Row],[Payment_Code]]="S",My_Payment[[#This Row],[Total AMT]]/2,IF(My_Payment[[#This Row],[Payment_Code]]="N",My_Payment[[#This Row],[Total AMT]],0))</f>
        <v>0</v>
      </c>
    </row>
    <row r="1211" spans="1:10">
      <c r="A1211" s="38">
        <v>45766</v>
      </c>
      <c r="B1211" s="37" t="s">
        <v>305</v>
      </c>
      <c r="C1211" s="37" t="s">
        <v>226</v>
      </c>
      <c r="D1211" s="37" t="s">
        <v>234</v>
      </c>
      <c r="E1211" s="37" t="s">
        <v>211</v>
      </c>
      <c r="F1211" s="38">
        <v>45815</v>
      </c>
      <c r="G1211" s="37" t="s">
        <v>212</v>
      </c>
      <c r="H1211" s="39">
        <v>492</v>
      </c>
      <c r="I1211" s="39">
        <v>328</v>
      </c>
      <c r="J1211" s="39">
        <v>164</v>
      </c>
    </row>
    <row r="1212" spans="1:10">
      <c r="A1212" s="38">
        <v>45766</v>
      </c>
      <c r="B1212" s="37" t="s">
        <v>305</v>
      </c>
      <c r="C1212" s="37" t="s">
        <v>226</v>
      </c>
      <c r="D1212" s="37" t="s">
        <v>33</v>
      </c>
      <c r="E1212" s="37" t="s">
        <v>211</v>
      </c>
      <c r="F1212" s="38">
        <v>45815</v>
      </c>
      <c r="G1212" s="37" t="s">
        <v>215</v>
      </c>
      <c r="H1212" s="39">
        <v>74.959999999999994</v>
      </c>
      <c r="I1212" s="39">
        <f>IF(My_Payment[[#This Row],[Payment_Code]]="S",My_Payment[[#This Row],[Total AMT]]/2,IF(My_Payment[[#This Row],[Payment_Code]]="P",My_Payment[[#This Row],[Total AMT]],0))</f>
        <v>74.959999999999994</v>
      </c>
      <c r="J1212" s="39">
        <f>IF(My_Payment[[#This Row],[Payment_Code]]="S",My_Payment[[#This Row],[Total AMT]]/2,IF(My_Payment[[#This Row],[Payment_Code]]="N",My_Payment[[#This Row],[Total AMT]],0))</f>
        <v>0</v>
      </c>
    </row>
    <row r="1213" spans="1:10">
      <c r="A1213" s="38">
        <v>45767</v>
      </c>
      <c r="B1213" s="37" t="s">
        <v>305</v>
      </c>
      <c r="C1213" s="37" t="s">
        <v>226</v>
      </c>
      <c r="D1213" s="37" t="s">
        <v>233</v>
      </c>
      <c r="E1213" s="37" t="s">
        <v>211</v>
      </c>
      <c r="F1213" s="38">
        <v>45815</v>
      </c>
      <c r="G1213" s="37" t="s">
        <v>212</v>
      </c>
      <c r="H1213" s="39">
        <v>437</v>
      </c>
      <c r="I1213" s="39">
        <f>IF(My_Payment[[#This Row],[Payment_Code]]="S",My_Payment[[#This Row],[Total AMT]]/2,IF(My_Payment[[#This Row],[Payment_Code]]="P",My_Payment[[#This Row],[Total AMT]],0))</f>
        <v>218.5</v>
      </c>
      <c r="J1213" s="39">
        <f>IF(My_Payment[[#This Row],[Payment_Code]]="S",My_Payment[[#This Row],[Total AMT]]/2,IF(My_Payment[[#This Row],[Payment_Code]]="N",My_Payment[[#This Row],[Total AMT]],0))</f>
        <v>218.5</v>
      </c>
    </row>
    <row r="1214" spans="1:10">
      <c r="A1214" s="38">
        <v>45774</v>
      </c>
      <c r="B1214" s="37" t="s">
        <v>305</v>
      </c>
      <c r="C1214" s="37" t="s">
        <v>226</v>
      </c>
      <c r="D1214" s="37" t="s">
        <v>655</v>
      </c>
      <c r="E1214" s="37" t="s">
        <v>211</v>
      </c>
      <c r="F1214" s="38">
        <v>45815</v>
      </c>
      <c r="G1214" s="37" t="s">
        <v>212</v>
      </c>
      <c r="H1214" s="39">
        <v>403</v>
      </c>
      <c r="I1214" s="39">
        <v>318</v>
      </c>
      <c r="J1214" s="39">
        <f>54+31</f>
        <v>85</v>
      </c>
    </row>
    <row r="1215" spans="1:10">
      <c r="A1215" s="38">
        <v>45774</v>
      </c>
      <c r="B1215" s="37" t="s">
        <v>305</v>
      </c>
      <c r="C1215" s="37" t="s">
        <v>226</v>
      </c>
      <c r="D1215" s="37" t="s">
        <v>656</v>
      </c>
      <c r="E1215" s="37" t="s">
        <v>211</v>
      </c>
      <c r="F1215" s="38">
        <v>45815</v>
      </c>
      <c r="G1215" s="37" t="s">
        <v>215</v>
      </c>
      <c r="H1215" s="39">
        <v>240</v>
      </c>
      <c r="I1215" s="39">
        <f>IF(My_Payment[[#This Row],[Payment_Code]]="S",My_Payment[[#This Row],[Total AMT]]/2,IF(My_Payment[[#This Row],[Payment_Code]]="P",My_Payment[[#This Row],[Total AMT]],0))</f>
        <v>240</v>
      </c>
      <c r="J1215" s="39">
        <f>IF(My_Payment[[#This Row],[Payment_Code]]="S",My_Payment[[#This Row],[Total AMT]]/2,IF(My_Payment[[#This Row],[Payment_Code]]="N",My_Payment[[#This Row],[Total AMT]],0))</f>
        <v>0</v>
      </c>
    </row>
    <row r="1216" spans="1:10">
      <c r="A1216" s="38">
        <v>45774</v>
      </c>
      <c r="B1216" s="37" t="s">
        <v>305</v>
      </c>
      <c r="C1216" s="37" t="s">
        <v>226</v>
      </c>
      <c r="D1216" s="37" t="s">
        <v>478</v>
      </c>
      <c r="E1216" s="37" t="s">
        <v>211</v>
      </c>
      <c r="F1216" s="38">
        <v>45815</v>
      </c>
      <c r="G1216" s="37" t="s">
        <v>212</v>
      </c>
      <c r="H1216" s="39">
        <v>585.29</v>
      </c>
      <c r="I1216" s="39">
        <f>IF(My_Payment[[#This Row],[Payment_Code]]="S",My_Payment[[#This Row],[Total AMT]]/2,IF(My_Payment[[#This Row],[Payment_Code]]="P",My_Payment[[#This Row],[Total AMT]],0))</f>
        <v>292.64499999999998</v>
      </c>
      <c r="J1216" s="39">
        <f>IF(My_Payment[[#This Row],[Payment_Code]]="S",My_Payment[[#This Row],[Total AMT]]/2,IF(My_Payment[[#This Row],[Payment_Code]]="N",My_Payment[[#This Row],[Total AMT]],0))</f>
        <v>292.64499999999998</v>
      </c>
    </row>
    <row r="1217" spans="1:10">
      <c r="A1217" s="38">
        <v>45776</v>
      </c>
      <c r="B1217" s="37" t="s">
        <v>305</v>
      </c>
      <c r="C1217" s="37" t="s">
        <v>226</v>
      </c>
      <c r="D1217" s="37" t="s">
        <v>33</v>
      </c>
      <c r="E1217" s="37" t="s">
        <v>211</v>
      </c>
      <c r="F1217" s="38">
        <v>45815</v>
      </c>
      <c r="G1217" s="37" t="s">
        <v>215</v>
      </c>
      <c r="H1217" s="39">
        <v>198.6</v>
      </c>
      <c r="I1217" s="39">
        <f>IF(My_Payment[[#This Row],[Payment_Code]]="S",My_Payment[[#This Row],[Total AMT]]/2,IF(My_Payment[[#This Row],[Payment_Code]]="P",My_Payment[[#This Row],[Total AMT]],0))</f>
        <v>198.6</v>
      </c>
      <c r="J1217" s="39">
        <f>IF(My_Payment[[#This Row],[Payment_Code]]="S",My_Payment[[#This Row],[Total AMT]]/2,IF(My_Payment[[#This Row],[Payment_Code]]="N",My_Payment[[#This Row],[Total AMT]],0))</f>
        <v>0</v>
      </c>
    </row>
    <row r="1218" spans="1:10">
      <c r="A1218" s="38">
        <v>45780</v>
      </c>
      <c r="B1218" s="37" t="s">
        <v>305</v>
      </c>
      <c r="C1218" s="37" t="s">
        <v>226</v>
      </c>
      <c r="D1218" s="37" t="s">
        <v>426</v>
      </c>
      <c r="E1218" s="37" t="s">
        <v>211</v>
      </c>
      <c r="F1218" s="38">
        <v>45815</v>
      </c>
      <c r="G1218" s="37" t="s">
        <v>215</v>
      </c>
      <c r="H1218" s="39">
        <v>272</v>
      </c>
      <c r="I1218" s="39">
        <f>IF(My_Payment[[#This Row],[Payment_Code]]="S",My_Payment[[#This Row],[Total AMT]]/2,IF(My_Payment[[#This Row],[Payment_Code]]="P",My_Payment[[#This Row],[Total AMT]],0))</f>
        <v>272</v>
      </c>
      <c r="J1218" s="39">
        <f>IF(My_Payment[[#This Row],[Payment_Code]]="S",My_Payment[[#This Row],[Total AMT]]/2,IF(My_Payment[[#This Row],[Payment_Code]]="N",My_Payment[[#This Row],[Total AMT]],0))</f>
        <v>0</v>
      </c>
    </row>
    <row r="1219" spans="1:10">
      <c r="A1219" s="38">
        <v>45781</v>
      </c>
      <c r="B1219" s="37" t="s">
        <v>305</v>
      </c>
      <c r="C1219" s="37" t="s">
        <v>226</v>
      </c>
      <c r="D1219" s="37" t="s">
        <v>657</v>
      </c>
      <c r="E1219" s="37" t="s">
        <v>211</v>
      </c>
      <c r="F1219" s="38">
        <v>45815</v>
      </c>
      <c r="G1219" s="37" t="s">
        <v>212</v>
      </c>
      <c r="H1219" s="39">
        <v>648</v>
      </c>
      <c r="I1219" s="39">
        <f>IF(My_Payment[[#This Row],[Payment_Code]]="S",My_Payment[[#This Row],[Total AMT]]/2,IF(My_Payment[[#This Row],[Payment_Code]]="P",My_Payment[[#This Row],[Total AMT]],0))</f>
        <v>324</v>
      </c>
      <c r="J1219" s="39">
        <f>IF(My_Payment[[#This Row],[Payment_Code]]="S",My_Payment[[#This Row],[Total AMT]]/2,IF(My_Payment[[#This Row],[Payment_Code]]="N",My_Payment[[#This Row],[Total AMT]],0))</f>
        <v>324</v>
      </c>
    </row>
    <row r="1220" spans="1:10">
      <c r="A1220" s="38">
        <v>45787</v>
      </c>
      <c r="B1220" s="37" t="s">
        <v>305</v>
      </c>
      <c r="C1220" s="37" t="s">
        <v>226</v>
      </c>
      <c r="D1220" s="37" t="s">
        <v>33</v>
      </c>
      <c r="E1220" s="37" t="s">
        <v>211</v>
      </c>
      <c r="F1220" s="38">
        <v>45815</v>
      </c>
      <c r="G1220" s="37" t="s">
        <v>215</v>
      </c>
      <c r="H1220" s="39">
        <v>115</v>
      </c>
      <c r="I1220" s="39">
        <f>IF(My_Payment[[#This Row],[Payment_Code]]="S",My_Payment[[#This Row],[Total AMT]]/2,IF(My_Payment[[#This Row],[Payment_Code]]="P",My_Payment[[#This Row],[Total AMT]],0))</f>
        <v>115</v>
      </c>
      <c r="J1220" s="39">
        <f>IF(My_Payment[[#This Row],[Payment_Code]]="S",My_Payment[[#This Row],[Total AMT]]/2,IF(My_Payment[[#This Row],[Payment_Code]]="N",My_Payment[[#This Row],[Total AMT]],0))</f>
        <v>0</v>
      </c>
    </row>
    <row r="1221" spans="1:10">
      <c r="A1221" s="38">
        <v>45788</v>
      </c>
      <c r="B1221" s="37" t="s">
        <v>305</v>
      </c>
      <c r="C1221" s="37" t="s">
        <v>226</v>
      </c>
      <c r="D1221" s="37" t="s">
        <v>33</v>
      </c>
      <c r="E1221" s="37" t="s">
        <v>211</v>
      </c>
      <c r="F1221" s="38">
        <v>45815</v>
      </c>
      <c r="G1221" s="37" t="s">
        <v>215</v>
      </c>
      <c r="H1221" s="39">
        <v>198.6</v>
      </c>
      <c r="I1221" s="39">
        <f>IF(My_Payment[[#This Row],[Payment_Code]]="S",My_Payment[[#This Row],[Total AMT]]/2,IF(My_Payment[[#This Row],[Payment_Code]]="P",My_Payment[[#This Row],[Total AMT]],0))</f>
        <v>198.6</v>
      </c>
      <c r="J1221" s="39">
        <f>IF(My_Payment[[#This Row],[Payment_Code]]="S",My_Payment[[#This Row],[Total AMT]]/2,IF(My_Payment[[#This Row],[Payment_Code]]="N",My_Payment[[#This Row],[Total AMT]],0))</f>
        <v>0</v>
      </c>
    </row>
    <row r="1222" spans="1:10">
      <c r="A1222" s="38">
        <v>45756</v>
      </c>
      <c r="B1222" s="37" t="s">
        <v>357</v>
      </c>
      <c r="C1222" s="37" t="s">
        <v>248</v>
      </c>
      <c r="D1222" s="37" t="s">
        <v>658</v>
      </c>
      <c r="E1222" s="37" t="s">
        <v>324</v>
      </c>
      <c r="F1222" s="38">
        <v>45782</v>
      </c>
      <c r="G1222" s="37" t="s">
        <v>215</v>
      </c>
      <c r="H1222" s="39">
        <v>262</v>
      </c>
      <c r="I1222" s="39">
        <f>IF(My_Payment[[#This Row],[Payment_Code]]="S",My_Payment[[#This Row],[Total AMT]]/2,IF(My_Payment[[#This Row],[Payment_Code]]="P",My_Payment[[#This Row],[Total AMT]],0))</f>
        <v>262</v>
      </c>
      <c r="J1222" s="39">
        <f>IF(My_Payment[[#This Row],[Payment_Code]]="S",My_Payment[[#This Row],[Total AMT]]/2,IF(My_Payment[[#This Row],[Payment_Code]]="N",My_Payment[[#This Row],[Total AMT]],0))</f>
        <v>0</v>
      </c>
    </row>
    <row r="1223" spans="1:10">
      <c r="A1223" s="38">
        <v>45786</v>
      </c>
      <c r="B1223" s="37" t="s">
        <v>357</v>
      </c>
      <c r="C1223" s="37" t="s">
        <v>248</v>
      </c>
      <c r="D1223" s="37" t="s">
        <v>658</v>
      </c>
      <c r="E1223" s="37" t="s">
        <v>327</v>
      </c>
      <c r="F1223" s="38">
        <v>45813</v>
      </c>
      <c r="G1223" s="37" t="s">
        <v>215</v>
      </c>
      <c r="H1223" s="39">
        <v>262</v>
      </c>
      <c r="I1223" s="39">
        <f>IF(My_Payment[[#This Row],[Payment_Code]]="S",My_Payment[[#This Row],[Total AMT]]/2,IF(My_Payment[[#This Row],[Payment_Code]]="P",My_Payment[[#This Row],[Total AMT]],0))</f>
        <v>262</v>
      </c>
      <c r="J1223" s="39">
        <f>IF(My_Payment[[#This Row],[Payment_Code]]="S",My_Payment[[#This Row],[Total AMT]]/2,IF(My_Payment[[#This Row],[Payment_Code]]="N",My_Payment[[#This Row],[Total AMT]],0))</f>
        <v>0</v>
      </c>
    </row>
    <row r="1224" spans="1:10">
      <c r="A1224" s="38">
        <v>45817</v>
      </c>
      <c r="B1224" s="37" t="s">
        <v>357</v>
      </c>
      <c r="C1224" s="37" t="s">
        <v>248</v>
      </c>
      <c r="D1224" s="37" t="s">
        <v>658</v>
      </c>
      <c r="E1224" s="37" t="s">
        <v>80</v>
      </c>
      <c r="F1224" s="38">
        <v>45843</v>
      </c>
      <c r="G1224" s="37" t="s">
        <v>215</v>
      </c>
      <c r="H1224" s="39">
        <v>262</v>
      </c>
      <c r="I1224" s="39">
        <f>IF(My_Payment[[#This Row],[Payment_Code]]="S",My_Payment[[#This Row],[Total AMT]]/2,IF(My_Payment[[#This Row],[Payment_Code]]="P",My_Payment[[#This Row],[Total AMT]],0))</f>
        <v>262</v>
      </c>
      <c r="J1224" s="39">
        <f>IF(My_Payment[[#This Row],[Payment_Code]]="S",My_Payment[[#This Row],[Total AMT]]/2,IF(My_Payment[[#This Row],[Payment_Code]]="N",My_Payment[[#This Row],[Total AMT]],0))</f>
        <v>0</v>
      </c>
    </row>
    <row r="1225" spans="1:10">
      <c r="A1225" s="38">
        <v>45766</v>
      </c>
      <c r="B1225" s="37" t="s">
        <v>357</v>
      </c>
      <c r="C1225" s="37" t="s">
        <v>248</v>
      </c>
      <c r="D1225" s="37" t="s">
        <v>659</v>
      </c>
      <c r="E1225" s="37" t="s">
        <v>211</v>
      </c>
      <c r="F1225" s="38">
        <v>45782</v>
      </c>
      <c r="G1225" s="37" t="s">
        <v>215</v>
      </c>
      <c r="H1225" s="39">
        <v>109</v>
      </c>
      <c r="I1225" s="39">
        <f>IF(My_Payment[[#This Row],[Payment_Code]]="S",My_Payment[[#This Row],[Total AMT]]/2,IF(My_Payment[[#This Row],[Payment_Code]]="P",My_Payment[[#This Row],[Total AMT]],0))</f>
        <v>109</v>
      </c>
      <c r="J1225" s="39">
        <f>IF(My_Payment[[#This Row],[Payment_Code]]="S",My_Payment[[#This Row],[Total AMT]]/2,IF(My_Payment[[#This Row],[Payment_Code]]="N",My_Payment[[#This Row],[Total AMT]],0))</f>
        <v>0</v>
      </c>
    </row>
    <row r="1226" spans="1:10">
      <c r="A1226" s="38">
        <v>45776</v>
      </c>
      <c r="B1226" s="37" t="s">
        <v>357</v>
      </c>
      <c r="C1226" s="37" t="s">
        <v>248</v>
      </c>
      <c r="D1226" s="37" t="s">
        <v>660</v>
      </c>
      <c r="E1226" s="37" t="s">
        <v>211</v>
      </c>
      <c r="F1226" s="38">
        <v>45813</v>
      </c>
      <c r="G1226" s="37" t="s">
        <v>215</v>
      </c>
      <c r="H1226" s="39">
        <v>137</v>
      </c>
      <c r="I1226" s="39">
        <f>IF(My_Payment[[#This Row],[Payment_Code]]="S",My_Payment[[#This Row],[Total AMT]]/2,IF(My_Payment[[#This Row],[Payment_Code]]="P",My_Payment[[#This Row],[Total AMT]],0))</f>
        <v>137</v>
      </c>
      <c r="J1226" s="39">
        <f>IF(My_Payment[[#This Row],[Payment_Code]]="S",My_Payment[[#This Row],[Total AMT]]/2,IF(My_Payment[[#This Row],[Payment_Code]]="N",My_Payment[[#This Row],[Total AMT]],0))</f>
        <v>0</v>
      </c>
    </row>
    <row r="1227" spans="1:10">
      <c r="A1227" s="38">
        <v>45776</v>
      </c>
      <c r="B1227" s="37" t="s">
        <v>357</v>
      </c>
      <c r="C1227" s="37" t="s">
        <v>248</v>
      </c>
      <c r="D1227" s="37" t="s">
        <v>661</v>
      </c>
      <c r="E1227" s="37" t="s">
        <v>324</v>
      </c>
      <c r="F1227" s="38">
        <v>45813</v>
      </c>
      <c r="G1227" s="37" t="s">
        <v>215</v>
      </c>
      <c r="H1227" s="39">
        <v>139.66999999999999</v>
      </c>
      <c r="I1227" s="39">
        <f>IF(My_Payment[[#This Row],[Payment_Code]]="S",My_Payment[[#This Row],[Total AMT]]/2,IF(My_Payment[[#This Row],[Payment_Code]]="P",My_Payment[[#This Row],[Total AMT]],0))</f>
        <v>139.66999999999999</v>
      </c>
      <c r="J1227" s="39">
        <f>IF(My_Payment[[#This Row],[Payment_Code]]="S",My_Payment[[#This Row],[Total AMT]]/2,IF(My_Payment[[#This Row],[Payment_Code]]="N",My_Payment[[#This Row],[Total AMT]],0))</f>
        <v>0</v>
      </c>
    </row>
    <row r="1228" spans="1:10">
      <c r="A1228" s="38">
        <v>45806</v>
      </c>
      <c r="B1228" s="37" t="s">
        <v>357</v>
      </c>
      <c r="C1228" s="37" t="s">
        <v>248</v>
      </c>
      <c r="D1228" s="37" t="s">
        <v>661</v>
      </c>
      <c r="E1228" s="37" t="s">
        <v>327</v>
      </c>
      <c r="F1228" s="38">
        <v>45843</v>
      </c>
      <c r="G1228" s="37" t="s">
        <v>215</v>
      </c>
      <c r="H1228" s="39">
        <v>139.66999999999999</v>
      </c>
      <c r="I1228" s="39">
        <f>IF(My_Payment[[#This Row],[Payment_Code]]="S",My_Payment[[#This Row],[Total AMT]]/2,IF(My_Payment[[#This Row],[Payment_Code]]="P",My_Payment[[#This Row],[Total AMT]],0))</f>
        <v>139.66999999999999</v>
      </c>
      <c r="J1228" s="39">
        <f>IF(My_Payment[[#This Row],[Payment_Code]]="S",My_Payment[[#This Row],[Total AMT]]/2,IF(My_Payment[[#This Row],[Payment_Code]]="N",My_Payment[[#This Row],[Total AMT]],0))</f>
        <v>0</v>
      </c>
    </row>
    <row r="1229" spans="1:10">
      <c r="A1229" s="38">
        <v>45837</v>
      </c>
      <c r="B1229" s="37" t="s">
        <v>357</v>
      </c>
      <c r="C1229" s="37" t="s">
        <v>248</v>
      </c>
      <c r="D1229" s="37" t="s">
        <v>661</v>
      </c>
      <c r="E1229" s="37" t="s">
        <v>80</v>
      </c>
      <c r="F1229" s="38">
        <v>45874</v>
      </c>
      <c r="G1229" s="37" t="s">
        <v>215</v>
      </c>
      <c r="H1229" s="39">
        <v>139.66</v>
      </c>
      <c r="I1229" s="39">
        <f>IF(My_Payment[[#This Row],[Payment_Code]]="S",My_Payment[[#This Row],[Total AMT]]/2,IF(My_Payment[[#This Row],[Payment_Code]]="P",My_Payment[[#This Row],[Total AMT]],0))</f>
        <v>139.66</v>
      </c>
      <c r="J1229" s="39">
        <f>IF(My_Payment[[#This Row],[Payment_Code]]="S",My_Payment[[#This Row],[Total AMT]]/2,IF(My_Payment[[#This Row],[Payment_Code]]="N",My_Payment[[#This Row],[Total AMT]],0))</f>
        <v>0</v>
      </c>
    </row>
    <row r="1230" spans="1:10">
      <c r="A1230" s="38">
        <v>45780</v>
      </c>
      <c r="B1230" s="37" t="s">
        <v>225</v>
      </c>
      <c r="C1230" s="37" t="s">
        <v>226</v>
      </c>
      <c r="D1230" s="37" t="s">
        <v>662</v>
      </c>
      <c r="E1230" s="37" t="s">
        <v>211</v>
      </c>
      <c r="F1230" s="38">
        <v>45830</v>
      </c>
      <c r="G1230" s="37" t="s">
        <v>3</v>
      </c>
      <c r="H1230" s="39">
        <v>1093.3</v>
      </c>
      <c r="I1230" s="39">
        <f>IF(My_Payment[[#This Row],[Payment_Code]]="S",My_Payment[[#This Row],[Total AMT]]/2,IF(My_Payment[[#This Row],[Payment_Code]]="P",My_Payment[[#This Row],[Total AMT]],0))</f>
        <v>0</v>
      </c>
      <c r="J1230" s="39">
        <f>IF(My_Payment[[#This Row],[Payment_Code]]="S",My_Payment[[#This Row],[Total AMT]]/2,IF(My_Payment[[#This Row],[Payment_Code]]="N",My_Payment[[#This Row],[Total AMT]],0))</f>
        <v>1093.3</v>
      </c>
    </row>
    <row r="1231" spans="1:10">
      <c r="A1231" s="38">
        <v>45795</v>
      </c>
      <c r="B1231" s="37" t="s">
        <v>208</v>
      </c>
      <c r="C1231" s="37" t="s">
        <v>209</v>
      </c>
      <c r="D1231" s="37" t="s">
        <v>217</v>
      </c>
      <c r="E1231" s="37" t="s">
        <v>211</v>
      </c>
      <c r="F1231" s="38">
        <v>45840</v>
      </c>
      <c r="G1231" s="37" t="s">
        <v>212</v>
      </c>
      <c r="H1231" s="39">
        <v>2325</v>
      </c>
      <c r="I1231" s="39">
        <v>1207</v>
      </c>
      <c r="J1231" s="39">
        <v>1118</v>
      </c>
    </row>
    <row r="1232" spans="1:10">
      <c r="A1232" s="38">
        <v>45799</v>
      </c>
      <c r="B1232" s="37" t="s">
        <v>305</v>
      </c>
      <c r="C1232" s="37" t="s">
        <v>226</v>
      </c>
      <c r="D1232" s="37" t="s">
        <v>505</v>
      </c>
      <c r="E1232" s="37" t="s">
        <v>211</v>
      </c>
      <c r="F1232" s="38">
        <v>45845</v>
      </c>
      <c r="G1232" s="37" t="s">
        <v>215</v>
      </c>
      <c r="H1232" s="39">
        <v>44</v>
      </c>
      <c r="I1232" s="39">
        <f>IF(My_Payment[[#This Row],[Payment_Code]]="S",My_Payment[[#This Row],[Total AMT]]/2,IF(My_Payment[[#This Row],[Payment_Code]]="P",My_Payment[[#This Row],[Total AMT]],0))</f>
        <v>44</v>
      </c>
      <c r="J1232" s="39">
        <f>IF(My_Payment[[#This Row],[Payment_Code]]="S",My_Payment[[#This Row],[Total AMT]]/2,IF(My_Payment[[#This Row],[Payment_Code]]="N",My_Payment[[#This Row],[Total AMT]],0))</f>
        <v>0</v>
      </c>
    </row>
    <row r="1233" spans="1:10">
      <c r="A1233" s="38">
        <v>45801</v>
      </c>
      <c r="B1233" s="37" t="s">
        <v>305</v>
      </c>
      <c r="C1233" s="37" t="s">
        <v>226</v>
      </c>
      <c r="D1233" s="37" t="s">
        <v>663</v>
      </c>
      <c r="E1233" s="37" t="s">
        <v>211</v>
      </c>
      <c r="F1233" s="38">
        <v>45845</v>
      </c>
      <c r="G1233" s="37" t="s">
        <v>215</v>
      </c>
      <c r="H1233" s="39">
        <v>500</v>
      </c>
      <c r="I1233" s="39">
        <f>IF(My_Payment[[#This Row],[Payment_Code]]="S",My_Payment[[#This Row],[Total AMT]]/2,IF(My_Payment[[#This Row],[Payment_Code]]="P",My_Payment[[#This Row],[Total AMT]],0))</f>
        <v>500</v>
      </c>
      <c r="J1233" s="39">
        <f>IF(My_Payment[[#This Row],[Payment_Code]]="S",My_Payment[[#This Row],[Total AMT]]/2,IF(My_Payment[[#This Row],[Payment_Code]]="N",My_Payment[[#This Row],[Total AMT]],0))</f>
        <v>0</v>
      </c>
    </row>
    <row r="1234" spans="1:10">
      <c r="A1234" s="38">
        <v>45808</v>
      </c>
      <c r="B1234" s="37" t="s">
        <v>305</v>
      </c>
      <c r="C1234" s="37" t="s">
        <v>226</v>
      </c>
      <c r="D1234" s="37" t="s">
        <v>505</v>
      </c>
      <c r="E1234" s="37" t="s">
        <v>211</v>
      </c>
      <c r="F1234" s="38">
        <v>45845</v>
      </c>
      <c r="G1234" s="37" t="s">
        <v>215</v>
      </c>
      <c r="H1234" s="39">
        <v>44</v>
      </c>
      <c r="I1234" s="39">
        <f>IF(My_Payment[[#This Row],[Payment_Code]]="S",My_Payment[[#This Row],[Total AMT]]/2,IF(My_Payment[[#This Row],[Payment_Code]]="P",My_Payment[[#This Row],[Total AMT]],0))</f>
        <v>44</v>
      </c>
      <c r="J1234" s="39">
        <f>IF(My_Payment[[#This Row],[Payment_Code]]="S",My_Payment[[#This Row],[Total AMT]]/2,IF(My_Payment[[#This Row],[Payment_Code]]="N",My_Payment[[#This Row],[Total AMT]],0))</f>
        <v>0</v>
      </c>
    </row>
    <row r="1235" spans="1:10">
      <c r="A1235" s="38">
        <v>45819</v>
      </c>
      <c r="B1235" s="37" t="s">
        <v>305</v>
      </c>
      <c r="C1235" s="37" t="s">
        <v>226</v>
      </c>
      <c r="D1235" s="37" t="s">
        <v>505</v>
      </c>
      <c r="E1235" s="37" t="s">
        <v>211</v>
      </c>
      <c r="F1235" s="38">
        <v>45845</v>
      </c>
      <c r="G1235" s="37" t="s">
        <v>215</v>
      </c>
      <c r="H1235" s="39">
        <v>40</v>
      </c>
      <c r="I1235" s="39">
        <f>IF(My_Payment[[#This Row],[Payment_Code]]="S",My_Payment[[#This Row],[Total AMT]]/2,IF(My_Payment[[#This Row],[Payment_Code]]="P",My_Payment[[#This Row],[Total AMT]],0))</f>
        <v>40</v>
      </c>
      <c r="J1235" s="39">
        <f>IF(My_Payment[[#This Row],[Payment_Code]]="S",My_Payment[[#This Row],[Total AMT]]/2,IF(My_Payment[[#This Row],[Payment_Code]]="N",My_Payment[[#This Row],[Total AMT]],0))</f>
        <v>0</v>
      </c>
    </row>
    <row r="1236" spans="1:10">
      <c r="A1236" s="38">
        <v>45822</v>
      </c>
      <c r="B1236" s="37" t="s">
        <v>345</v>
      </c>
      <c r="C1236" s="37" t="s">
        <v>248</v>
      </c>
      <c r="D1236" s="37" t="s">
        <v>640</v>
      </c>
      <c r="E1236" s="37" t="s">
        <v>211</v>
      </c>
      <c r="F1236" s="38">
        <v>45840</v>
      </c>
      <c r="G1236" s="37" t="s">
        <v>212</v>
      </c>
      <c r="H1236" s="39">
        <v>1012.43</v>
      </c>
      <c r="I1236" s="39">
        <f>IF(My_Payment[[#This Row],[Payment_Code]]="S",My_Payment[[#This Row],[Total AMT]]/2,IF(My_Payment[[#This Row],[Payment_Code]]="P",My_Payment[[#This Row],[Total AMT]],0))</f>
        <v>506.21499999999997</v>
      </c>
      <c r="J1236" s="39">
        <f>IF(My_Payment[[#This Row],[Payment_Code]]="S",My_Payment[[#This Row],[Total AMT]]/2,IF(My_Payment[[#This Row],[Payment_Code]]="N",My_Payment[[#This Row],[Total AMT]],0))</f>
        <v>506.21499999999997</v>
      </c>
    </row>
    <row r="1237" spans="1:10">
      <c r="A1237" s="38">
        <v>45818</v>
      </c>
      <c r="B1237" s="37" t="s">
        <v>357</v>
      </c>
      <c r="C1237" s="37" t="s">
        <v>248</v>
      </c>
      <c r="D1237" s="37" t="s">
        <v>664</v>
      </c>
      <c r="E1237" s="37" t="s">
        <v>459</v>
      </c>
      <c r="F1237" s="38">
        <v>45843</v>
      </c>
      <c r="G1237" s="37" t="s">
        <v>215</v>
      </c>
      <c r="H1237" s="39">
        <v>982</v>
      </c>
      <c r="I1237" s="39">
        <f>IF(My_Payment[[#This Row],[Payment_Code]]="S",My_Payment[[#This Row],[Total AMT]]/2,IF(My_Payment[[#This Row],[Payment_Code]]="P",My_Payment[[#This Row],[Total AMT]],0))</f>
        <v>982</v>
      </c>
      <c r="J1237" s="39">
        <f>IF(My_Payment[[#This Row],[Payment_Code]]="S",My_Payment[[#This Row],[Total AMT]]/2,IF(My_Payment[[#This Row],[Payment_Code]]="N",My_Payment[[#This Row],[Total AMT]],0))</f>
        <v>0</v>
      </c>
    </row>
    <row r="1238" spans="1:10">
      <c r="A1238" s="38">
        <v>45848</v>
      </c>
      <c r="B1238" s="37" t="s">
        <v>357</v>
      </c>
      <c r="C1238" s="37" t="s">
        <v>248</v>
      </c>
      <c r="D1238" s="37" t="s">
        <v>664</v>
      </c>
      <c r="E1238" s="37" t="s">
        <v>460</v>
      </c>
      <c r="F1238" s="38">
        <v>45874</v>
      </c>
      <c r="G1238" s="37" t="s">
        <v>215</v>
      </c>
      <c r="H1238" s="39">
        <v>982</v>
      </c>
      <c r="I1238" s="39">
        <f>IF(My_Payment[[#This Row],[Payment_Code]]="S",My_Payment[[#This Row],[Total AMT]]/2,IF(My_Payment[[#This Row],[Payment_Code]]="P",My_Payment[[#This Row],[Total AMT]],0))</f>
        <v>982</v>
      </c>
      <c r="J1238" s="39">
        <f>IF(My_Payment[[#This Row],[Payment_Code]]="S",My_Payment[[#This Row],[Total AMT]]/2,IF(My_Payment[[#This Row],[Payment_Code]]="N",My_Payment[[#This Row],[Total AMT]],0))</f>
        <v>0</v>
      </c>
    </row>
    <row r="1239" spans="1:10">
      <c r="A1239" s="38">
        <v>45879</v>
      </c>
      <c r="B1239" s="37" t="s">
        <v>357</v>
      </c>
      <c r="C1239" s="37" t="s">
        <v>248</v>
      </c>
      <c r="D1239" s="37" t="s">
        <v>664</v>
      </c>
      <c r="E1239" s="37" t="s">
        <v>461</v>
      </c>
      <c r="F1239" s="38">
        <v>45905</v>
      </c>
      <c r="G1239" s="37" t="s">
        <v>215</v>
      </c>
      <c r="H1239" s="39">
        <v>982</v>
      </c>
      <c r="I1239" s="39">
        <f>IF(My_Payment[[#This Row],[Payment_Code]]="S",My_Payment[[#This Row],[Total AMT]]/2,IF(My_Payment[[#This Row],[Payment_Code]]="P",My_Payment[[#This Row],[Total AMT]],0))</f>
        <v>982</v>
      </c>
      <c r="J1239" s="39">
        <f>IF(My_Payment[[#This Row],[Payment_Code]]="S",My_Payment[[#This Row],[Total AMT]]/2,IF(My_Payment[[#This Row],[Payment_Code]]="N",My_Payment[[#This Row],[Total AMT]],0))</f>
        <v>0</v>
      </c>
    </row>
    <row r="1240" spans="1:10">
      <c r="A1240" s="38">
        <v>45910</v>
      </c>
      <c r="B1240" s="37" t="s">
        <v>357</v>
      </c>
      <c r="C1240" s="37" t="s">
        <v>248</v>
      </c>
      <c r="D1240" s="37" t="s">
        <v>664</v>
      </c>
      <c r="E1240" s="37" t="s">
        <v>462</v>
      </c>
      <c r="F1240" s="38">
        <v>45935</v>
      </c>
      <c r="G1240" s="37" t="s">
        <v>215</v>
      </c>
      <c r="H1240" s="39">
        <v>982</v>
      </c>
      <c r="I1240" s="39">
        <f>IF(My_Payment[[#This Row],[Payment_Code]]="S",My_Payment[[#This Row],[Total AMT]]/2,IF(My_Payment[[#This Row],[Payment_Code]]="P",My_Payment[[#This Row],[Total AMT]],0))</f>
        <v>982</v>
      </c>
      <c r="J1240" s="39">
        <f>IF(My_Payment[[#This Row],[Payment_Code]]="S",My_Payment[[#This Row],[Total AMT]]/2,IF(My_Payment[[#This Row],[Payment_Code]]="N",My_Payment[[#This Row],[Total AMT]],0))</f>
        <v>0</v>
      </c>
    </row>
    <row r="1241" spans="1:10">
      <c r="A1241" s="38">
        <v>45940</v>
      </c>
      <c r="B1241" s="37" t="s">
        <v>357</v>
      </c>
      <c r="C1241" s="37" t="s">
        <v>248</v>
      </c>
      <c r="D1241" s="37" t="s">
        <v>664</v>
      </c>
      <c r="E1241" s="37" t="s">
        <v>463</v>
      </c>
      <c r="F1241" s="38">
        <v>45966</v>
      </c>
      <c r="G1241" s="37" t="s">
        <v>215</v>
      </c>
      <c r="H1241" s="39">
        <v>982</v>
      </c>
      <c r="I1241" s="39">
        <f>IF(My_Payment[[#This Row],[Payment_Code]]="S",My_Payment[[#This Row],[Total AMT]]/2,IF(My_Payment[[#This Row],[Payment_Code]]="P",My_Payment[[#This Row],[Total AMT]],0))</f>
        <v>982</v>
      </c>
      <c r="J1241" s="39">
        <f>IF(My_Payment[[#This Row],[Payment_Code]]="S",My_Payment[[#This Row],[Total AMT]]/2,IF(My_Payment[[#This Row],[Payment_Code]]="N",My_Payment[[#This Row],[Total AMT]],0))</f>
        <v>0</v>
      </c>
    </row>
    <row r="1242" spans="1:10">
      <c r="A1242" s="38">
        <v>45843</v>
      </c>
      <c r="B1242" s="37" t="s">
        <v>225</v>
      </c>
      <c r="C1242" s="37" t="s">
        <v>226</v>
      </c>
      <c r="D1242" s="37" t="s">
        <v>665</v>
      </c>
      <c r="E1242" s="37" t="s">
        <v>211</v>
      </c>
      <c r="F1242" s="38">
        <v>45891</v>
      </c>
      <c r="G1242" s="37" t="s">
        <v>215</v>
      </c>
      <c r="H1242" s="39">
        <v>375</v>
      </c>
      <c r="I1242" s="39">
        <f>IF(My_Payment[[#This Row],[Payment_Code]]="S",My_Payment[[#This Row],[Total AMT]]/2,IF(My_Payment[[#This Row],[Payment_Code]]="P",My_Payment[[#This Row],[Total AMT]],0))</f>
        <v>375</v>
      </c>
      <c r="J1242" s="39">
        <f>IF(My_Payment[[#This Row],[Payment_Code]]="S",My_Payment[[#This Row],[Total AMT]]/2,IF(My_Payment[[#This Row],[Payment_Code]]="N",My_Payment[[#This Row],[Total AMT]],0))</f>
        <v>0</v>
      </c>
    </row>
    <row r="1243" spans="1:10">
      <c r="A1243" s="38">
        <v>45874</v>
      </c>
      <c r="B1243" s="37" t="s">
        <v>225</v>
      </c>
      <c r="C1243" s="37" t="s">
        <v>226</v>
      </c>
      <c r="D1243" s="37" t="s">
        <v>665</v>
      </c>
      <c r="E1243" s="37" t="s">
        <v>211</v>
      </c>
      <c r="F1243" s="38">
        <v>45922</v>
      </c>
      <c r="G1243" s="37" t="s">
        <v>215</v>
      </c>
      <c r="H1243" s="39">
        <v>375</v>
      </c>
      <c r="I1243" s="39">
        <f>IF(My_Payment[[#This Row],[Payment_Code]]="S",My_Payment[[#This Row],[Total AMT]]/2,IF(My_Payment[[#This Row],[Payment_Code]]="P",My_Payment[[#This Row],[Total AMT]],0))</f>
        <v>375</v>
      </c>
      <c r="J1243" s="39">
        <f>IF(My_Payment[[#This Row],[Payment_Code]]="S",My_Payment[[#This Row],[Total AMT]]/2,IF(My_Payment[[#This Row],[Payment_Code]]="N",My_Payment[[#This Row],[Total AMT]],0))</f>
        <v>0</v>
      </c>
    </row>
    <row r="1244" spans="1:10">
      <c r="A1244" s="38">
        <v>45905</v>
      </c>
      <c r="B1244" s="37" t="s">
        <v>225</v>
      </c>
      <c r="C1244" s="37" t="s">
        <v>226</v>
      </c>
      <c r="D1244" s="37" t="s">
        <v>665</v>
      </c>
      <c r="E1244" s="37" t="s">
        <v>211</v>
      </c>
      <c r="F1244" s="38">
        <v>45952</v>
      </c>
      <c r="G1244" s="37" t="s">
        <v>215</v>
      </c>
      <c r="H1244" s="39">
        <v>750</v>
      </c>
      <c r="I1244" s="39">
        <f>IF(My_Payment[[#This Row],[Payment_Code]]="S",My_Payment[[#This Row],[Total AMT]]/2,IF(My_Payment[[#This Row],[Payment_Code]]="P",My_Payment[[#This Row],[Total AMT]],0))</f>
        <v>750</v>
      </c>
      <c r="J1244" s="39">
        <f>IF(My_Payment[[#This Row],[Payment_Code]]="S",My_Payment[[#This Row],[Total AMT]]/2,IF(My_Payment[[#This Row],[Payment_Code]]="N",My_Payment[[#This Row],[Total AMT]],0))</f>
        <v>0</v>
      </c>
    </row>
    <row r="1245" spans="1:10">
      <c r="A1245" s="38">
        <v>45935</v>
      </c>
      <c r="B1245" s="37" t="s">
        <v>225</v>
      </c>
      <c r="C1245" s="37" t="s">
        <v>226</v>
      </c>
      <c r="D1245" s="37" t="s">
        <v>665</v>
      </c>
      <c r="E1245" s="37" t="s">
        <v>211</v>
      </c>
      <c r="F1245" s="38">
        <v>45983</v>
      </c>
      <c r="G1245" s="37" t="s">
        <v>215</v>
      </c>
      <c r="H1245" s="39">
        <v>750</v>
      </c>
      <c r="I1245" s="39">
        <f>IF(My_Payment[[#This Row],[Payment_Code]]="S",My_Payment[[#This Row],[Total AMT]]/2,IF(My_Payment[[#This Row],[Payment_Code]]="P",My_Payment[[#This Row],[Total AMT]],0))</f>
        <v>750</v>
      </c>
      <c r="J1245" s="39">
        <f>IF(My_Payment[[#This Row],[Payment_Code]]="S",My_Payment[[#This Row],[Total AMT]]/2,IF(My_Payment[[#This Row],[Payment_Code]]="N",My_Payment[[#This Row],[Total AMT]],0))</f>
        <v>0</v>
      </c>
    </row>
    <row r="1246" spans="1:10">
      <c r="A1246" s="38">
        <v>45966</v>
      </c>
      <c r="B1246" s="37" t="s">
        <v>225</v>
      </c>
      <c r="C1246" s="37" t="s">
        <v>226</v>
      </c>
      <c r="D1246" s="37" t="s">
        <v>665</v>
      </c>
      <c r="E1246" s="37" t="s">
        <v>211</v>
      </c>
      <c r="F1246" s="38">
        <v>46013</v>
      </c>
      <c r="G1246" s="37" t="s">
        <v>215</v>
      </c>
      <c r="H1246" s="39">
        <v>750</v>
      </c>
      <c r="I1246" s="39">
        <f>IF(My_Payment[[#This Row],[Payment_Code]]="S",My_Payment[[#This Row],[Total AMT]]/2,IF(My_Payment[[#This Row],[Payment_Code]]="P",My_Payment[[#This Row],[Total AMT]],0))</f>
        <v>750</v>
      </c>
      <c r="J1246" s="39">
        <f>IF(My_Payment[[#This Row],[Payment_Code]]="S",My_Payment[[#This Row],[Total AMT]]/2,IF(My_Payment[[#This Row],[Payment_Code]]="N",My_Payment[[#This Row],[Total AMT]],0))</f>
        <v>0</v>
      </c>
    </row>
    <row r="1247" spans="1:10">
      <c r="A1247" s="38">
        <v>45996</v>
      </c>
      <c r="B1247" s="37" t="s">
        <v>225</v>
      </c>
      <c r="C1247" s="37" t="s">
        <v>226</v>
      </c>
      <c r="D1247" s="37" t="s">
        <v>665</v>
      </c>
      <c r="E1247" s="37" t="s">
        <v>211</v>
      </c>
      <c r="F1247" s="38">
        <v>46044</v>
      </c>
      <c r="G1247" s="37" t="s">
        <v>215</v>
      </c>
      <c r="H1247" s="39">
        <v>750</v>
      </c>
      <c r="I1247" s="39">
        <f>IF(My_Payment[[#This Row],[Payment_Code]]="S",My_Payment[[#This Row],[Total AMT]]/2,IF(My_Payment[[#This Row],[Payment_Code]]="P",My_Payment[[#This Row],[Total AMT]],0))</f>
        <v>750</v>
      </c>
      <c r="J1247" s="39">
        <f>IF(My_Payment[[#This Row],[Payment_Code]]="S",My_Payment[[#This Row],[Total AMT]]/2,IF(My_Payment[[#This Row],[Payment_Code]]="N",My_Payment[[#This Row],[Total AMT]],0))</f>
        <v>0</v>
      </c>
    </row>
    <row r="1248" spans="1:10">
      <c r="A1248" s="38">
        <v>45823</v>
      </c>
      <c r="B1248" s="37" t="s">
        <v>305</v>
      </c>
      <c r="C1248" s="37" t="s">
        <v>226</v>
      </c>
      <c r="D1248" s="37" t="s">
        <v>666</v>
      </c>
      <c r="E1248" s="37" t="s">
        <v>211</v>
      </c>
      <c r="F1248" s="38">
        <v>45845</v>
      </c>
      <c r="G1248" s="37" t="s">
        <v>215</v>
      </c>
      <c r="H1248" s="39">
        <v>1000</v>
      </c>
      <c r="I1248" s="39">
        <f>IF(My_Payment[[#This Row],[Payment_Code]]="S",My_Payment[[#This Row],[Total AMT]]/2,IF(My_Payment[[#This Row],[Payment_Code]]="P",My_Payment[[#This Row],[Total AMT]],0))</f>
        <v>1000</v>
      </c>
      <c r="J1248" s="39">
        <f>IF(My_Payment[[#This Row],[Payment_Code]]="S",My_Payment[[#This Row],[Total AMT]]/2,IF(My_Payment[[#This Row],[Payment_Code]]="N",My_Payment[[#This Row],[Total AMT]],0))</f>
        <v>0</v>
      </c>
    </row>
    <row r="1249" spans="1:10">
      <c r="A1249" s="38">
        <v>45823</v>
      </c>
      <c r="B1249" s="37" t="s">
        <v>305</v>
      </c>
      <c r="C1249" s="37" t="s">
        <v>226</v>
      </c>
      <c r="D1249" s="37" t="s">
        <v>667</v>
      </c>
      <c r="E1249" s="37" t="s">
        <v>211</v>
      </c>
      <c r="F1249" s="38">
        <v>45845</v>
      </c>
      <c r="G1249" s="37" t="s">
        <v>215</v>
      </c>
      <c r="H1249" s="39">
        <v>-8</v>
      </c>
      <c r="I1249" s="39">
        <f>IF(My_Payment[[#This Row],[Payment_Code]]="S",My_Payment[[#This Row],[Total AMT]]/2,IF(My_Payment[[#This Row],[Payment_Code]]="P",My_Payment[[#This Row],[Total AMT]],0))</f>
        <v>-8</v>
      </c>
      <c r="J1249" s="39">
        <f>IF(My_Payment[[#This Row],[Payment_Code]]="S",My_Payment[[#This Row],[Total AMT]]/2,IF(My_Payment[[#This Row],[Payment_Code]]="N",My_Payment[[#This Row],[Total AMT]],0))</f>
        <v>0</v>
      </c>
    </row>
    <row r="1250" spans="1:10">
      <c r="A1250" s="38">
        <v>45826</v>
      </c>
      <c r="B1250" s="37" t="s">
        <v>305</v>
      </c>
      <c r="C1250" s="37" t="s">
        <v>226</v>
      </c>
      <c r="D1250" s="37" t="s">
        <v>33</v>
      </c>
      <c r="E1250" s="37" t="s">
        <v>211</v>
      </c>
      <c r="F1250" s="38">
        <v>45876</v>
      </c>
      <c r="G1250" s="37" t="s">
        <v>215</v>
      </c>
      <c r="H1250" s="39">
        <v>79.5</v>
      </c>
      <c r="I1250" s="39">
        <f>IF(My_Payment[[#This Row],[Payment_Code]]="S",My_Payment[[#This Row],[Total AMT]]/2,IF(My_Payment[[#This Row],[Payment_Code]]="P",My_Payment[[#This Row],[Total AMT]],0))</f>
        <v>79.5</v>
      </c>
      <c r="J1250" s="39">
        <f>IF(My_Payment[[#This Row],[Payment_Code]]="S",My_Payment[[#This Row],[Total AMT]]/2,IF(My_Payment[[#This Row],[Payment_Code]]="N",My_Payment[[#This Row],[Total AMT]],0))</f>
        <v>0</v>
      </c>
    </row>
    <row r="1251" spans="1:10">
      <c r="A1251" s="38">
        <v>45829</v>
      </c>
      <c r="B1251" s="37" t="s">
        <v>305</v>
      </c>
      <c r="C1251" s="37" t="s">
        <v>226</v>
      </c>
      <c r="D1251" s="37" t="s">
        <v>505</v>
      </c>
      <c r="E1251" s="37" t="s">
        <v>211</v>
      </c>
      <c r="F1251" s="38">
        <v>45876</v>
      </c>
      <c r="G1251" s="37" t="s">
        <v>215</v>
      </c>
      <c r="H1251" s="39">
        <v>50</v>
      </c>
      <c r="I1251" s="39">
        <f>IF(My_Payment[[#This Row],[Payment_Code]]="S",My_Payment[[#This Row],[Total AMT]]/2,IF(My_Payment[[#This Row],[Payment_Code]]="P",My_Payment[[#This Row],[Total AMT]],0))</f>
        <v>50</v>
      </c>
      <c r="J1251" s="39">
        <f>IF(My_Payment[[#This Row],[Payment_Code]]="S",My_Payment[[#This Row],[Total AMT]]/2,IF(My_Payment[[#This Row],[Payment_Code]]="N",My_Payment[[#This Row],[Total AMT]],0))</f>
        <v>0</v>
      </c>
    </row>
    <row r="1252" spans="1:10">
      <c r="A1252" s="38">
        <v>45830</v>
      </c>
      <c r="B1252" s="37" t="s">
        <v>305</v>
      </c>
      <c r="C1252" s="37" t="s">
        <v>226</v>
      </c>
      <c r="D1252" s="37" t="s">
        <v>33</v>
      </c>
      <c r="E1252" s="37" t="s">
        <v>211</v>
      </c>
      <c r="F1252" s="38">
        <v>45876</v>
      </c>
      <c r="G1252" s="37" t="s">
        <v>215</v>
      </c>
      <c r="H1252" s="39">
        <v>267.75</v>
      </c>
      <c r="I1252" s="39">
        <f>IF(My_Payment[[#This Row],[Payment_Code]]="S",My_Payment[[#This Row],[Total AMT]]/2,IF(My_Payment[[#This Row],[Payment_Code]]="P",My_Payment[[#This Row],[Total AMT]],0))</f>
        <v>267.75</v>
      </c>
      <c r="J1252" s="39">
        <f>IF(My_Payment[[#This Row],[Payment_Code]]="S",My_Payment[[#This Row],[Total AMT]]/2,IF(My_Payment[[#This Row],[Payment_Code]]="N",My_Payment[[#This Row],[Total AMT]],0))</f>
        <v>0</v>
      </c>
    </row>
    <row r="1253" spans="1:10">
      <c r="A1253" s="38">
        <v>45830</v>
      </c>
      <c r="B1253" s="37" t="s">
        <v>305</v>
      </c>
      <c r="C1253" s="37" t="s">
        <v>226</v>
      </c>
      <c r="D1253" s="37" t="s">
        <v>668</v>
      </c>
      <c r="E1253" s="37" t="s">
        <v>211</v>
      </c>
      <c r="F1253" s="38">
        <v>45876</v>
      </c>
      <c r="G1253" s="37" t="s">
        <v>212</v>
      </c>
      <c r="H1253" s="39">
        <v>3980.4</v>
      </c>
      <c r="I1253" s="39">
        <f>IF(My_Payment[[#This Row],[Payment_Code]]="S",My_Payment[[#This Row],[Total AMT]]/2,IF(My_Payment[[#This Row],[Payment_Code]]="P",My_Payment[[#This Row],[Total AMT]],0))</f>
        <v>1990.2</v>
      </c>
      <c r="J1253" s="39">
        <f>IF(My_Payment[[#This Row],[Payment_Code]]="S",My_Payment[[#This Row],[Total AMT]]/2,IF(My_Payment[[#This Row],[Payment_Code]]="N",My_Payment[[#This Row],[Total AMT]],0))</f>
        <v>1990.2</v>
      </c>
    </row>
    <row r="1254" spans="1:10">
      <c r="A1254" s="38">
        <v>45836</v>
      </c>
      <c r="B1254" s="37" t="s">
        <v>305</v>
      </c>
      <c r="C1254" s="37" t="s">
        <v>226</v>
      </c>
      <c r="D1254" s="37" t="s">
        <v>669</v>
      </c>
      <c r="E1254" s="37" t="s">
        <v>211</v>
      </c>
      <c r="F1254" s="38">
        <v>45876</v>
      </c>
      <c r="G1254" s="37" t="s">
        <v>212</v>
      </c>
      <c r="H1254" s="39">
        <v>1034</v>
      </c>
      <c r="I1254" s="39">
        <f>IF(My_Payment[[#This Row],[Payment_Code]]="S",My_Payment[[#This Row],[Total AMT]]/2,IF(My_Payment[[#This Row],[Payment_Code]]="P",My_Payment[[#This Row],[Total AMT]],0))</f>
        <v>517</v>
      </c>
      <c r="J1254" s="39">
        <f>IF(My_Payment[[#This Row],[Payment_Code]]="S",My_Payment[[#This Row],[Total AMT]]/2,IF(My_Payment[[#This Row],[Payment_Code]]="N",My_Payment[[#This Row],[Total AMT]],0))</f>
        <v>517</v>
      </c>
    </row>
    <row r="1255" spans="1:10">
      <c r="A1255" s="38">
        <v>45837</v>
      </c>
      <c r="B1255" s="37" t="s">
        <v>305</v>
      </c>
      <c r="C1255" s="37" t="s">
        <v>226</v>
      </c>
      <c r="D1255" s="37" t="s">
        <v>33</v>
      </c>
      <c r="E1255" s="37" t="s">
        <v>211</v>
      </c>
      <c r="F1255" s="38">
        <v>45876</v>
      </c>
      <c r="G1255" s="37" t="s">
        <v>215</v>
      </c>
      <c r="H1255" s="39">
        <v>280</v>
      </c>
      <c r="I1255" s="39">
        <f>IF(My_Payment[[#This Row],[Payment_Code]]="S",My_Payment[[#This Row],[Total AMT]]/2,IF(My_Payment[[#This Row],[Payment_Code]]="P",My_Payment[[#This Row],[Total AMT]],0))</f>
        <v>280</v>
      </c>
      <c r="J1255" s="39">
        <f>IF(My_Payment[[#This Row],[Payment_Code]]="S",My_Payment[[#This Row],[Total AMT]]/2,IF(My_Payment[[#This Row],[Payment_Code]]="N",My_Payment[[#This Row],[Total AMT]],0))</f>
        <v>0</v>
      </c>
    </row>
    <row r="1256" spans="1:10">
      <c r="A1256" s="38">
        <v>45853</v>
      </c>
      <c r="B1256" s="37" t="s">
        <v>373</v>
      </c>
      <c r="C1256" s="37" t="s">
        <v>209</v>
      </c>
      <c r="D1256" s="37" t="s">
        <v>670</v>
      </c>
      <c r="E1256" s="37" t="s">
        <v>306</v>
      </c>
      <c r="F1256" s="38">
        <v>45870</v>
      </c>
      <c r="G1256" s="37" t="s">
        <v>215</v>
      </c>
      <c r="H1256" s="39">
        <v>2397.5</v>
      </c>
      <c r="I1256" s="39">
        <f>IF(My_Payment[[#This Row],[Payment_Code]]="S",My_Payment[[#This Row],[Total AMT]]/2,IF(My_Payment[[#This Row],[Payment_Code]]="P",My_Payment[[#This Row],[Total AMT]],0))</f>
        <v>2397.5</v>
      </c>
      <c r="J1256" s="39">
        <f>IF(My_Payment[[#This Row],[Payment_Code]]="S",My_Payment[[#This Row],[Total AMT]]/2,IF(My_Payment[[#This Row],[Payment_Code]]="N",My_Payment[[#This Row],[Total AMT]],0))</f>
        <v>0</v>
      </c>
    </row>
    <row r="1257" spans="1:10">
      <c r="A1257" s="38">
        <v>45884</v>
      </c>
      <c r="B1257" s="37" t="s">
        <v>373</v>
      </c>
      <c r="C1257" s="37" t="s">
        <v>209</v>
      </c>
      <c r="D1257" s="37" t="s">
        <v>670</v>
      </c>
      <c r="E1257" s="37" t="s">
        <v>307</v>
      </c>
      <c r="F1257" s="38">
        <v>45901</v>
      </c>
      <c r="G1257" s="37" t="s">
        <v>215</v>
      </c>
      <c r="H1257" s="39">
        <v>2397.5</v>
      </c>
      <c r="I1257" s="39">
        <f>IF(My_Payment[[#This Row],[Payment_Code]]="S",My_Payment[[#This Row],[Total AMT]]/2,IF(My_Payment[[#This Row],[Payment_Code]]="P",My_Payment[[#This Row],[Total AMT]],0))</f>
        <v>2397.5</v>
      </c>
      <c r="J1257" s="39">
        <f>IF(My_Payment[[#This Row],[Payment_Code]]="S",My_Payment[[#This Row],[Total AMT]]/2,IF(My_Payment[[#This Row],[Payment_Code]]="N",My_Payment[[#This Row],[Total AMT]],0))</f>
        <v>0</v>
      </c>
    </row>
    <row r="1258" spans="1:10">
      <c r="A1258" s="38">
        <v>45915</v>
      </c>
      <c r="B1258" s="37" t="s">
        <v>373</v>
      </c>
      <c r="C1258" s="37" t="s">
        <v>209</v>
      </c>
      <c r="D1258" s="37" t="s">
        <v>670</v>
      </c>
      <c r="E1258" s="37" t="s">
        <v>308</v>
      </c>
      <c r="F1258" s="38">
        <v>45931</v>
      </c>
      <c r="G1258" s="37" t="s">
        <v>215</v>
      </c>
      <c r="H1258" s="39">
        <v>2397.5</v>
      </c>
      <c r="I1258" s="39">
        <f>IF(My_Payment[[#This Row],[Payment_Code]]="S",My_Payment[[#This Row],[Total AMT]]/2,IF(My_Payment[[#This Row],[Payment_Code]]="P",My_Payment[[#This Row],[Total AMT]],0))</f>
        <v>2397.5</v>
      </c>
      <c r="J1258" s="39">
        <f>IF(My_Payment[[#This Row],[Payment_Code]]="S",My_Payment[[#This Row],[Total AMT]]/2,IF(My_Payment[[#This Row],[Payment_Code]]="N",My_Payment[[#This Row],[Total AMT]],0))</f>
        <v>0</v>
      </c>
    </row>
    <row r="1259" spans="1:10">
      <c r="A1259" s="38">
        <v>45945</v>
      </c>
      <c r="B1259" s="37" t="s">
        <v>373</v>
      </c>
      <c r="C1259" s="37" t="s">
        <v>209</v>
      </c>
      <c r="D1259" s="37" t="s">
        <v>670</v>
      </c>
      <c r="E1259" s="37" t="s">
        <v>309</v>
      </c>
      <c r="F1259" s="38">
        <v>45962</v>
      </c>
      <c r="G1259" s="37" t="s">
        <v>215</v>
      </c>
      <c r="H1259" s="39">
        <v>2397.5</v>
      </c>
      <c r="I1259" s="39">
        <f>IF(My_Payment[[#This Row],[Payment_Code]]="S",My_Payment[[#This Row],[Total AMT]]/2,IF(My_Payment[[#This Row],[Payment_Code]]="P",My_Payment[[#This Row],[Total AMT]],0))</f>
        <v>2397.5</v>
      </c>
      <c r="J1259" s="39">
        <f>IF(My_Payment[[#This Row],[Payment_Code]]="S",My_Payment[[#This Row],[Total AMT]]/2,IF(My_Payment[[#This Row],[Payment_Code]]="N",My_Payment[[#This Row],[Total AMT]],0))</f>
        <v>0</v>
      </c>
    </row>
    <row r="1260" spans="1:10">
      <c r="A1260" s="38">
        <v>45976</v>
      </c>
      <c r="B1260" s="37" t="s">
        <v>373</v>
      </c>
      <c r="C1260" s="37" t="s">
        <v>209</v>
      </c>
      <c r="D1260" s="37" t="s">
        <v>670</v>
      </c>
      <c r="E1260" s="37" t="s">
        <v>310</v>
      </c>
      <c r="F1260" s="38">
        <v>45992</v>
      </c>
      <c r="G1260" s="37" t="s">
        <v>215</v>
      </c>
      <c r="H1260" s="39">
        <v>2397.5</v>
      </c>
      <c r="I1260" s="39">
        <f>IF(My_Payment[[#This Row],[Payment_Code]]="S",My_Payment[[#This Row],[Total AMT]]/2,IF(My_Payment[[#This Row],[Payment_Code]]="P",My_Payment[[#This Row],[Total AMT]],0))</f>
        <v>2397.5</v>
      </c>
      <c r="J1260" s="39">
        <f>IF(My_Payment[[#This Row],[Payment_Code]]="S",My_Payment[[#This Row],[Total AMT]]/2,IF(My_Payment[[#This Row],[Payment_Code]]="N",My_Payment[[#This Row],[Total AMT]],0))</f>
        <v>0</v>
      </c>
    </row>
    <row r="1261" spans="1:10">
      <c r="A1261" s="38">
        <v>46006</v>
      </c>
      <c r="B1261" s="37" t="s">
        <v>373</v>
      </c>
      <c r="C1261" s="37" t="s">
        <v>209</v>
      </c>
      <c r="D1261" s="37" t="s">
        <v>670</v>
      </c>
      <c r="E1261" s="37" t="s">
        <v>311</v>
      </c>
      <c r="F1261" s="38">
        <v>46023</v>
      </c>
      <c r="G1261" s="37" t="s">
        <v>215</v>
      </c>
      <c r="H1261" s="39">
        <v>2397.5</v>
      </c>
      <c r="I1261" s="39">
        <f>IF(My_Payment[[#This Row],[Payment_Code]]="S",My_Payment[[#This Row],[Total AMT]]/2,IF(My_Payment[[#This Row],[Payment_Code]]="P",My_Payment[[#This Row],[Total AMT]],0))</f>
        <v>2397.5</v>
      </c>
      <c r="J1261" s="39">
        <f>IF(My_Payment[[#This Row],[Payment_Code]]="S",My_Payment[[#This Row],[Total AMT]]/2,IF(My_Payment[[#This Row],[Payment_Code]]="N",My_Payment[[#This Row],[Total AMT]],0))</f>
        <v>0</v>
      </c>
    </row>
    <row r="1262" spans="1:10">
      <c r="A1262" s="38">
        <v>46037</v>
      </c>
      <c r="B1262" s="37" t="s">
        <v>373</v>
      </c>
      <c r="C1262" s="37" t="s">
        <v>209</v>
      </c>
      <c r="D1262" s="37" t="s">
        <v>670</v>
      </c>
      <c r="E1262" s="37" t="s">
        <v>312</v>
      </c>
      <c r="F1262" s="38">
        <v>46054</v>
      </c>
      <c r="G1262" s="37" t="s">
        <v>215</v>
      </c>
      <c r="H1262" s="39">
        <v>2397.5</v>
      </c>
      <c r="I1262" s="39">
        <f>IF(My_Payment[[#This Row],[Payment_Code]]="S",My_Payment[[#This Row],[Total AMT]]/2,IF(My_Payment[[#This Row],[Payment_Code]]="P",My_Payment[[#This Row],[Total AMT]],0))</f>
        <v>2397.5</v>
      </c>
      <c r="J1262" s="39">
        <f>IF(My_Payment[[#This Row],[Payment_Code]]="S",My_Payment[[#This Row],[Total AMT]]/2,IF(My_Payment[[#This Row],[Payment_Code]]="N",My_Payment[[#This Row],[Total AMT]],0))</f>
        <v>0</v>
      </c>
    </row>
    <row r="1263" spans="1:10">
      <c r="A1263" s="38">
        <v>46068</v>
      </c>
      <c r="B1263" s="37" t="s">
        <v>373</v>
      </c>
      <c r="C1263" s="37" t="s">
        <v>209</v>
      </c>
      <c r="D1263" s="37" t="s">
        <v>670</v>
      </c>
      <c r="E1263" s="37" t="s">
        <v>313</v>
      </c>
      <c r="F1263" s="38">
        <v>46082</v>
      </c>
      <c r="G1263" s="37" t="s">
        <v>215</v>
      </c>
      <c r="H1263" s="39">
        <v>2397.5</v>
      </c>
      <c r="I1263" s="39">
        <f>IF(My_Payment[[#This Row],[Payment_Code]]="S",My_Payment[[#This Row],[Total AMT]]/2,IF(My_Payment[[#This Row],[Payment_Code]]="P",My_Payment[[#This Row],[Total AMT]],0))</f>
        <v>2397.5</v>
      </c>
      <c r="J1263" s="39">
        <f>IF(My_Payment[[#This Row],[Payment_Code]]="S",My_Payment[[#This Row],[Total AMT]]/2,IF(My_Payment[[#This Row],[Payment_Code]]="N",My_Payment[[#This Row],[Total AMT]],0))</f>
        <v>0</v>
      </c>
    </row>
    <row r="1264" spans="1:10">
      <c r="A1264" s="38">
        <v>46096</v>
      </c>
      <c r="B1264" s="37" t="s">
        <v>373</v>
      </c>
      <c r="C1264" s="37" t="s">
        <v>209</v>
      </c>
      <c r="D1264" s="37" t="s">
        <v>670</v>
      </c>
      <c r="E1264" s="37" t="s">
        <v>314</v>
      </c>
      <c r="F1264" s="38">
        <v>46113</v>
      </c>
      <c r="G1264" s="37" t="s">
        <v>215</v>
      </c>
      <c r="H1264" s="39">
        <v>2397.5</v>
      </c>
      <c r="I1264" s="39">
        <f>IF(My_Payment[[#This Row],[Payment_Code]]="S",My_Payment[[#This Row],[Total AMT]]/2,IF(My_Payment[[#This Row],[Payment_Code]]="P",My_Payment[[#This Row],[Total AMT]],0))</f>
        <v>2397.5</v>
      </c>
      <c r="J1264" s="39">
        <f>IF(My_Payment[[#This Row],[Payment_Code]]="S",My_Payment[[#This Row],[Total AMT]]/2,IF(My_Payment[[#This Row],[Payment_Code]]="N",My_Payment[[#This Row],[Total AMT]],0))</f>
        <v>0</v>
      </c>
    </row>
    <row r="1265" spans="1:10">
      <c r="A1265" s="38">
        <v>46127</v>
      </c>
      <c r="B1265" s="37" t="s">
        <v>373</v>
      </c>
      <c r="C1265" s="37" t="s">
        <v>209</v>
      </c>
      <c r="D1265" s="37" t="s">
        <v>670</v>
      </c>
      <c r="E1265" s="37" t="s">
        <v>112</v>
      </c>
      <c r="F1265" s="38">
        <v>46143</v>
      </c>
      <c r="G1265" s="37" t="s">
        <v>215</v>
      </c>
      <c r="H1265" s="39">
        <v>2397.5</v>
      </c>
      <c r="I1265" s="39">
        <f>IF(My_Payment[[#This Row],[Payment_Code]]="S",My_Payment[[#This Row],[Total AMT]]/2,IF(My_Payment[[#This Row],[Payment_Code]]="P",My_Payment[[#This Row],[Total AMT]],0))</f>
        <v>2397.5</v>
      </c>
      <c r="J1265" s="39">
        <f>IF(My_Payment[[#This Row],[Payment_Code]]="S",My_Payment[[#This Row],[Total AMT]]/2,IF(My_Payment[[#This Row],[Payment_Code]]="N",My_Payment[[#This Row],[Total AMT]],0))</f>
        <v>0</v>
      </c>
    </row>
    <row r="1266" spans="1:10">
      <c r="A1266" s="38">
        <v>45866</v>
      </c>
      <c r="B1266" s="37" t="s">
        <v>357</v>
      </c>
      <c r="C1266" s="37" t="s">
        <v>248</v>
      </c>
      <c r="D1266" s="37" t="s">
        <v>671</v>
      </c>
      <c r="E1266" s="37" t="s">
        <v>211</v>
      </c>
      <c r="F1266" s="38">
        <v>45905</v>
      </c>
      <c r="G1266" s="37" t="s">
        <v>215</v>
      </c>
      <c r="H1266" s="39">
        <v>270</v>
      </c>
      <c r="I1266" s="39">
        <f>IF(My_Payment[[#This Row],[Payment_Code]]="S",My_Payment[[#This Row],[Total AMT]]/2,IF(My_Payment[[#This Row],[Payment_Code]]="P",My_Payment[[#This Row],[Total AMT]],0))</f>
        <v>270</v>
      </c>
      <c r="J1266" s="39">
        <f>IF(My_Payment[[#This Row],[Payment_Code]]="S",My_Payment[[#This Row],[Total AMT]]/2,IF(My_Payment[[#This Row],[Payment_Code]]="N",My_Payment[[#This Row],[Total AMT]],0))</f>
        <v>0</v>
      </c>
    </row>
    <row r="1267" spans="1:10">
      <c r="A1267" s="38">
        <v>45858</v>
      </c>
      <c r="B1267" s="37" t="s">
        <v>208</v>
      </c>
      <c r="C1267" s="37" t="s">
        <v>209</v>
      </c>
      <c r="D1267" s="37" t="s">
        <v>217</v>
      </c>
      <c r="E1267" s="37" t="s">
        <v>211</v>
      </c>
      <c r="F1267" s="38">
        <v>45902</v>
      </c>
      <c r="G1267" s="37" t="s">
        <v>212</v>
      </c>
      <c r="H1267" s="39">
        <v>2472.5300000000002</v>
      </c>
      <c r="I1267" s="39">
        <v>1353.51</v>
      </c>
      <c r="J1267" s="39">
        <v>1119.02</v>
      </c>
    </row>
    <row r="1268" spans="1:10">
      <c r="A1268" s="38">
        <v>45858</v>
      </c>
      <c r="B1268" s="37" t="s">
        <v>208</v>
      </c>
      <c r="C1268" s="37" t="s">
        <v>209</v>
      </c>
      <c r="D1268" s="37" t="s">
        <v>217</v>
      </c>
      <c r="E1268" s="37" t="s">
        <v>211</v>
      </c>
      <c r="F1268" s="38">
        <v>45902</v>
      </c>
      <c r="G1268" s="37" t="s">
        <v>215</v>
      </c>
      <c r="H1268" s="39">
        <v>201</v>
      </c>
      <c r="I1268" s="39">
        <f>IF(My_Payment[[#This Row],[Payment_Code]]="S",My_Payment[[#This Row],[Total AMT]]/2,IF(My_Payment[[#This Row],[Payment_Code]]="P",My_Payment[[#This Row],[Total AMT]],0))</f>
        <v>201</v>
      </c>
      <c r="J1268" s="39">
        <f>IF(My_Payment[[#This Row],[Payment_Code]]="S",My_Payment[[#This Row],[Total AMT]]/2,IF(My_Payment[[#This Row],[Payment_Code]]="N",My_Payment[[#This Row],[Total AMT]],0))</f>
        <v>0</v>
      </c>
    </row>
    <row r="1269" spans="1:10">
      <c r="A1269" s="38">
        <v>45879</v>
      </c>
      <c r="B1269" s="37" t="s">
        <v>225</v>
      </c>
      <c r="C1269" s="37" t="s">
        <v>226</v>
      </c>
      <c r="D1269" s="37" t="s">
        <v>672</v>
      </c>
      <c r="E1269" s="37" t="s">
        <v>211</v>
      </c>
      <c r="F1269" s="38">
        <v>45922</v>
      </c>
      <c r="G1269" s="37" t="s">
        <v>215</v>
      </c>
      <c r="H1269" s="39">
        <v>632.9</v>
      </c>
      <c r="I1269" s="39">
        <f>IF(My_Payment[[#This Row],[Payment_Code]]="S",My_Payment[[#This Row],[Total AMT]]/2,IF(My_Payment[[#This Row],[Payment_Code]]="P",My_Payment[[#This Row],[Total AMT]],0))</f>
        <v>632.9</v>
      </c>
      <c r="J1269" s="39">
        <f>IF(My_Payment[[#This Row],[Payment_Code]]="S",My_Payment[[#This Row],[Total AMT]]/2,IF(My_Payment[[#This Row],[Payment_Code]]="N",My_Payment[[#This Row],[Total AMT]],0))</f>
        <v>0</v>
      </c>
    </row>
    <row r="1270" spans="1:10">
      <c r="A1270" s="38">
        <v>45858</v>
      </c>
      <c r="B1270" s="37" t="s">
        <v>305</v>
      </c>
      <c r="C1270" s="37" t="s">
        <v>226</v>
      </c>
      <c r="D1270" s="37" t="s">
        <v>673</v>
      </c>
      <c r="E1270" s="37" t="s">
        <v>211</v>
      </c>
      <c r="F1270" s="38">
        <v>45907</v>
      </c>
      <c r="G1270" s="37" t="s">
        <v>215</v>
      </c>
      <c r="H1270" s="39">
        <v>6030</v>
      </c>
      <c r="I1270" s="39">
        <f>IF(My_Payment[[#This Row],[Payment_Code]]="S",My_Payment[[#This Row],[Total AMT]]/2,IF(My_Payment[[#This Row],[Payment_Code]]="P",My_Payment[[#This Row],[Total AMT]],0))</f>
        <v>6030</v>
      </c>
      <c r="J1270" s="39">
        <f>IF(My_Payment[[#This Row],[Payment_Code]]="S",My_Payment[[#This Row],[Total AMT]]/2,IF(My_Payment[[#This Row],[Payment_Code]]="N",My_Payment[[#This Row],[Total AMT]],0))</f>
        <v>0</v>
      </c>
    </row>
    <row r="1271" spans="1:10">
      <c r="A1271" s="38">
        <v>45858</v>
      </c>
      <c r="B1271" s="37" t="s">
        <v>305</v>
      </c>
      <c r="C1271" s="37" t="s">
        <v>226</v>
      </c>
      <c r="D1271" s="37" t="s">
        <v>674</v>
      </c>
      <c r="E1271" s="37" t="s">
        <v>211</v>
      </c>
      <c r="F1271" s="38">
        <v>45907</v>
      </c>
      <c r="G1271" s="37" t="s">
        <v>212</v>
      </c>
      <c r="H1271" s="39">
        <v>764</v>
      </c>
      <c r="I1271" s="39">
        <f>IF(My_Payment[[#This Row],[Payment_Code]]="S",My_Payment[[#This Row],[Total AMT]]/2,IF(My_Payment[[#This Row],[Payment_Code]]="P",My_Payment[[#This Row],[Total AMT]],0))</f>
        <v>382</v>
      </c>
      <c r="J1271" s="39">
        <f>IF(My_Payment[[#This Row],[Payment_Code]]="S",My_Payment[[#This Row],[Total AMT]]/2,IF(My_Payment[[#This Row],[Payment_Code]]="N",My_Payment[[#This Row],[Total AMT]],0))</f>
        <v>382</v>
      </c>
    </row>
    <row r="1272" spans="1:10">
      <c r="A1272" s="38">
        <v>45868</v>
      </c>
      <c r="B1272" s="37" t="s">
        <v>305</v>
      </c>
      <c r="C1272" s="37" t="s">
        <v>226</v>
      </c>
      <c r="D1272" s="37" t="s">
        <v>33</v>
      </c>
      <c r="E1272" s="37" t="s">
        <v>211</v>
      </c>
      <c r="F1272" s="38">
        <v>45907</v>
      </c>
      <c r="G1272" s="37" t="s">
        <v>215</v>
      </c>
      <c r="H1272" s="39">
        <v>159</v>
      </c>
      <c r="I1272" s="39">
        <f>IF(My_Payment[[#This Row],[Payment_Code]]="S",My_Payment[[#This Row],[Total AMT]]/2,IF(My_Payment[[#This Row],[Payment_Code]]="P",My_Payment[[#This Row],[Total AMT]],0))</f>
        <v>159</v>
      </c>
      <c r="J1272" s="39">
        <f>IF(My_Payment[[#This Row],[Payment_Code]]="S",My_Payment[[#This Row],[Total AMT]]/2,IF(My_Payment[[#This Row],[Payment_Code]]="N",My_Payment[[#This Row],[Total AMT]],0))</f>
        <v>0</v>
      </c>
    </row>
    <row r="1273" spans="1:10">
      <c r="A1273" s="38">
        <v>45878</v>
      </c>
      <c r="B1273" s="37" t="s">
        <v>305</v>
      </c>
      <c r="C1273" s="37" t="s">
        <v>226</v>
      </c>
      <c r="D1273" s="37" t="s">
        <v>675</v>
      </c>
      <c r="E1273" s="37" t="s">
        <v>211</v>
      </c>
      <c r="F1273" s="38">
        <v>45907</v>
      </c>
      <c r="G1273" s="37" t="s">
        <v>215</v>
      </c>
      <c r="H1273" s="39">
        <v>35</v>
      </c>
      <c r="I1273" s="39">
        <f>IF(My_Payment[[#This Row],[Payment_Code]]="S",My_Payment[[#This Row],[Total AMT]]/2,IF(My_Payment[[#This Row],[Payment_Code]]="P",My_Payment[[#This Row],[Total AMT]],0))</f>
        <v>35</v>
      </c>
      <c r="J1273" s="39">
        <f>IF(My_Payment[[#This Row],[Payment_Code]]="S",My_Payment[[#This Row],[Total AMT]]/2,IF(My_Payment[[#This Row],[Payment_Code]]="N",My_Payment[[#This Row],[Total AMT]],0))</f>
        <v>0</v>
      </c>
    </row>
    <row r="1274" spans="1:10">
      <c r="A1274" s="38">
        <v>45878</v>
      </c>
      <c r="B1274" s="37" t="s">
        <v>305</v>
      </c>
      <c r="C1274" s="37" t="s">
        <v>226</v>
      </c>
      <c r="D1274" s="37" t="s">
        <v>675</v>
      </c>
      <c r="E1274" s="37" t="s">
        <v>211</v>
      </c>
      <c r="F1274" s="38">
        <v>45907</v>
      </c>
      <c r="G1274" s="37" t="s">
        <v>215</v>
      </c>
      <c r="H1274" s="39">
        <v>35</v>
      </c>
      <c r="I1274" s="39">
        <f>IF(My_Payment[[#This Row],[Payment_Code]]="S",My_Payment[[#This Row],[Total AMT]]/2,IF(My_Payment[[#This Row],[Payment_Code]]="P",My_Payment[[#This Row],[Total AMT]],0))</f>
        <v>35</v>
      </c>
      <c r="J1274" s="39">
        <f>IF(My_Payment[[#This Row],[Payment_Code]]="S",My_Payment[[#This Row],[Total AMT]]/2,IF(My_Payment[[#This Row],[Payment_Code]]="N",My_Payment[[#This Row],[Total AMT]],0))</f>
        <v>0</v>
      </c>
    </row>
    <row r="1275" spans="1:10">
      <c r="A1275" s="38">
        <v>45885</v>
      </c>
      <c r="B1275" s="37" t="s">
        <v>305</v>
      </c>
      <c r="C1275" s="37" t="s">
        <v>226</v>
      </c>
      <c r="D1275" s="37" t="s">
        <v>675</v>
      </c>
      <c r="E1275" s="37" t="s">
        <v>211</v>
      </c>
      <c r="F1275" s="38">
        <v>45907</v>
      </c>
      <c r="G1275" s="37" t="s">
        <v>215</v>
      </c>
      <c r="H1275" s="39">
        <v>35</v>
      </c>
      <c r="I1275" s="39">
        <f>IF(My_Payment[[#This Row],[Payment_Code]]="S",My_Payment[[#This Row],[Total AMT]]/2,IF(My_Payment[[#This Row],[Payment_Code]]="P",My_Payment[[#This Row],[Total AMT]],0))</f>
        <v>35</v>
      </c>
      <c r="J1275" s="39">
        <f>IF(My_Payment[[#This Row],[Payment_Code]]="S",My_Payment[[#This Row],[Total AMT]]/2,IF(My_Payment[[#This Row],[Payment_Code]]="N",My_Payment[[#This Row],[Total AMT]],0))</f>
        <v>0</v>
      </c>
    </row>
    <row r="1276" spans="1:10">
      <c r="A1276" s="38">
        <v>45886</v>
      </c>
      <c r="B1276" s="37" t="s">
        <v>305</v>
      </c>
      <c r="C1276" s="37" t="s">
        <v>226</v>
      </c>
      <c r="D1276" s="37" t="s">
        <v>651</v>
      </c>
      <c r="E1276" s="37" t="s">
        <v>211</v>
      </c>
      <c r="F1276" s="38">
        <v>45907</v>
      </c>
      <c r="G1276" s="37" t="s">
        <v>212</v>
      </c>
      <c r="H1276" s="39">
        <v>997</v>
      </c>
      <c r="I1276" s="39">
        <f>IF(My_Payment[[#This Row],[Payment_Code]]="S",My_Payment[[#This Row],[Total AMT]]/2,IF(My_Payment[[#This Row],[Payment_Code]]="P",My_Payment[[#This Row],[Total AMT]],0))</f>
        <v>498.5</v>
      </c>
      <c r="J1276" s="39">
        <f>IF(My_Payment[[#This Row],[Payment_Code]]="S",My_Payment[[#This Row],[Total AMT]]/2,IF(My_Payment[[#This Row],[Payment_Code]]="N",My_Payment[[#This Row],[Total AMT]],0))</f>
        <v>498.5</v>
      </c>
    </row>
    <row r="1277" spans="1:10">
      <c r="A1277" s="38">
        <v>45864</v>
      </c>
      <c r="B1277" s="37" t="s">
        <v>345</v>
      </c>
      <c r="C1277" s="37" t="s">
        <v>248</v>
      </c>
      <c r="D1277" s="37" t="s">
        <v>640</v>
      </c>
      <c r="E1277" s="37" t="s">
        <v>211</v>
      </c>
      <c r="F1277" s="38">
        <v>45902</v>
      </c>
      <c r="G1277" s="37" t="s">
        <v>212</v>
      </c>
      <c r="H1277" s="39">
        <v>1829.81</v>
      </c>
      <c r="I1277" s="39">
        <f>IF(My_Payment[[#This Row],[Payment_Code]]="S",My_Payment[[#This Row],[Total AMT]]/2,IF(My_Payment[[#This Row],[Payment_Code]]="P",My_Payment[[#This Row],[Total AMT]],0))</f>
        <v>914.90499999999997</v>
      </c>
      <c r="J1277" s="39">
        <f>IF(My_Payment[[#This Row],[Payment_Code]]="S",My_Payment[[#This Row],[Total AMT]]/2,IF(My_Payment[[#This Row],[Payment_Code]]="N",My_Payment[[#This Row],[Total AMT]],0))</f>
        <v>914.90499999999997</v>
      </c>
    </row>
    <row r="1278" spans="1:10">
      <c r="A1278" s="38">
        <v>45822</v>
      </c>
      <c r="B1278" s="37" t="s">
        <v>345</v>
      </c>
      <c r="C1278" s="37" t="s">
        <v>248</v>
      </c>
      <c r="D1278" s="37" t="s">
        <v>676</v>
      </c>
      <c r="E1278" s="37" t="s">
        <v>211</v>
      </c>
      <c r="F1278" s="38">
        <v>45902</v>
      </c>
      <c r="G1278" s="37" t="s">
        <v>215</v>
      </c>
      <c r="H1278" s="39">
        <v>258</v>
      </c>
      <c r="I1278" s="39">
        <f>IF(My_Payment[[#This Row],[Payment_Code]]="S",My_Payment[[#This Row],[Total AMT]]/2,IF(My_Payment[[#This Row],[Payment_Code]]="P",My_Payment[[#This Row],[Total AMT]],0))</f>
        <v>258</v>
      </c>
      <c r="J1278" s="39">
        <f>IF(My_Payment[[#This Row],[Payment_Code]]="S",My_Payment[[#This Row],[Total AMT]]/2,IF(My_Payment[[#This Row],[Payment_Code]]="N",My_Payment[[#This Row],[Total AMT]],0))</f>
        <v>0</v>
      </c>
    </row>
    <row r="1279" spans="1:10">
      <c r="A1279" s="38">
        <v>45928</v>
      </c>
      <c r="B1279" s="37" t="s">
        <v>208</v>
      </c>
      <c r="C1279" s="37" t="s">
        <v>209</v>
      </c>
      <c r="D1279" s="37" t="s">
        <v>217</v>
      </c>
      <c r="E1279" s="37" t="s">
        <v>211</v>
      </c>
      <c r="F1279" s="38">
        <v>45963</v>
      </c>
      <c r="G1279" s="37" t="s">
        <v>212</v>
      </c>
      <c r="H1279" s="39">
        <v>1396.8</v>
      </c>
      <c r="I1279" s="39">
        <v>970.4</v>
      </c>
      <c r="J1279" s="39">
        <v>426.4</v>
      </c>
    </row>
    <row r="1280" spans="1:10">
      <c r="A1280" s="38">
        <v>45939</v>
      </c>
      <c r="B1280" s="37" t="s">
        <v>208</v>
      </c>
      <c r="C1280" s="37" t="s">
        <v>209</v>
      </c>
      <c r="D1280" s="37" t="s">
        <v>677</v>
      </c>
      <c r="E1280" s="37" t="s">
        <v>211</v>
      </c>
      <c r="F1280" s="38">
        <v>45993</v>
      </c>
      <c r="G1280" s="37" t="s">
        <v>215</v>
      </c>
      <c r="H1280" s="39">
        <v>1000</v>
      </c>
      <c r="I1280" s="39">
        <f>IF(My_Payment[[#This Row],[Payment_Code]]="S",My_Payment[[#This Row],[Total AMT]]/2,IF(My_Payment[[#This Row],[Payment_Code]]="P",My_Payment[[#This Row],[Total AMT]],0))</f>
        <v>1000</v>
      </c>
      <c r="J1280" s="39">
        <f>IF(My_Payment[[#This Row],[Payment_Code]]="S",My_Payment[[#This Row],[Total AMT]]/2,IF(My_Payment[[#This Row],[Payment_Code]]="N",My_Payment[[#This Row],[Total AMT]],0))</f>
        <v>0</v>
      </c>
    </row>
    <row r="1281" spans="1:10">
      <c r="A1281" s="38">
        <v>45887</v>
      </c>
      <c r="B1281" s="37" t="s">
        <v>305</v>
      </c>
      <c r="C1281" s="37" t="s">
        <v>226</v>
      </c>
      <c r="D1281" s="37" t="s">
        <v>678</v>
      </c>
      <c r="E1281" s="37" t="s">
        <v>211</v>
      </c>
      <c r="F1281" s="38">
        <v>45937</v>
      </c>
      <c r="G1281" s="37" t="s">
        <v>215</v>
      </c>
      <c r="H1281" s="39">
        <v>1020</v>
      </c>
      <c r="I1281" s="39">
        <f>IF(My_Payment[[#This Row],[Payment_Code]]="S",My_Payment[[#This Row],[Total AMT]]/2,IF(My_Payment[[#This Row],[Payment_Code]]="P",My_Payment[[#This Row],[Total AMT]],0))</f>
        <v>1020</v>
      </c>
      <c r="J1281" s="39">
        <f>IF(My_Payment[[#This Row],[Payment_Code]]="S",My_Payment[[#This Row],[Total AMT]]/2,IF(My_Payment[[#This Row],[Payment_Code]]="N",My_Payment[[#This Row],[Total AMT]],0))</f>
        <v>0</v>
      </c>
    </row>
    <row r="1282" spans="1:10">
      <c r="A1282" s="38">
        <v>45897</v>
      </c>
      <c r="B1282" s="37" t="s">
        <v>305</v>
      </c>
      <c r="C1282" s="37" t="s">
        <v>226</v>
      </c>
      <c r="D1282" s="37" t="s">
        <v>505</v>
      </c>
      <c r="E1282" s="37" t="s">
        <v>211</v>
      </c>
      <c r="F1282" s="38">
        <v>45937</v>
      </c>
      <c r="G1282" s="37" t="s">
        <v>215</v>
      </c>
      <c r="H1282" s="39">
        <v>45</v>
      </c>
      <c r="I1282" s="39">
        <f>IF(My_Payment[[#This Row],[Payment_Code]]="S",My_Payment[[#This Row],[Total AMT]]/2,IF(My_Payment[[#This Row],[Payment_Code]]="P",My_Payment[[#This Row],[Total AMT]],0))</f>
        <v>45</v>
      </c>
      <c r="J1282" s="39">
        <f>IF(My_Payment[[#This Row],[Payment_Code]]="S",My_Payment[[#This Row],[Total AMT]]/2,IF(My_Payment[[#This Row],[Payment_Code]]="N",My_Payment[[#This Row],[Total AMT]],0))</f>
        <v>0</v>
      </c>
    </row>
    <row r="1283" spans="1:10">
      <c r="A1283" s="38">
        <v>45899</v>
      </c>
      <c r="B1283" s="37" t="s">
        <v>305</v>
      </c>
      <c r="C1283" s="37" t="s">
        <v>226</v>
      </c>
      <c r="D1283" s="37" t="s">
        <v>679</v>
      </c>
      <c r="E1283" s="37" t="s">
        <v>211</v>
      </c>
      <c r="F1283" s="38">
        <v>45937</v>
      </c>
      <c r="G1283" s="37" t="s">
        <v>215</v>
      </c>
      <c r="H1283" s="39">
        <v>1495</v>
      </c>
      <c r="I1283" s="39">
        <f>IF(My_Payment[[#This Row],[Payment_Code]]="S",My_Payment[[#This Row],[Total AMT]]/2,IF(My_Payment[[#This Row],[Payment_Code]]="P",My_Payment[[#This Row],[Total AMT]],0))</f>
        <v>1495</v>
      </c>
      <c r="J1283" s="39">
        <f>IF(My_Payment[[#This Row],[Payment_Code]]="S",My_Payment[[#This Row],[Total AMT]]/2,IF(My_Payment[[#This Row],[Payment_Code]]="N",My_Payment[[#This Row],[Total AMT]],0))</f>
        <v>0</v>
      </c>
    </row>
    <row r="1284" spans="1:10">
      <c r="A1284" s="38">
        <v>45822</v>
      </c>
      <c r="B1284" s="37" t="s">
        <v>345</v>
      </c>
      <c r="C1284" s="37" t="s">
        <v>248</v>
      </c>
      <c r="D1284" s="37" t="s">
        <v>471</v>
      </c>
      <c r="E1284" s="37" t="s">
        <v>211</v>
      </c>
      <c r="F1284" s="38">
        <v>45963</v>
      </c>
      <c r="G1284" s="37" t="s">
        <v>212</v>
      </c>
      <c r="H1284" s="39">
        <v>1023</v>
      </c>
      <c r="I1284" s="39">
        <f>IF(My_Payment[[#This Row],[Payment_Code]]="S",My_Payment[[#This Row],[Total AMT]]/2,IF(My_Payment[[#This Row],[Payment_Code]]="P",My_Payment[[#This Row],[Total AMT]],0))</f>
        <v>511.5</v>
      </c>
      <c r="J1284" s="39">
        <f>IF(My_Payment[[#This Row],[Payment_Code]]="S",My_Payment[[#This Row],[Total AMT]]/2,IF(My_Payment[[#This Row],[Payment_Code]]="N",My_Payment[[#This Row],[Total AMT]],0))</f>
        <v>511.5</v>
      </c>
    </row>
    <row r="1285" spans="1:10">
      <c r="A1285" s="38">
        <v>45839</v>
      </c>
      <c r="B1285" s="37" t="s">
        <v>482</v>
      </c>
      <c r="C1285" s="37" t="s">
        <v>496</v>
      </c>
      <c r="D1285" s="37" t="s">
        <v>483</v>
      </c>
      <c r="E1285" s="37" t="s">
        <v>484</v>
      </c>
      <c r="F1285" s="38">
        <v>45863</v>
      </c>
      <c r="G1285" s="37" t="s">
        <v>212</v>
      </c>
      <c r="H1285" s="40">
        <v>169</v>
      </c>
      <c r="I1285" s="39">
        <v>89</v>
      </c>
    </row>
    <row r="1286" spans="1:10">
      <c r="A1286" s="38">
        <v>45870</v>
      </c>
      <c r="B1286" s="37" t="s">
        <v>482</v>
      </c>
      <c r="C1286" s="37" t="s">
        <v>496</v>
      </c>
      <c r="D1286" s="37" t="s">
        <v>483</v>
      </c>
      <c r="E1286" s="37" t="s">
        <v>485</v>
      </c>
      <c r="F1286" s="38">
        <v>45894</v>
      </c>
      <c r="G1286" s="37" t="s">
        <v>212</v>
      </c>
      <c r="H1286" s="40">
        <v>169</v>
      </c>
      <c r="I1286" s="39">
        <v>89</v>
      </c>
    </row>
    <row r="1287" spans="1:10">
      <c r="A1287" s="38">
        <v>45901</v>
      </c>
      <c r="B1287" s="37" t="s">
        <v>482</v>
      </c>
      <c r="C1287" s="37" t="s">
        <v>496</v>
      </c>
      <c r="D1287" s="37" t="s">
        <v>483</v>
      </c>
      <c r="E1287" s="37" t="s">
        <v>486</v>
      </c>
      <c r="F1287" s="38">
        <v>45925</v>
      </c>
      <c r="G1287" s="37" t="s">
        <v>212</v>
      </c>
      <c r="H1287" s="40">
        <v>169</v>
      </c>
      <c r="I1287" s="39">
        <v>89</v>
      </c>
    </row>
    <row r="1288" spans="1:10">
      <c r="A1288" s="38">
        <v>45931</v>
      </c>
      <c r="B1288" s="37" t="s">
        <v>482</v>
      </c>
      <c r="C1288" s="37" t="s">
        <v>496</v>
      </c>
      <c r="D1288" s="37" t="s">
        <v>483</v>
      </c>
      <c r="E1288" s="37" t="s">
        <v>487</v>
      </c>
      <c r="F1288" s="38">
        <v>45955</v>
      </c>
      <c r="G1288" s="37" t="s">
        <v>212</v>
      </c>
      <c r="H1288" s="40">
        <v>169</v>
      </c>
      <c r="I1288" s="39">
        <v>89</v>
      </c>
      <c r="J1288" s="39">
        <f>80+80+80+80</f>
        <v>320</v>
      </c>
    </row>
    <row r="1289" spans="1:10">
      <c r="A1289" s="38">
        <v>45962</v>
      </c>
      <c r="B1289" s="37" t="s">
        <v>482</v>
      </c>
      <c r="C1289" s="37" t="s">
        <v>496</v>
      </c>
      <c r="D1289" s="37" t="s">
        <v>483</v>
      </c>
      <c r="E1289" s="37" t="s">
        <v>488</v>
      </c>
      <c r="F1289" s="38">
        <v>45986</v>
      </c>
      <c r="G1289" s="37" t="s">
        <v>212</v>
      </c>
      <c r="H1289" s="40">
        <v>169</v>
      </c>
      <c r="I1289" s="39">
        <v>89</v>
      </c>
      <c r="J1289" s="39">
        <v>80</v>
      </c>
    </row>
    <row r="1290" spans="1:10">
      <c r="A1290" s="38">
        <v>45992</v>
      </c>
      <c r="B1290" s="37" t="s">
        <v>482</v>
      </c>
      <c r="C1290" s="37" t="s">
        <v>496</v>
      </c>
      <c r="D1290" s="37" t="s">
        <v>483</v>
      </c>
      <c r="E1290" s="37" t="s">
        <v>489</v>
      </c>
      <c r="F1290" s="38">
        <v>46016</v>
      </c>
      <c r="G1290" s="37" t="s">
        <v>212</v>
      </c>
      <c r="H1290" s="40">
        <v>169</v>
      </c>
      <c r="I1290" s="39">
        <v>89</v>
      </c>
      <c r="J1290" s="39">
        <v>80</v>
      </c>
    </row>
    <row r="1291" spans="1:10">
      <c r="A1291" s="38">
        <v>46023</v>
      </c>
      <c r="B1291" s="37" t="s">
        <v>482</v>
      </c>
      <c r="C1291" s="37" t="s">
        <v>496</v>
      </c>
      <c r="D1291" s="37" t="s">
        <v>483</v>
      </c>
      <c r="E1291" s="37" t="s">
        <v>490</v>
      </c>
      <c r="F1291" s="38">
        <v>46047</v>
      </c>
      <c r="G1291" s="37" t="s">
        <v>212</v>
      </c>
      <c r="H1291" s="40">
        <v>169</v>
      </c>
      <c r="I1291" s="39">
        <v>89</v>
      </c>
      <c r="J1291" s="39">
        <v>80</v>
      </c>
    </row>
    <row r="1292" spans="1:10">
      <c r="A1292" s="38">
        <v>46054</v>
      </c>
      <c r="B1292" s="37" t="s">
        <v>482</v>
      </c>
      <c r="C1292" s="37" t="s">
        <v>496</v>
      </c>
      <c r="D1292" s="37" t="s">
        <v>483</v>
      </c>
      <c r="E1292" s="37" t="s">
        <v>491</v>
      </c>
      <c r="F1292" s="38">
        <v>46078</v>
      </c>
      <c r="G1292" s="37" t="s">
        <v>212</v>
      </c>
      <c r="H1292" s="40">
        <v>169</v>
      </c>
      <c r="I1292" s="39">
        <v>89</v>
      </c>
      <c r="J1292" s="39">
        <v>80</v>
      </c>
    </row>
    <row r="1293" spans="1:10">
      <c r="A1293" s="38">
        <v>46082</v>
      </c>
      <c r="B1293" s="37" t="s">
        <v>482</v>
      </c>
      <c r="C1293" s="37" t="s">
        <v>496</v>
      </c>
      <c r="D1293" s="37" t="s">
        <v>483</v>
      </c>
      <c r="E1293" s="37" t="s">
        <v>492</v>
      </c>
      <c r="F1293" s="38">
        <v>46106</v>
      </c>
      <c r="G1293" s="37" t="s">
        <v>212</v>
      </c>
      <c r="H1293" s="40">
        <v>169</v>
      </c>
      <c r="I1293" s="39">
        <v>89</v>
      </c>
      <c r="J1293" s="39">
        <v>80</v>
      </c>
    </row>
    <row r="1294" spans="1:10">
      <c r="A1294" s="38">
        <v>46113</v>
      </c>
      <c r="B1294" s="37" t="s">
        <v>482</v>
      </c>
      <c r="C1294" s="37" t="s">
        <v>496</v>
      </c>
      <c r="D1294" s="37" t="s">
        <v>483</v>
      </c>
      <c r="E1294" s="37" t="s">
        <v>493</v>
      </c>
      <c r="F1294" s="38">
        <v>46137</v>
      </c>
      <c r="G1294" s="37" t="s">
        <v>212</v>
      </c>
      <c r="H1294" s="40">
        <v>169</v>
      </c>
      <c r="I1294" s="39">
        <v>89</v>
      </c>
      <c r="J1294" s="39">
        <v>80</v>
      </c>
    </row>
    <row r="1295" spans="1:10">
      <c r="A1295" s="38">
        <v>46143</v>
      </c>
      <c r="B1295" s="37" t="s">
        <v>482</v>
      </c>
      <c r="C1295" s="37" t="s">
        <v>496</v>
      </c>
      <c r="D1295" s="37" t="s">
        <v>483</v>
      </c>
      <c r="E1295" s="37" t="s">
        <v>494</v>
      </c>
      <c r="F1295" s="38">
        <v>46167</v>
      </c>
      <c r="G1295" s="37" t="s">
        <v>212</v>
      </c>
      <c r="H1295" s="40">
        <v>169</v>
      </c>
      <c r="I1295" s="39">
        <v>89</v>
      </c>
      <c r="J1295" s="39">
        <v>80</v>
      </c>
    </row>
    <row r="1296" spans="1:10">
      <c r="A1296" s="38">
        <v>46174</v>
      </c>
      <c r="B1296" s="37" t="s">
        <v>482</v>
      </c>
      <c r="C1296" s="37" t="s">
        <v>496</v>
      </c>
      <c r="D1296" s="37" t="s">
        <v>483</v>
      </c>
      <c r="E1296" s="37" t="s">
        <v>495</v>
      </c>
      <c r="F1296" s="38">
        <v>46198</v>
      </c>
      <c r="G1296" s="37" t="s">
        <v>212</v>
      </c>
      <c r="H1296" s="40">
        <v>169</v>
      </c>
      <c r="I1296" s="39">
        <v>89</v>
      </c>
      <c r="J1296" s="39">
        <v>80</v>
      </c>
    </row>
    <row r="1297" spans="1:11">
      <c r="A1297" s="38">
        <v>45977</v>
      </c>
      <c r="B1297" s="37" t="s">
        <v>208</v>
      </c>
      <c r="C1297" s="37" t="s">
        <v>209</v>
      </c>
      <c r="D1297" s="37" t="s">
        <v>217</v>
      </c>
      <c r="E1297" s="37" t="s">
        <v>211</v>
      </c>
      <c r="F1297" s="38">
        <v>46024</v>
      </c>
      <c r="G1297" s="37" t="s">
        <v>212</v>
      </c>
      <c r="H1297" s="39">
        <v>1752.79</v>
      </c>
      <c r="I1297" s="39">
        <v>1074.3900000000001</v>
      </c>
      <c r="J1297" s="39">
        <v>678.4</v>
      </c>
    </row>
    <row r="1298" spans="1:11">
      <c r="A1298" s="38">
        <v>45921</v>
      </c>
      <c r="B1298" s="37" t="s">
        <v>305</v>
      </c>
      <c r="C1298" s="37" t="s">
        <v>226</v>
      </c>
      <c r="D1298" s="37" t="s">
        <v>680</v>
      </c>
      <c r="E1298" s="37" t="s">
        <v>211</v>
      </c>
      <c r="F1298" s="38">
        <v>45968</v>
      </c>
      <c r="G1298" s="37" t="s">
        <v>215</v>
      </c>
      <c r="H1298" s="39">
        <v>237</v>
      </c>
      <c r="I1298" s="39">
        <f>IF(My_Payment[[#This Row],[Payment_Code]]="S",My_Payment[[#This Row],[Total AMT]]/2,IF(My_Payment[[#This Row],[Payment_Code]]="P",My_Payment[[#This Row],[Total AMT]],0))</f>
        <v>237</v>
      </c>
      <c r="J1298" s="39">
        <f>IF(My_Payment[[#This Row],[Payment_Code]]="S",My_Payment[[#This Row],[Total AMT]]/2,IF(My_Payment[[#This Row],[Payment_Code]]="N",My_Payment[[#This Row],[Total AMT]],0))</f>
        <v>0</v>
      </c>
    </row>
    <row r="1299" spans="1:11">
      <c r="A1299" s="38">
        <v>45922</v>
      </c>
      <c r="B1299" s="37" t="s">
        <v>305</v>
      </c>
      <c r="C1299" s="37" t="s">
        <v>226</v>
      </c>
      <c r="D1299" s="37" t="s">
        <v>680</v>
      </c>
      <c r="E1299" s="37" t="s">
        <v>211</v>
      </c>
      <c r="F1299" s="38">
        <v>45968</v>
      </c>
      <c r="G1299" s="37" t="s">
        <v>215</v>
      </c>
      <c r="H1299" s="39">
        <v>142</v>
      </c>
      <c r="I1299" s="39">
        <f>IF(My_Payment[[#This Row],[Payment_Code]]="S",My_Payment[[#This Row],[Total AMT]]/2,IF(My_Payment[[#This Row],[Payment_Code]]="P",My_Payment[[#This Row],[Total AMT]],0))</f>
        <v>142</v>
      </c>
      <c r="J1299" s="39">
        <f>IF(My_Payment[[#This Row],[Payment_Code]]="S",My_Payment[[#This Row],[Total AMT]]/2,IF(My_Payment[[#This Row],[Payment_Code]]="N",My_Payment[[#This Row],[Total AMT]],0))</f>
        <v>0</v>
      </c>
    </row>
    <row r="1300" spans="1:11">
      <c r="A1300" s="38">
        <v>45922</v>
      </c>
      <c r="B1300" s="37" t="s">
        <v>305</v>
      </c>
      <c r="C1300" s="37" t="s">
        <v>226</v>
      </c>
      <c r="D1300" s="37" t="s">
        <v>681</v>
      </c>
      <c r="E1300" s="37" t="s">
        <v>211</v>
      </c>
      <c r="F1300" s="38">
        <v>45968</v>
      </c>
      <c r="G1300" s="37" t="s">
        <v>215</v>
      </c>
      <c r="H1300" s="39">
        <v>17901</v>
      </c>
      <c r="I1300" s="39">
        <f>IF(My_Payment[[#This Row],[Payment_Code]]="S",My_Payment[[#This Row],[Total AMT]]/2,IF(My_Payment[[#This Row],[Payment_Code]]="P",My_Payment[[#This Row],[Total AMT]],0))</f>
        <v>17901</v>
      </c>
      <c r="J1300" s="39">
        <f>IF(My_Payment[[#This Row],[Payment_Code]]="S",My_Payment[[#This Row],[Total AMT]]/2,IF(My_Payment[[#This Row],[Payment_Code]]="N",My_Payment[[#This Row],[Total AMT]],0))</f>
        <v>0</v>
      </c>
    </row>
    <row r="1301" spans="1:11">
      <c r="A1301" s="38">
        <v>45925</v>
      </c>
      <c r="B1301" s="37" t="s">
        <v>305</v>
      </c>
      <c r="C1301" s="37" t="s">
        <v>226</v>
      </c>
      <c r="D1301" s="37" t="s">
        <v>682</v>
      </c>
      <c r="E1301" s="37" t="s">
        <v>211</v>
      </c>
      <c r="F1301" s="38">
        <v>45968</v>
      </c>
      <c r="G1301" s="37" t="s">
        <v>215</v>
      </c>
      <c r="H1301" s="39">
        <v>380</v>
      </c>
      <c r="I1301" s="39">
        <f>IF(My_Payment[[#This Row],[Payment_Code]]="S",My_Payment[[#This Row],[Total AMT]]/2,IF(My_Payment[[#This Row],[Payment_Code]]="P",My_Payment[[#This Row],[Total AMT]],0))</f>
        <v>380</v>
      </c>
      <c r="J1301" s="39">
        <f>IF(My_Payment[[#This Row],[Payment_Code]]="S",My_Payment[[#This Row],[Total AMT]]/2,IF(My_Payment[[#This Row],[Payment_Code]]="N",My_Payment[[#This Row],[Total AMT]],0))</f>
        <v>0</v>
      </c>
    </row>
    <row r="1302" spans="1:11">
      <c r="A1302" s="38">
        <v>45926</v>
      </c>
      <c r="B1302" s="37" t="s">
        <v>305</v>
      </c>
      <c r="C1302" s="37" t="s">
        <v>226</v>
      </c>
      <c r="D1302" s="37" t="s">
        <v>505</v>
      </c>
      <c r="E1302" s="37" t="s">
        <v>211</v>
      </c>
      <c r="F1302" s="38">
        <v>45968</v>
      </c>
      <c r="G1302" s="37" t="s">
        <v>215</v>
      </c>
      <c r="H1302" s="39">
        <v>45</v>
      </c>
      <c r="I1302" s="39">
        <f>IF(My_Payment[[#This Row],[Payment_Code]]="S",My_Payment[[#This Row],[Total AMT]]/2,IF(My_Payment[[#This Row],[Payment_Code]]="P",My_Payment[[#This Row],[Total AMT]],0))</f>
        <v>45</v>
      </c>
      <c r="J1302" s="39">
        <f>IF(My_Payment[[#This Row],[Payment_Code]]="S",My_Payment[[#This Row],[Total AMT]]/2,IF(My_Payment[[#This Row],[Payment_Code]]="N",My_Payment[[#This Row],[Total AMT]],0))</f>
        <v>0</v>
      </c>
    </row>
    <row r="1303" spans="1:11">
      <c r="A1303" s="38">
        <v>45931</v>
      </c>
      <c r="B1303" s="37" t="s">
        <v>305</v>
      </c>
      <c r="C1303" s="37" t="s">
        <v>226</v>
      </c>
      <c r="D1303" s="37" t="s">
        <v>680</v>
      </c>
      <c r="E1303" s="37" t="s">
        <v>211</v>
      </c>
      <c r="F1303" s="38">
        <v>45968</v>
      </c>
      <c r="G1303" s="37" t="s">
        <v>215</v>
      </c>
      <c r="H1303" s="39">
        <v>693</v>
      </c>
      <c r="I1303" s="39">
        <f>IF(My_Payment[[#This Row],[Payment_Code]]="S",My_Payment[[#This Row],[Total AMT]]/2,IF(My_Payment[[#This Row],[Payment_Code]]="P",My_Payment[[#This Row],[Total AMT]],0))</f>
        <v>693</v>
      </c>
      <c r="J1303" s="39">
        <f>IF(My_Payment[[#This Row],[Payment_Code]]="S",My_Payment[[#This Row],[Total AMT]]/2,IF(My_Payment[[#This Row],[Payment_Code]]="N",My_Payment[[#This Row],[Total AMT]],0))</f>
        <v>0</v>
      </c>
    </row>
    <row r="1304" spans="1:11">
      <c r="A1304" s="38">
        <v>45935</v>
      </c>
      <c r="B1304" s="37" t="s">
        <v>305</v>
      </c>
      <c r="C1304" s="37" t="s">
        <v>226</v>
      </c>
      <c r="D1304" s="37" t="s">
        <v>675</v>
      </c>
      <c r="E1304" s="37" t="s">
        <v>211</v>
      </c>
      <c r="F1304" s="38">
        <v>45968</v>
      </c>
      <c r="G1304" s="37" t="s">
        <v>215</v>
      </c>
      <c r="H1304" s="39">
        <v>35</v>
      </c>
      <c r="I1304" s="39">
        <f>IF(My_Payment[[#This Row],[Payment_Code]]="S",My_Payment[[#This Row],[Total AMT]]/2,IF(My_Payment[[#This Row],[Payment_Code]]="P",My_Payment[[#This Row],[Total AMT]],0))</f>
        <v>35</v>
      </c>
      <c r="J1304" s="39">
        <f>IF(My_Payment[[#This Row],[Payment_Code]]="S",My_Payment[[#This Row],[Total AMT]]/2,IF(My_Payment[[#This Row],[Payment_Code]]="N",My_Payment[[#This Row],[Total AMT]],0))</f>
        <v>0</v>
      </c>
    </row>
    <row r="1305" spans="1:11">
      <c r="A1305" s="38">
        <v>45941</v>
      </c>
      <c r="B1305" s="37" t="s">
        <v>305</v>
      </c>
      <c r="C1305" s="37" t="s">
        <v>226</v>
      </c>
      <c r="D1305" s="37" t="s">
        <v>683</v>
      </c>
      <c r="E1305" s="37" t="s">
        <v>211</v>
      </c>
      <c r="F1305" s="38">
        <v>45968</v>
      </c>
      <c r="G1305" s="37" t="s">
        <v>212</v>
      </c>
      <c r="H1305" s="39">
        <v>2537.5100000000002</v>
      </c>
      <c r="I1305" s="39">
        <f>IF(My_Payment[[#This Row],[Payment_Code]]="S",My_Payment[[#This Row],[Total AMT]]/2,IF(My_Payment[[#This Row],[Payment_Code]]="P",My_Payment[[#This Row],[Total AMT]],0))</f>
        <v>1268.7550000000001</v>
      </c>
      <c r="J1305" s="39">
        <f>IF(My_Payment[[#This Row],[Payment_Code]]="S",My_Payment[[#This Row],[Total AMT]]/2,IF(My_Payment[[#This Row],[Payment_Code]]="N",My_Payment[[#This Row],[Total AMT]],0))</f>
        <v>1268.7550000000001</v>
      </c>
    </row>
    <row r="1306" spans="1:11">
      <c r="A1306" s="38">
        <v>45953</v>
      </c>
      <c r="B1306" s="37" t="s">
        <v>305</v>
      </c>
      <c r="C1306" s="37" t="s">
        <v>226</v>
      </c>
      <c r="D1306" s="37" t="s">
        <v>684</v>
      </c>
      <c r="E1306" s="37" t="s">
        <v>211</v>
      </c>
      <c r="F1306" s="38">
        <v>45998</v>
      </c>
      <c r="G1306" s="37" t="s">
        <v>212</v>
      </c>
      <c r="H1306" s="39">
        <v>800</v>
      </c>
      <c r="I1306" s="39">
        <f>IF(My_Payment[[#This Row],[Payment_Code]]="S",My_Payment[[#This Row],[Total AMT]]/2,IF(My_Payment[[#This Row],[Payment_Code]]="P",My_Payment[[#This Row],[Total AMT]],0))</f>
        <v>400</v>
      </c>
      <c r="J1306" s="39">
        <f>IF(My_Payment[[#This Row],[Payment_Code]]="S",My_Payment[[#This Row],[Total AMT]]/2,IF(My_Payment[[#This Row],[Payment_Code]]="N",My_Payment[[#This Row],[Total AMT]],0))</f>
        <v>400</v>
      </c>
    </row>
    <row r="1307" spans="1:11">
      <c r="A1307" s="38">
        <v>45953</v>
      </c>
      <c r="B1307" s="37" t="s">
        <v>305</v>
      </c>
      <c r="C1307" s="37" t="s">
        <v>226</v>
      </c>
      <c r="D1307" s="37" t="s">
        <v>656</v>
      </c>
      <c r="E1307" s="37" t="s">
        <v>211</v>
      </c>
      <c r="F1307" s="38">
        <v>45998</v>
      </c>
      <c r="G1307" s="37" t="s">
        <v>215</v>
      </c>
      <c r="H1307" s="39">
        <v>244</v>
      </c>
      <c r="I1307" s="39">
        <f>IF(My_Payment[[#This Row],[Payment_Code]]="S",My_Payment[[#This Row],[Total AMT]]/2,IF(My_Payment[[#This Row],[Payment_Code]]="P",My_Payment[[#This Row],[Total AMT]],0))</f>
        <v>244</v>
      </c>
      <c r="J1307" s="39">
        <f>IF(My_Payment[[#This Row],[Payment_Code]]="S",My_Payment[[#This Row],[Total AMT]]/2,IF(My_Payment[[#This Row],[Payment_Code]]="N",My_Payment[[#This Row],[Total AMT]],0))</f>
        <v>0</v>
      </c>
    </row>
    <row r="1308" spans="1:11">
      <c r="A1308" s="38">
        <v>45955</v>
      </c>
      <c r="B1308" s="37" t="s">
        <v>305</v>
      </c>
      <c r="C1308" s="37" t="s">
        <v>226</v>
      </c>
      <c r="D1308" s="37" t="s">
        <v>685</v>
      </c>
      <c r="E1308" s="37" t="s">
        <v>211</v>
      </c>
      <c r="F1308" s="38">
        <v>45998</v>
      </c>
      <c r="G1308" s="37" t="s">
        <v>215</v>
      </c>
      <c r="H1308" s="39">
        <v>43</v>
      </c>
      <c r="I1308" s="39">
        <f>IF(My_Payment[[#This Row],[Payment_Code]]="S",My_Payment[[#This Row],[Total AMT]]/2,IF(My_Payment[[#This Row],[Payment_Code]]="P",My_Payment[[#This Row],[Total AMT]],0))</f>
        <v>43</v>
      </c>
      <c r="J1308" s="39">
        <f>IF(My_Payment[[#This Row],[Payment_Code]]="S",My_Payment[[#This Row],[Total AMT]]/2,IF(My_Payment[[#This Row],[Payment_Code]]="N",My_Payment[[#This Row],[Total AMT]],0))</f>
        <v>0</v>
      </c>
    </row>
    <row r="1309" spans="1:11">
      <c r="A1309" s="38">
        <v>45955</v>
      </c>
      <c r="B1309" s="37" t="s">
        <v>305</v>
      </c>
      <c r="C1309" s="37" t="s">
        <v>226</v>
      </c>
      <c r="D1309" s="37" t="s">
        <v>686</v>
      </c>
      <c r="E1309" s="37" t="s">
        <v>211</v>
      </c>
      <c r="F1309" s="38">
        <v>45998</v>
      </c>
      <c r="G1309" s="37" t="s">
        <v>212</v>
      </c>
      <c r="H1309" s="39">
        <v>966.79</v>
      </c>
      <c r="I1309" s="39">
        <f>IF(My_Payment[[#This Row],[Payment_Code]]="S",My_Payment[[#This Row],[Total AMT]]/2,IF(My_Payment[[#This Row],[Payment_Code]]="P",My_Payment[[#This Row],[Total AMT]],0))</f>
        <v>483.39499999999998</v>
      </c>
      <c r="J1309" s="39">
        <f>IF(My_Payment[[#This Row],[Payment_Code]]="S",My_Payment[[#This Row],[Total AMT]]/2,IF(My_Payment[[#This Row],[Payment_Code]]="N",My_Payment[[#This Row],[Total AMT]],0))</f>
        <v>483.39499999999998</v>
      </c>
    </row>
    <row r="1310" spans="1:11">
      <c r="A1310" s="38">
        <v>45969</v>
      </c>
      <c r="B1310" s="37" t="s">
        <v>305</v>
      </c>
      <c r="C1310" s="37" t="s">
        <v>226</v>
      </c>
      <c r="D1310" s="37" t="s">
        <v>478</v>
      </c>
      <c r="E1310" s="37" t="s">
        <v>211</v>
      </c>
      <c r="F1310" s="38">
        <v>45998</v>
      </c>
      <c r="G1310" s="37" t="s">
        <v>215</v>
      </c>
      <c r="H1310" s="39">
        <v>558.54</v>
      </c>
      <c r="I1310" s="39">
        <f>IF(My_Payment[[#This Row],[Payment_Code]]="S",My_Payment[[#This Row],[Total AMT]]/2,IF(My_Payment[[#This Row],[Payment_Code]]="P",My_Payment[[#This Row],[Total AMT]],0))</f>
        <v>558.54</v>
      </c>
      <c r="J1310" s="39">
        <f>IF(My_Payment[[#This Row],[Payment_Code]]="S",My_Payment[[#This Row],[Total AMT]]/2,IF(My_Payment[[#This Row],[Payment_Code]]="N",My_Payment[[#This Row],[Total AMT]],0))</f>
        <v>0</v>
      </c>
      <c r="K1310" s="39"/>
    </row>
    <row r="1311" spans="1:11">
      <c r="A1311" s="38">
        <v>45975</v>
      </c>
      <c r="B1311" s="37" t="s">
        <v>305</v>
      </c>
      <c r="C1311" s="37" t="s">
        <v>226</v>
      </c>
      <c r="D1311" s="37" t="s">
        <v>680</v>
      </c>
      <c r="E1311" s="37" t="s">
        <v>211</v>
      </c>
      <c r="F1311" s="38">
        <v>45998</v>
      </c>
      <c r="G1311" s="37" t="s">
        <v>215</v>
      </c>
      <c r="H1311" s="39">
        <v>693</v>
      </c>
      <c r="I1311" s="39">
        <f>IF(My_Payment[[#This Row],[Payment_Code]]="S",My_Payment[[#This Row],[Total AMT]]/2,IF(My_Payment[[#This Row],[Payment_Code]]="P",My_Payment[[#This Row],[Total AMT]],0))</f>
        <v>693</v>
      </c>
      <c r="J1311" s="39">
        <f>IF(My_Payment[[#This Row],[Payment_Code]]="S",My_Payment[[#This Row],[Total AMT]]/2,IF(My_Payment[[#This Row],[Payment_Code]]="N",My_Payment[[#This Row],[Total AMT]],0))</f>
        <v>0</v>
      </c>
    </row>
    <row r="1312" spans="1:11">
      <c r="A1312" s="38">
        <v>45976</v>
      </c>
      <c r="B1312" s="37" t="s">
        <v>305</v>
      </c>
      <c r="C1312" s="37" t="s">
        <v>226</v>
      </c>
      <c r="D1312" s="37" t="s">
        <v>680</v>
      </c>
      <c r="E1312" s="37" t="s">
        <v>211</v>
      </c>
      <c r="F1312" s="38">
        <v>45998</v>
      </c>
      <c r="G1312" s="37" t="s">
        <v>215</v>
      </c>
      <c r="H1312" s="39">
        <v>693</v>
      </c>
      <c r="I1312" s="39">
        <f>IF(My_Payment[[#This Row],[Payment_Code]]="S",My_Payment[[#This Row],[Total AMT]]/2,IF(My_Payment[[#This Row],[Payment_Code]]="P",My_Payment[[#This Row],[Total AMT]],0))</f>
        <v>693</v>
      </c>
      <c r="J1312" s="39">
        <f>IF(My_Payment[[#This Row],[Payment_Code]]="S",My_Payment[[#This Row],[Total AMT]]/2,IF(My_Payment[[#This Row],[Payment_Code]]="N",My_Payment[[#This Row],[Total AMT]],0))</f>
        <v>0</v>
      </c>
    </row>
    <row r="1313" spans="1:11">
      <c r="A1313" s="38">
        <v>46011</v>
      </c>
      <c r="B1313" s="37" t="s">
        <v>348</v>
      </c>
      <c r="C1313" s="37" t="s">
        <v>209</v>
      </c>
      <c r="D1313" s="37" t="s">
        <v>48</v>
      </c>
      <c r="E1313" s="37" t="s">
        <v>211</v>
      </c>
      <c r="F1313" s="38">
        <v>46054</v>
      </c>
      <c r="G1313" s="37" t="s">
        <v>215</v>
      </c>
      <c r="H1313" s="40">
        <f>(699+100-100)*1.07</f>
        <v>747.93000000000006</v>
      </c>
      <c r="I1313" s="39">
        <f>IF(My_Payment[[#This Row],[Payment_Code]]="S",My_Payment[[#This Row],[Total AMT]]/2,IF(My_Payment[[#This Row],[Payment_Code]]="P",My_Payment[[#This Row],[Total AMT]],0))</f>
        <v>747.93000000000006</v>
      </c>
      <c r="J1313" s="39">
        <f>IF(My_Payment[[#This Row],[Payment_Code]]="S",My_Payment[[#This Row],[Total AMT]]/2,IF(My_Payment[[#This Row],[Payment_Code]]="N",My_Payment[[#This Row],[Total AMT]],0))</f>
        <v>0</v>
      </c>
    </row>
    <row r="1314" spans="1:11">
      <c r="A1314" s="38">
        <v>46011</v>
      </c>
      <c r="B1314" s="37" t="s">
        <v>348</v>
      </c>
      <c r="C1314" s="37" t="s">
        <v>209</v>
      </c>
      <c r="D1314" s="37" t="s">
        <v>49</v>
      </c>
      <c r="E1314" s="37" t="s">
        <v>211</v>
      </c>
      <c r="F1314" s="38">
        <v>46054</v>
      </c>
      <c r="G1314" s="37" t="s">
        <v>215</v>
      </c>
      <c r="H1314" s="40">
        <f>(1070-171-199)*1.07</f>
        <v>749</v>
      </c>
      <c r="I1314" s="39">
        <f>IF(My_Payment[[#This Row],[Payment_Code]]="S",My_Payment[[#This Row],[Total AMT]]/2,IF(My_Payment[[#This Row],[Payment_Code]]="P",My_Payment[[#This Row],[Total AMT]],0))</f>
        <v>749</v>
      </c>
      <c r="J1314" s="39">
        <f>IF(My_Payment[[#This Row],[Payment_Code]]="S",My_Payment[[#This Row],[Total AMT]]/2,IF(My_Payment[[#This Row],[Payment_Code]]="N",My_Payment[[#This Row],[Total AMT]],0))</f>
        <v>0</v>
      </c>
    </row>
    <row r="1315" spans="1:11">
      <c r="A1315" s="38">
        <v>46009</v>
      </c>
      <c r="B1315" s="37" t="s">
        <v>348</v>
      </c>
      <c r="C1315" s="37" t="s">
        <v>209</v>
      </c>
      <c r="D1315" s="37" t="s">
        <v>81</v>
      </c>
      <c r="E1315" s="37" t="s">
        <v>211</v>
      </c>
      <c r="F1315" s="38">
        <v>46054</v>
      </c>
      <c r="G1315" s="37" t="s">
        <v>215</v>
      </c>
      <c r="H1315" s="40">
        <f>699*1.07</f>
        <v>747.93000000000006</v>
      </c>
      <c r="I1315" s="39">
        <f>IF(My_Payment[[#This Row],[Payment_Code]]="S",My_Payment[[#This Row],[Total AMT]]/2,IF(My_Payment[[#This Row],[Payment_Code]]="P",My_Payment[[#This Row],[Total AMT]],0))</f>
        <v>747.93000000000006</v>
      </c>
      <c r="J1315" s="39">
        <f>IF(My_Payment[[#This Row],[Payment_Code]]="S",My_Payment[[#This Row],[Total AMT]]/2,IF(My_Payment[[#This Row],[Payment_Code]]="N",My_Payment[[#This Row],[Total AMT]],0))</f>
        <v>0</v>
      </c>
    </row>
    <row r="1316" spans="1:11">
      <c r="A1316" s="38">
        <v>46039</v>
      </c>
      <c r="B1316" s="37" t="s">
        <v>348</v>
      </c>
      <c r="C1316" s="37" t="s">
        <v>209</v>
      </c>
      <c r="D1316" s="37" t="s">
        <v>20</v>
      </c>
      <c r="E1316" s="37" t="s">
        <v>211</v>
      </c>
      <c r="F1316" s="38">
        <v>46054</v>
      </c>
      <c r="G1316" s="37" t="s">
        <v>215</v>
      </c>
      <c r="H1316" s="40">
        <f>SUM(H1313:H1315)*-0.25%</f>
        <v>-5.6121500000000006</v>
      </c>
      <c r="I1316" s="39">
        <f>IF(My_Payment[[#This Row],[Payment_Code]]="S",My_Payment[[#This Row],[Total AMT]]/2,IF(My_Payment[[#This Row],[Payment_Code]]="P",My_Payment[[#This Row],[Total AMT]],0))</f>
        <v>-5.6121500000000006</v>
      </c>
      <c r="J1316" s="39">
        <f>IF(My_Payment[[#This Row],[Payment_Code]]="S",My_Payment[[#This Row],[Total AMT]]/2,IF(My_Payment[[#This Row],[Payment_Code]]="N",My_Payment[[#This Row],[Total AMT]],0))</f>
        <v>0</v>
      </c>
    </row>
    <row r="1317" spans="1:11">
      <c r="A1317" s="38">
        <v>45956</v>
      </c>
      <c r="B1317" s="37" t="s">
        <v>357</v>
      </c>
      <c r="C1317" s="37" t="s">
        <v>248</v>
      </c>
      <c r="D1317" s="37" t="s">
        <v>440</v>
      </c>
      <c r="E1317" s="37" t="s">
        <v>324</v>
      </c>
      <c r="F1317" s="38">
        <v>45996</v>
      </c>
      <c r="G1317" s="37" t="s">
        <v>215</v>
      </c>
      <c r="H1317" s="39">
        <v>523.66999999999996</v>
      </c>
      <c r="I1317" s="39">
        <f>IF(My_Payment[[#This Row],[Payment_Code]]="S",My_Payment[[#This Row],[Total AMT]]/2,IF(My_Payment[[#This Row],[Payment_Code]]="P",My_Payment[[#This Row],[Total AMT]],0))</f>
        <v>523.66999999999996</v>
      </c>
      <c r="J1317" s="39">
        <f>IF(My_Payment[[#This Row],[Payment_Code]]="S",My_Payment[[#This Row],[Total AMT]]/2,IF(My_Payment[[#This Row],[Payment_Code]]="N",My_Payment[[#This Row],[Total AMT]],0))</f>
        <v>0</v>
      </c>
      <c r="K1317" s="39"/>
    </row>
    <row r="1318" spans="1:11">
      <c r="A1318" s="38">
        <v>45987</v>
      </c>
      <c r="B1318" s="37" t="s">
        <v>357</v>
      </c>
      <c r="C1318" s="37" t="s">
        <v>248</v>
      </c>
      <c r="D1318" s="37" t="s">
        <v>440</v>
      </c>
      <c r="E1318" s="37" t="s">
        <v>327</v>
      </c>
      <c r="F1318" s="38">
        <v>46027</v>
      </c>
      <c r="G1318" s="37" t="s">
        <v>215</v>
      </c>
      <c r="H1318" s="39">
        <v>523.66999999999996</v>
      </c>
      <c r="I1318" s="39">
        <f>IF(My_Payment[[#This Row],[Payment_Code]]="S",My_Payment[[#This Row],[Total AMT]]/2,IF(My_Payment[[#This Row],[Payment_Code]]="P",My_Payment[[#This Row],[Total AMT]],0))</f>
        <v>523.66999999999996</v>
      </c>
      <c r="J1318" s="39">
        <f>IF(My_Payment[[#This Row],[Payment_Code]]="S",My_Payment[[#This Row],[Total AMT]]/2,IF(My_Payment[[#This Row],[Payment_Code]]="N",My_Payment[[#This Row],[Total AMT]],0))</f>
        <v>0</v>
      </c>
    </row>
    <row r="1319" spans="1:11">
      <c r="A1319" s="38">
        <v>46017</v>
      </c>
      <c r="B1319" s="37" t="s">
        <v>357</v>
      </c>
      <c r="C1319" s="37" t="s">
        <v>248</v>
      </c>
      <c r="D1319" s="37" t="s">
        <v>440</v>
      </c>
      <c r="E1319" s="37" t="s">
        <v>80</v>
      </c>
      <c r="F1319" s="38">
        <v>46058</v>
      </c>
      <c r="G1319" s="37" t="s">
        <v>215</v>
      </c>
      <c r="H1319" s="39">
        <v>523.66</v>
      </c>
      <c r="I1319" s="39">
        <f>IF(My_Payment[[#This Row],[Payment_Code]]="S",My_Payment[[#This Row],[Total AMT]]/2,IF(My_Payment[[#This Row],[Payment_Code]]="P",My_Payment[[#This Row],[Total AMT]],0))</f>
        <v>523.66</v>
      </c>
      <c r="J1319" s="39">
        <f>IF(My_Payment[[#This Row],[Payment_Code]]="S",My_Payment[[#This Row],[Total AMT]]/2,IF(My_Payment[[#This Row],[Payment_Code]]="N",My_Payment[[#This Row],[Total AMT]],0))</f>
        <v>0</v>
      </c>
    </row>
    <row r="1320" spans="1:11">
      <c r="A1320" s="38">
        <v>45959</v>
      </c>
      <c r="B1320" s="37" t="s">
        <v>357</v>
      </c>
      <c r="C1320" s="37" t="s">
        <v>248</v>
      </c>
      <c r="D1320" s="37" t="s">
        <v>687</v>
      </c>
      <c r="E1320" s="37" t="s">
        <v>211</v>
      </c>
      <c r="F1320" s="38">
        <v>45996</v>
      </c>
      <c r="G1320" s="37" t="s">
        <v>215</v>
      </c>
      <c r="H1320" s="39">
        <v>251</v>
      </c>
      <c r="I1320" s="39">
        <f>IF(My_Payment[[#This Row],[Payment_Code]]="S",My_Payment[[#This Row],[Total AMT]]/2,IF(My_Payment[[#This Row],[Payment_Code]]="P",My_Payment[[#This Row],[Total AMT]],0))</f>
        <v>251</v>
      </c>
      <c r="J1320" s="39">
        <f>IF(My_Payment[[#This Row],[Payment_Code]]="S",My_Payment[[#This Row],[Total AMT]]/2,IF(My_Payment[[#This Row],[Payment_Code]]="N",My_Payment[[#This Row],[Total AMT]],0))</f>
        <v>0</v>
      </c>
    </row>
    <row r="1321" spans="1:11">
      <c r="A1321" s="38">
        <v>45978</v>
      </c>
      <c r="B1321" s="37" t="s">
        <v>305</v>
      </c>
      <c r="C1321" s="37" t="s">
        <v>226</v>
      </c>
      <c r="D1321" s="37" t="s">
        <v>680</v>
      </c>
      <c r="E1321" s="37" t="s">
        <v>211</v>
      </c>
      <c r="F1321" s="38">
        <v>45998</v>
      </c>
      <c r="G1321" s="37" t="s">
        <v>215</v>
      </c>
      <c r="H1321" s="39">
        <v>1710</v>
      </c>
      <c r="I1321" s="39">
        <f>IF(My_Payment[[#This Row],[Payment_Code]]="S",My_Payment[[#This Row],[Total AMT]]/2,IF(My_Payment[[#This Row],[Payment_Code]]="P",My_Payment[[#This Row],[Total AMT]],0))</f>
        <v>1710</v>
      </c>
      <c r="J1321" s="39">
        <f>IF(My_Payment[[#This Row],[Payment_Code]]="S",My_Payment[[#This Row],[Total AMT]]/2,IF(My_Payment[[#This Row],[Payment_Code]]="N",My_Payment[[#This Row],[Total AMT]],0))</f>
        <v>0</v>
      </c>
    </row>
    <row r="1322" spans="1:11">
      <c r="A1322" s="38">
        <v>45980</v>
      </c>
      <c r="B1322" s="37" t="s">
        <v>305</v>
      </c>
      <c r="C1322" s="37" t="s">
        <v>226</v>
      </c>
      <c r="D1322" s="37" t="s">
        <v>680</v>
      </c>
      <c r="E1322" s="37" t="s">
        <v>211</v>
      </c>
      <c r="F1322" s="38">
        <v>46029</v>
      </c>
      <c r="G1322" s="37" t="s">
        <v>215</v>
      </c>
      <c r="H1322" s="39">
        <v>1045</v>
      </c>
      <c r="I1322" s="39">
        <f>IF(My_Payment[[#This Row],[Payment_Code]]="S",My_Payment[[#This Row],[Total AMT]]/2,IF(My_Payment[[#This Row],[Payment_Code]]="P",My_Payment[[#This Row],[Total AMT]],0))</f>
        <v>1045</v>
      </c>
      <c r="J1322" s="39">
        <f>IF(My_Payment[[#This Row],[Payment_Code]]="S",My_Payment[[#This Row],[Total AMT]]/2,IF(My_Payment[[#This Row],[Payment_Code]]="N",My_Payment[[#This Row],[Total AMT]],0))</f>
        <v>0</v>
      </c>
    </row>
    <row r="1323" spans="1:11">
      <c r="A1323" s="38">
        <v>45991</v>
      </c>
      <c r="B1323" s="37" t="s">
        <v>305</v>
      </c>
      <c r="C1323" s="37" t="s">
        <v>226</v>
      </c>
      <c r="D1323" s="37" t="s">
        <v>680</v>
      </c>
      <c r="E1323" s="37" t="s">
        <v>211</v>
      </c>
      <c r="F1323" s="38">
        <v>46029</v>
      </c>
      <c r="G1323" s="37" t="s">
        <v>215</v>
      </c>
      <c r="H1323" s="39">
        <v>66</v>
      </c>
      <c r="I1323" s="39">
        <f>IF(My_Payment[[#This Row],[Payment_Code]]="S",My_Payment[[#This Row],[Total AMT]]/2,IF(My_Payment[[#This Row],[Payment_Code]]="P",My_Payment[[#This Row],[Total AMT]],0))</f>
        <v>66</v>
      </c>
      <c r="J1323" s="39">
        <f>IF(My_Payment[[#This Row],[Payment_Code]]="S",My_Payment[[#This Row],[Total AMT]]/2,IF(My_Payment[[#This Row],[Payment_Code]]="N",My_Payment[[#This Row],[Total AMT]],0))</f>
        <v>0</v>
      </c>
    </row>
    <row r="1324" spans="1:11">
      <c r="A1324" s="38">
        <v>45991</v>
      </c>
      <c r="B1324" s="37" t="s">
        <v>305</v>
      </c>
      <c r="C1324" s="37" t="s">
        <v>226</v>
      </c>
      <c r="D1324" s="37" t="s">
        <v>680</v>
      </c>
      <c r="E1324" s="37" t="s">
        <v>211</v>
      </c>
      <c r="F1324" s="38">
        <v>46029</v>
      </c>
      <c r="G1324" s="37" t="s">
        <v>215</v>
      </c>
      <c r="H1324" s="39">
        <v>693</v>
      </c>
      <c r="I1324" s="39">
        <f>IF(My_Payment[[#This Row],[Payment_Code]]="S",My_Payment[[#This Row],[Total AMT]]/2,IF(My_Payment[[#This Row],[Payment_Code]]="P",My_Payment[[#This Row],[Total AMT]],0))</f>
        <v>693</v>
      </c>
      <c r="J1324" s="39">
        <f>IF(My_Payment[[#This Row],[Payment_Code]]="S",My_Payment[[#This Row],[Total AMT]]/2,IF(My_Payment[[#This Row],[Payment_Code]]="N",My_Payment[[#This Row],[Total AMT]],0))</f>
        <v>0</v>
      </c>
    </row>
    <row r="1325" spans="1:11">
      <c r="A1325" s="38">
        <v>45994</v>
      </c>
      <c r="B1325" s="37" t="s">
        <v>305</v>
      </c>
      <c r="C1325" s="37" t="s">
        <v>226</v>
      </c>
      <c r="D1325" s="37" t="s">
        <v>680</v>
      </c>
      <c r="E1325" s="37" t="s">
        <v>211</v>
      </c>
      <c r="F1325" s="38">
        <v>46029</v>
      </c>
      <c r="G1325" s="37" t="s">
        <v>215</v>
      </c>
      <c r="H1325" s="39">
        <v>1045</v>
      </c>
      <c r="I1325" s="39">
        <f>IF(My_Payment[[#This Row],[Payment_Code]]="S",My_Payment[[#This Row],[Total AMT]]/2,IF(My_Payment[[#This Row],[Payment_Code]]="P",My_Payment[[#This Row],[Total AMT]],0))</f>
        <v>1045</v>
      </c>
      <c r="J1325" s="39">
        <f>IF(My_Payment[[#This Row],[Payment_Code]]="S",My_Payment[[#This Row],[Total AMT]]/2,IF(My_Payment[[#This Row],[Payment_Code]]="N",My_Payment[[#This Row],[Total AMT]],0))</f>
        <v>0</v>
      </c>
    </row>
    <row r="1326" spans="1:11">
      <c r="A1326" s="38">
        <v>46040</v>
      </c>
      <c r="B1326" s="37" t="s">
        <v>305</v>
      </c>
      <c r="C1326" s="37" t="s">
        <v>226</v>
      </c>
      <c r="D1326" s="37" t="s">
        <v>688</v>
      </c>
      <c r="E1326" s="37" t="s">
        <v>324</v>
      </c>
      <c r="F1326" s="38">
        <v>46060</v>
      </c>
      <c r="G1326" s="37" t="s">
        <v>215</v>
      </c>
      <c r="H1326" s="39">
        <v>1247.76</v>
      </c>
      <c r="I1326" s="39">
        <f>IF(My_Payment[[#This Row],[Payment_Code]]="S",My_Payment[[#This Row],[Total AMT]]/2,IF(My_Payment[[#This Row],[Payment_Code]]="P",My_Payment[[#This Row],[Total AMT]],0))</f>
        <v>1247.76</v>
      </c>
      <c r="J1326" s="39">
        <f>IF(My_Payment[[#This Row],[Payment_Code]]="S",My_Payment[[#This Row],[Total AMT]]/2,IF(My_Payment[[#This Row],[Payment_Code]]="N",My_Payment[[#This Row],[Total AMT]],0))</f>
        <v>0</v>
      </c>
    </row>
    <row r="1327" spans="1:11">
      <c r="A1327" s="38">
        <v>46006</v>
      </c>
      <c r="B1327" s="37" t="s">
        <v>373</v>
      </c>
      <c r="C1327" s="37" t="s">
        <v>209</v>
      </c>
      <c r="D1327" s="37" t="s">
        <v>689</v>
      </c>
      <c r="E1327" s="37" t="s">
        <v>306</v>
      </c>
      <c r="F1327" s="38">
        <v>46023</v>
      </c>
      <c r="G1327" s="37" t="s">
        <v>215</v>
      </c>
      <c r="H1327" s="39">
        <v>378.1</v>
      </c>
      <c r="I1327" s="39">
        <f>IF(My_Payment[[#This Row],[Payment_Code]]="S",My_Payment[[#This Row],[Total AMT]]/2,IF(My_Payment[[#This Row],[Payment_Code]]="P",My_Payment[[#This Row],[Total AMT]],0))</f>
        <v>378.1</v>
      </c>
      <c r="J1327" s="39">
        <f>IF(My_Payment[[#This Row],[Payment_Code]]="S",My_Payment[[#This Row],[Total AMT]]/2,IF(My_Payment[[#This Row],[Payment_Code]]="N",My_Payment[[#This Row],[Total AMT]],0))</f>
        <v>0</v>
      </c>
    </row>
    <row r="1328" spans="1:11">
      <c r="A1328" s="38">
        <v>46037</v>
      </c>
      <c r="B1328" s="37" t="s">
        <v>373</v>
      </c>
      <c r="C1328" s="37" t="s">
        <v>209</v>
      </c>
      <c r="D1328" s="37" t="s">
        <v>689</v>
      </c>
      <c r="E1328" s="37" t="s">
        <v>307</v>
      </c>
      <c r="F1328" s="38">
        <v>46054</v>
      </c>
      <c r="G1328" s="37" t="s">
        <v>215</v>
      </c>
      <c r="H1328" s="39">
        <v>378.1</v>
      </c>
      <c r="I1328" s="39">
        <f>IF(My_Payment[[#This Row],[Payment_Code]]="S",My_Payment[[#This Row],[Total AMT]]/2,IF(My_Payment[[#This Row],[Payment_Code]]="P",My_Payment[[#This Row],[Total AMT]],0))</f>
        <v>378.1</v>
      </c>
      <c r="J1328" s="39">
        <f>IF(My_Payment[[#This Row],[Payment_Code]]="S",My_Payment[[#This Row],[Total AMT]]/2,IF(My_Payment[[#This Row],[Payment_Code]]="N",My_Payment[[#This Row],[Total AMT]],0))</f>
        <v>0</v>
      </c>
    </row>
    <row r="1329" spans="1:10">
      <c r="A1329" s="38">
        <v>46068</v>
      </c>
      <c r="B1329" s="37" t="s">
        <v>373</v>
      </c>
      <c r="C1329" s="37" t="s">
        <v>209</v>
      </c>
      <c r="D1329" s="37" t="s">
        <v>689</v>
      </c>
      <c r="E1329" s="37" t="s">
        <v>308</v>
      </c>
      <c r="F1329" s="38">
        <v>46082</v>
      </c>
      <c r="G1329" s="37" t="s">
        <v>215</v>
      </c>
      <c r="H1329" s="39">
        <v>378.1</v>
      </c>
      <c r="I1329" s="39">
        <f>IF(My_Payment[[#This Row],[Payment_Code]]="S",My_Payment[[#This Row],[Total AMT]]/2,IF(My_Payment[[#This Row],[Payment_Code]]="P",My_Payment[[#This Row],[Total AMT]],0))</f>
        <v>378.1</v>
      </c>
      <c r="J1329" s="39">
        <f>IF(My_Payment[[#This Row],[Payment_Code]]="S",My_Payment[[#This Row],[Total AMT]]/2,IF(My_Payment[[#This Row],[Payment_Code]]="N",My_Payment[[#This Row],[Total AMT]],0))</f>
        <v>0</v>
      </c>
    </row>
    <row r="1330" spans="1:10">
      <c r="A1330" s="38">
        <v>46096</v>
      </c>
      <c r="B1330" s="37" t="s">
        <v>373</v>
      </c>
      <c r="C1330" s="37" t="s">
        <v>209</v>
      </c>
      <c r="D1330" s="37" t="s">
        <v>689</v>
      </c>
      <c r="E1330" s="37" t="s">
        <v>309</v>
      </c>
      <c r="F1330" s="38">
        <v>46113</v>
      </c>
      <c r="G1330" s="37" t="s">
        <v>215</v>
      </c>
      <c r="H1330" s="39">
        <v>378.1</v>
      </c>
      <c r="I1330" s="39">
        <f>IF(My_Payment[[#This Row],[Payment_Code]]="S",My_Payment[[#This Row],[Total AMT]]/2,IF(My_Payment[[#This Row],[Payment_Code]]="P",My_Payment[[#This Row],[Total AMT]],0))</f>
        <v>378.1</v>
      </c>
      <c r="J1330" s="39">
        <f>IF(My_Payment[[#This Row],[Payment_Code]]="S",My_Payment[[#This Row],[Total AMT]]/2,IF(My_Payment[[#This Row],[Payment_Code]]="N",My_Payment[[#This Row],[Total AMT]],0))</f>
        <v>0</v>
      </c>
    </row>
    <row r="1331" spans="1:10">
      <c r="A1331" s="38">
        <v>46127</v>
      </c>
      <c r="B1331" s="37" t="s">
        <v>373</v>
      </c>
      <c r="C1331" s="37" t="s">
        <v>209</v>
      </c>
      <c r="D1331" s="37" t="s">
        <v>689</v>
      </c>
      <c r="E1331" s="37" t="s">
        <v>310</v>
      </c>
      <c r="F1331" s="38">
        <v>46143</v>
      </c>
      <c r="G1331" s="37" t="s">
        <v>215</v>
      </c>
      <c r="H1331" s="39">
        <v>378.1</v>
      </c>
      <c r="I1331" s="39">
        <f>IF(My_Payment[[#This Row],[Payment_Code]]="S",My_Payment[[#This Row],[Total AMT]]/2,IF(My_Payment[[#This Row],[Payment_Code]]="P",My_Payment[[#This Row],[Total AMT]],0))</f>
        <v>378.1</v>
      </c>
      <c r="J1331" s="39">
        <f>IF(My_Payment[[#This Row],[Payment_Code]]="S",My_Payment[[#This Row],[Total AMT]]/2,IF(My_Payment[[#This Row],[Payment_Code]]="N",My_Payment[[#This Row],[Total AMT]],0))</f>
        <v>0</v>
      </c>
    </row>
    <row r="1332" spans="1:10">
      <c r="A1332" s="38">
        <v>46157</v>
      </c>
      <c r="B1332" s="37" t="s">
        <v>373</v>
      </c>
      <c r="C1332" s="37" t="s">
        <v>209</v>
      </c>
      <c r="D1332" s="37" t="s">
        <v>689</v>
      </c>
      <c r="E1332" s="37" t="s">
        <v>311</v>
      </c>
      <c r="F1332" s="38">
        <v>46174</v>
      </c>
      <c r="G1332" s="37" t="s">
        <v>215</v>
      </c>
      <c r="H1332" s="39">
        <v>378.1</v>
      </c>
      <c r="I1332" s="39">
        <f>IF(My_Payment[[#This Row],[Payment_Code]]="S",My_Payment[[#This Row],[Total AMT]]/2,IF(My_Payment[[#This Row],[Payment_Code]]="P",My_Payment[[#This Row],[Total AMT]],0))</f>
        <v>378.1</v>
      </c>
      <c r="J1332" s="39">
        <f>IF(My_Payment[[#This Row],[Payment_Code]]="S",My_Payment[[#This Row],[Total AMT]]/2,IF(My_Payment[[#This Row],[Payment_Code]]="N",My_Payment[[#This Row],[Total AMT]],0))</f>
        <v>0</v>
      </c>
    </row>
    <row r="1333" spans="1:10">
      <c r="A1333" s="38">
        <v>46188</v>
      </c>
      <c r="B1333" s="37" t="s">
        <v>373</v>
      </c>
      <c r="C1333" s="37" t="s">
        <v>209</v>
      </c>
      <c r="D1333" s="37" t="s">
        <v>689</v>
      </c>
      <c r="E1333" s="37" t="s">
        <v>312</v>
      </c>
      <c r="F1333" s="38">
        <v>46204</v>
      </c>
      <c r="G1333" s="37" t="s">
        <v>215</v>
      </c>
      <c r="H1333" s="39">
        <v>378.1</v>
      </c>
      <c r="I1333" s="39">
        <f>IF(My_Payment[[#This Row],[Payment_Code]]="S",My_Payment[[#This Row],[Total AMT]]/2,IF(My_Payment[[#This Row],[Payment_Code]]="P",My_Payment[[#This Row],[Total AMT]],0))</f>
        <v>378.1</v>
      </c>
      <c r="J1333" s="39">
        <f>IF(My_Payment[[#This Row],[Payment_Code]]="S",My_Payment[[#This Row],[Total AMT]]/2,IF(My_Payment[[#This Row],[Payment_Code]]="N",My_Payment[[#This Row],[Total AMT]],0))</f>
        <v>0</v>
      </c>
    </row>
    <row r="1334" spans="1:10">
      <c r="A1334" s="38">
        <v>46218</v>
      </c>
      <c r="B1334" s="37" t="s">
        <v>373</v>
      </c>
      <c r="C1334" s="37" t="s">
        <v>209</v>
      </c>
      <c r="D1334" s="37" t="s">
        <v>689</v>
      </c>
      <c r="E1334" s="37" t="s">
        <v>313</v>
      </c>
      <c r="F1334" s="38">
        <v>46235</v>
      </c>
      <c r="G1334" s="37" t="s">
        <v>215</v>
      </c>
      <c r="H1334" s="39">
        <v>378.1</v>
      </c>
      <c r="I1334" s="39">
        <f>IF(My_Payment[[#This Row],[Payment_Code]]="S",My_Payment[[#This Row],[Total AMT]]/2,IF(My_Payment[[#This Row],[Payment_Code]]="P",My_Payment[[#This Row],[Total AMT]],0))</f>
        <v>378.1</v>
      </c>
      <c r="J1334" s="39">
        <f>IF(My_Payment[[#This Row],[Payment_Code]]="S",My_Payment[[#This Row],[Total AMT]]/2,IF(My_Payment[[#This Row],[Payment_Code]]="N",My_Payment[[#This Row],[Total AMT]],0))</f>
        <v>0</v>
      </c>
    </row>
    <row r="1335" spans="1:10">
      <c r="A1335" s="38">
        <v>46249</v>
      </c>
      <c r="B1335" s="37" t="s">
        <v>373</v>
      </c>
      <c r="C1335" s="37" t="s">
        <v>209</v>
      </c>
      <c r="D1335" s="37" t="s">
        <v>689</v>
      </c>
      <c r="E1335" s="37" t="s">
        <v>314</v>
      </c>
      <c r="F1335" s="38">
        <v>46266</v>
      </c>
      <c r="G1335" s="37" t="s">
        <v>215</v>
      </c>
      <c r="H1335" s="39">
        <v>378.1</v>
      </c>
      <c r="I1335" s="39">
        <f>IF(My_Payment[[#This Row],[Payment_Code]]="S",My_Payment[[#This Row],[Total AMT]]/2,IF(My_Payment[[#This Row],[Payment_Code]]="P",My_Payment[[#This Row],[Total AMT]],0))</f>
        <v>378.1</v>
      </c>
      <c r="J1335" s="39">
        <f>IF(My_Payment[[#This Row],[Payment_Code]]="S",My_Payment[[#This Row],[Total AMT]]/2,IF(My_Payment[[#This Row],[Payment_Code]]="N",My_Payment[[#This Row],[Total AMT]],0))</f>
        <v>0</v>
      </c>
    </row>
    <row r="1336" spans="1:10">
      <c r="A1336" s="38">
        <v>46280</v>
      </c>
      <c r="B1336" s="37" t="s">
        <v>373</v>
      </c>
      <c r="C1336" s="37" t="s">
        <v>209</v>
      </c>
      <c r="D1336" s="37" t="s">
        <v>689</v>
      </c>
      <c r="E1336" s="37" t="s">
        <v>112</v>
      </c>
      <c r="F1336" s="38">
        <v>46296</v>
      </c>
      <c r="G1336" s="37" t="s">
        <v>215</v>
      </c>
      <c r="H1336" s="39">
        <v>378.1</v>
      </c>
      <c r="I1336" s="39">
        <f>IF(My_Payment[[#This Row],[Payment_Code]]="S",My_Payment[[#This Row],[Total AMT]]/2,IF(My_Payment[[#This Row],[Payment_Code]]="P",My_Payment[[#This Row],[Total AMT]],0))</f>
        <v>378.1</v>
      </c>
      <c r="J1336" s="39">
        <f>IF(My_Payment[[#This Row],[Payment_Code]]="S",My_Payment[[#This Row],[Total AMT]]/2,IF(My_Payment[[#This Row],[Payment_Code]]="N",My_Payment[[#This Row],[Total AMT]],0))</f>
        <v>0</v>
      </c>
    </row>
    <row r="1337" spans="1:10">
      <c r="A1337" s="38">
        <v>46042</v>
      </c>
      <c r="B1337" s="37" t="s">
        <v>345</v>
      </c>
      <c r="C1337" s="37" t="s">
        <v>248</v>
      </c>
      <c r="D1337" s="37" t="s">
        <v>346</v>
      </c>
      <c r="E1337" s="37" t="s">
        <v>211</v>
      </c>
      <c r="F1337" s="38">
        <v>46083</v>
      </c>
      <c r="G1337" s="37" t="s">
        <v>215</v>
      </c>
      <c r="H1337" s="40">
        <v>1243.8</v>
      </c>
      <c r="I1337" s="39">
        <f>IF(My_Payment[[#This Row],[Payment_Code]]="S",My_Payment[[#This Row],[Total AMT]]/2,IF(My_Payment[[#This Row],[Payment_Code]]="P",My_Payment[[#This Row],[Total AMT]],0))</f>
        <v>1243.8</v>
      </c>
      <c r="J1337" s="39">
        <f>IF(My_Payment[[#This Row],[Payment_Code]]="S",My_Payment[[#This Row],[Total AMT]]/2,IF(My_Payment[[#This Row],[Payment_Code]]="N",My_Payment[[#This Row],[Total AMT]],0))</f>
        <v>0</v>
      </c>
    </row>
    <row r="1338" spans="1:10">
      <c r="A1338" s="38">
        <v>46073</v>
      </c>
      <c r="B1338" s="37" t="s">
        <v>345</v>
      </c>
      <c r="C1338" s="37" t="s">
        <v>248</v>
      </c>
      <c r="D1338" s="37" t="s">
        <v>346</v>
      </c>
      <c r="E1338" s="37" t="s">
        <v>211</v>
      </c>
      <c r="F1338" s="38">
        <v>46114</v>
      </c>
      <c r="G1338" s="37" t="s">
        <v>215</v>
      </c>
      <c r="H1338" s="40">
        <v>1243.8</v>
      </c>
      <c r="I1338" s="39">
        <f>IF(My_Payment[[#This Row],[Payment_Code]]="S",My_Payment[[#This Row],[Total AMT]]/2,IF(My_Payment[[#This Row],[Payment_Code]]="P",My_Payment[[#This Row],[Total AMT]],0))</f>
        <v>1243.8</v>
      </c>
      <c r="J1338" s="39">
        <f>IF(My_Payment[[#This Row],[Payment_Code]]="S",My_Payment[[#This Row],[Total AMT]]/2,IF(My_Payment[[#This Row],[Payment_Code]]="N",My_Payment[[#This Row],[Total AMT]],0))</f>
        <v>0</v>
      </c>
    </row>
    <row r="1339" spans="1:10">
      <c r="A1339" s="38">
        <v>46101</v>
      </c>
      <c r="B1339" s="37" t="s">
        <v>345</v>
      </c>
      <c r="C1339" s="37" t="s">
        <v>248</v>
      </c>
      <c r="D1339" s="37" t="s">
        <v>346</v>
      </c>
      <c r="E1339" s="37" t="s">
        <v>211</v>
      </c>
      <c r="F1339" s="38">
        <v>46144</v>
      </c>
      <c r="G1339" s="37" t="s">
        <v>215</v>
      </c>
      <c r="H1339" s="40">
        <v>1243.8</v>
      </c>
      <c r="I1339" s="39">
        <f>IF(My_Payment[[#This Row],[Payment_Code]]="S",My_Payment[[#This Row],[Total AMT]]/2,IF(My_Payment[[#This Row],[Payment_Code]]="P",My_Payment[[#This Row],[Total AMT]],0))</f>
        <v>1243.8</v>
      </c>
      <c r="J1339" s="39">
        <f>IF(My_Payment[[#This Row],[Payment_Code]]="S",My_Payment[[#This Row],[Total AMT]]/2,IF(My_Payment[[#This Row],[Payment_Code]]="N",My_Payment[[#This Row],[Total AMT]],0))</f>
        <v>0</v>
      </c>
    </row>
    <row r="1340" spans="1:10">
      <c r="A1340" s="38">
        <v>46132</v>
      </c>
      <c r="B1340" s="37" t="s">
        <v>345</v>
      </c>
      <c r="C1340" s="37" t="s">
        <v>248</v>
      </c>
      <c r="D1340" s="37" t="s">
        <v>346</v>
      </c>
      <c r="E1340" s="37" t="s">
        <v>211</v>
      </c>
      <c r="F1340" s="38">
        <v>46175</v>
      </c>
      <c r="G1340" s="37" t="s">
        <v>215</v>
      </c>
      <c r="H1340" s="40">
        <v>1243.8</v>
      </c>
      <c r="I1340" s="39">
        <f>IF(My_Payment[[#This Row],[Payment_Code]]="S",My_Payment[[#This Row],[Total AMT]]/2,IF(My_Payment[[#This Row],[Payment_Code]]="P",My_Payment[[#This Row],[Total AMT]],0))</f>
        <v>1243.8</v>
      </c>
      <c r="J1340" s="39">
        <f>IF(My_Payment[[#This Row],[Payment_Code]]="S",My_Payment[[#This Row],[Total AMT]]/2,IF(My_Payment[[#This Row],[Payment_Code]]="N",My_Payment[[#This Row],[Total AMT]],0))</f>
        <v>0</v>
      </c>
    </row>
    <row r="1341" spans="1:10">
      <c r="A1341" s="38">
        <v>46162</v>
      </c>
      <c r="B1341" s="37" t="s">
        <v>345</v>
      </c>
      <c r="C1341" s="37" t="s">
        <v>248</v>
      </c>
      <c r="D1341" s="37" t="s">
        <v>346</v>
      </c>
      <c r="E1341" s="37" t="s">
        <v>211</v>
      </c>
      <c r="F1341" s="38">
        <v>46205</v>
      </c>
      <c r="G1341" s="37" t="s">
        <v>215</v>
      </c>
      <c r="H1341" s="40">
        <v>1243.8</v>
      </c>
      <c r="I1341" s="39">
        <f>IF(My_Payment[[#This Row],[Payment_Code]]="S",My_Payment[[#This Row],[Total AMT]]/2,IF(My_Payment[[#This Row],[Payment_Code]]="P",My_Payment[[#This Row],[Total AMT]],0))</f>
        <v>1243.8</v>
      </c>
      <c r="J1341" s="39">
        <f>IF(My_Payment[[#This Row],[Payment_Code]]="S",My_Payment[[#This Row],[Total AMT]]/2,IF(My_Payment[[#This Row],[Payment_Code]]="N",My_Payment[[#This Row],[Total AMT]],0))</f>
        <v>0</v>
      </c>
    </row>
    <row r="1342" spans="1:10">
      <c r="A1342" s="38">
        <v>46193</v>
      </c>
      <c r="B1342" s="37" t="s">
        <v>345</v>
      </c>
      <c r="C1342" s="37" t="s">
        <v>248</v>
      </c>
      <c r="D1342" s="37" t="s">
        <v>346</v>
      </c>
      <c r="E1342" s="37" t="s">
        <v>211</v>
      </c>
      <c r="F1342" s="38">
        <v>46236</v>
      </c>
      <c r="G1342" s="37" t="s">
        <v>215</v>
      </c>
      <c r="H1342" s="40">
        <v>1243.8</v>
      </c>
      <c r="I1342" s="39">
        <f>IF(My_Payment[[#This Row],[Payment_Code]]="S",My_Payment[[#This Row],[Total AMT]]/2,IF(My_Payment[[#This Row],[Payment_Code]]="P",My_Payment[[#This Row],[Total AMT]],0))</f>
        <v>1243.8</v>
      </c>
      <c r="J1342" s="39">
        <f>IF(My_Payment[[#This Row],[Payment_Code]]="S",My_Payment[[#This Row],[Total AMT]]/2,IF(My_Payment[[#This Row],[Payment_Code]]="N",My_Payment[[#This Row],[Total AMT]],0))</f>
        <v>0</v>
      </c>
    </row>
    <row r="1343" spans="1:10">
      <c r="A1343" s="38">
        <v>46223</v>
      </c>
      <c r="B1343" s="37" t="s">
        <v>345</v>
      </c>
      <c r="C1343" s="37" t="s">
        <v>248</v>
      </c>
      <c r="D1343" s="37" t="s">
        <v>346</v>
      </c>
      <c r="E1343" s="37" t="s">
        <v>211</v>
      </c>
      <c r="F1343" s="38">
        <v>46267</v>
      </c>
      <c r="G1343" s="37" t="s">
        <v>215</v>
      </c>
      <c r="H1343" s="40">
        <v>1243.8</v>
      </c>
      <c r="I1343" s="39">
        <f>IF(My_Payment[[#This Row],[Payment_Code]]="S",My_Payment[[#This Row],[Total AMT]]/2,IF(My_Payment[[#This Row],[Payment_Code]]="P",My_Payment[[#This Row],[Total AMT]],0))</f>
        <v>1243.8</v>
      </c>
      <c r="J1343" s="39">
        <f>IF(My_Payment[[#This Row],[Payment_Code]]="S",My_Payment[[#This Row],[Total AMT]]/2,IF(My_Payment[[#This Row],[Payment_Code]]="N",My_Payment[[#This Row],[Total AMT]],0))</f>
        <v>0</v>
      </c>
    </row>
    <row r="1344" spans="1:10">
      <c r="A1344" s="38">
        <v>46254</v>
      </c>
      <c r="B1344" s="37" t="s">
        <v>345</v>
      </c>
      <c r="C1344" s="37" t="s">
        <v>248</v>
      </c>
      <c r="D1344" s="37" t="s">
        <v>346</v>
      </c>
      <c r="E1344" s="37" t="s">
        <v>211</v>
      </c>
      <c r="F1344" s="38">
        <v>46297</v>
      </c>
      <c r="G1344" s="37" t="s">
        <v>215</v>
      </c>
      <c r="H1344" s="40">
        <v>1243.8</v>
      </c>
      <c r="I1344" s="39">
        <f>IF(My_Payment[[#This Row],[Payment_Code]]="S",My_Payment[[#This Row],[Total AMT]]/2,IF(My_Payment[[#This Row],[Payment_Code]]="P",My_Payment[[#This Row],[Total AMT]],0))</f>
        <v>1243.8</v>
      </c>
      <c r="J1344" s="39">
        <f>IF(My_Payment[[#This Row],[Payment_Code]]="S",My_Payment[[#This Row],[Total AMT]]/2,IF(My_Payment[[#This Row],[Payment_Code]]="N",My_Payment[[#This Row],[Total AMT]],0))</f>
        <v>0</v>
      </c>
    </row>
    <row r="1345" spans="1:10">
      <c r="A1345" s="38">
        <v>46285</v>
      </c>
      <c r="B1345" s="37" t="s">
        <v>345</v>
      </c>
      <c r="C1345" s="37" t="s">
        <v>248</v>
      </c>
      <c r="D1345" s="37" t="s">
        <v>346</v>
      </c>
      <c r="E1345" s="37" t="s">
        <v>211</v>
      </c>
      <c r="F1345" s="38">
        <v>46328</v>
      </c>
      <c r="G1345" s="37" t="s">
        <v>215</v>
      </c>
      <c r="H1345" s="40">
        <v>1243.8</v>
      </c>
      <c r="I1345" s="39">
        <f>IF(My_Payment[[#This Row],[Payment_Code]]="S",My_Payment[[#This Row],[Total AMT]]/2,IF(My_Payment[[#This Row],[Payment_Code]]="P",My_Payment[[#This Row],[Total AMT]],0))</f>
        <v>1243.8</v>
      </c>
      <c r="J1345" s="39">
        <f>IF(My_Payment[[#This Row],[Payment_Code]]="S",My_Payment[[#This Row],[Total AMT]]/2,IF(My_Payment[[#This Row],[Payment_Code]]="N",My_Payment[[#This Row],[Total AMT]],0))</f>
        <v>0</v>
      </c>
    </row>
    <row r="1346" spans="1:10">
      <c r="A1346" s="38">
        <v>46315</v>
      </c>
      <c r="B1346" s="37" t="s">
        <v>345</v>
      </c>
      <c r="C1346" s="37" t="s">
        <v>248</v>
      </c>
      <c r="D1346" s="37" t="s">
        <v>346</v>
      </c>
      <c r="E1346" s="37" t="s">
        <v>211</v>
      </c>
      <c r="F1346" s="38">
        <v>46358</v>
      </c>
      <c r="G1346" s="37" t="s">
        <v>215</v>
      </c>
      <c r="H1346" s="40">
        <v>1243.8</v>
      </c>
      <c r="I1346" s="39">
        <f>IF(My_Payment[[#This Row],[Payment_Code]]="S",My_Payment[[#This Row],[Total AMT]]/2,IF(My_Payment[[#This Row],[Payment_Code]]="P",My_Payment[[#This Row],[Total AMT]],0))</f>
        <v>1243.8</v>
      </c>
      <c r="J1346" s="39">
        <f>IF(My_Payment[[#This Row],[Payment_Code]]="S",My_Payment[[#This Row],[Total AMT]]/2,IF(My_Payment[[#This Row],[Payment_Code]]="N",My_Payment[[#This Row],[Total AMT]],0))</f>
        <v>0</v>
      </c>
    </row>
    <row r="1347" spans="1:10">
      <c r="A1347" s="38">
        <v>46346</v>
      </c>
      <c r="B1347" s="37" t="s">
        <v>345</v>
      </c>
      <c r="C1347" s="37" t="s">
        <v>248</v>
      </c>
      <c r="D1347" s="37" t="s">
        <v>346</v>
      </c>
      <c r="E1347" s="37" t="s">
        <v>211</v>
      </c>
      <c r="F1347" s="38">
        <v>46389</v>
      </c>
      <c r="G1347" s="37" t="s">
        <v>215</v>
      </c>
      <c r="H1347" s="40">
        <v>1243.8</v>
      </c>
      <c r="I1347" s="39">
        <f>IF(My_Payment[[#This Row],[Payment_Code]]="S",My_Payment[[#This Row],[Total AMT]]/2,IF(My_Payment[[#This Row],[Payment_Code]]="P",My_Payment[[#This Row],[Total AMT]],0))</f>
        <v>1243.8</v>
      </c>
      <c r="J1347" s="39">
        <f>IF(My_Payment[[#This Row],[Payment_Code]]="S",My_Payment[[#This Row],[Total AMT]]/2,IF(My_Payment[[#This Row],[Payment_Code]]="N",My_Payment[[#This Row],[Total AMT]],0))</f>
        <v>0</v>
      </c>
    </row>
    <row r="1348" spans="1:10">
      <c r="A1348" s="38">
        <v>46376</v>
      </c>
      <c r="B1348" s="37" t="s">
        <v>345</v>
      </c>
      <c r="C1348" s="37" t="s">
        <v>248</v>
      </c>
      <c r="D1348" s="37" t="s">
        <v>346</v>
      </c>
      <c r="E1348" s="37" t="s">
        <v>211</v>
      </c>
      <c r="F1348" s="38">
        <v>46420</v>
      </c>
      <c r="G1348" s="37" t="s">
        <v>215</v>
      </c>
      <c r="H1348" s="40">
        <v>1243.8</v>
      </c>
      <c r="I1348" s="39">
        <f>IF(My_Payment[[#This Row],[Payment_Code]]="S",My_Payment[[#This Row],[Total AMT]]/2,IF(My_Payment[[#This Row],[Payment_Code]]="P",My_Payment[[#This Row],[Total AMT]],0))</f>
        <v>1243.8</v>
      </c>
      <c r="J1348" s="39">
        <f>IF(My_Payment[[#This Row],[Payment_Code]]="S",My_Payment[[#This Row],[Total AMT]]/2,IF(My_Payment[[#This Row],[Payment_Code]]="N",My_Payment[[#This Row],[Total AMT]],0))</f>
        <v>0</v>
      </c>
    </row>
    <row r="1349" spans="1:10">
      <c r="A1349" s="38">
        <v>45972</v>
      </c>
      <c r="B1349" s="37" t="s">
        <v>357</v>
      </c>
      <c r="C1349" s="37" t="s">
        <v>248</v>
      </c>
      <c r="D1349" s="37" t="s">
        <v>690</v>
      </c>
      <c r="E1349" s="37" t="s">
        <v>211</v>
      </c>
      <c r="F1349" s="38">
        <v>45996</v>
      </c>
      <c r="G1349" s="37" t="s">
        <v>215</v>
      </c>
      <c r="H1349" s="39">
        <v>174</v>
      </c>
      <c r="I1349" s="39">
        <f>IF(My_Payment[[#This Row],[Payment_Code]]="S",My_Payment[[#This Row],[Total AMT]]/2,IF(My_Payment[[#This Row],[Payment_Code]]="P",My_Payment[[#This Row],[Total AMT]],0))</f>
        <v>174</v>
      </c>
      <c r="J1349" s="39">
        <f>IF(My_Payment[[#This Row],[Payment_Code]]="S",My_Payment[[#This Row],[Total AMT]]/2,IF(My_Payment[[#This Row],[Payment_Code]]="N",My_Payment[[#This Row],[Total AMT]],0))</f>
        <v>0</v>
      </c>
    </row>
    <row r="1350" spans="1:10">
      <c r="A1350" s="38">
        <v>45983</v>
      </c>
      <c r="B1350" s="37" t="s">
        <v>357</v>
      </c>
      <c r="C1350" s="37" t="s">
        <v>248</v>
      </c>
      <c r="D1350" s="37" t="s">
        <v>690</v>
      </c>
      <c r="E1350" s="37" t="s">
        <v>211</v>
      </c>
      <c r="F1350" s="38">
        <v>45996</v>
      </c>
      <c r="G1350" s="37" t="s">
        <v>215</v>
      </c>
      <c r="H1350" s="39">
        <v>152</v>
      </c>
      <c r="I1350" s="39">
        <f>IF(My_Payment[[#This Row],[Payment_Code]]="S",My_Payment[[#This Row],[Total AMT]]/2,IF(My_Payment[[#This Row],[Payment_Code]]="P",My_Payment[[#This Row],[Total AMT]],0))</f>
        <v>152</v>
      </c>
      <c r="J1350" s="39">
        <f>IF(My_Payment[[#This Row],[Payment_Code]]="S",My_Payment[[#This Row],[Total AMT]]/2,IF(My_Payment[[#This Row],[Payment_Code]]="N",My_Payment[[#This Row],[Total AMT]],0))</f>
        <v>0</v>
      </c>
    </row>
    <row r="1351" spans="1:10">
      <c r="A1351" s="38">
        <v>46006</v>
      </c>
      <c r="B1351" s="37" t="s">
        <v>357</v>
      </c>
      <c r="C1351" s="37" t="s">
        <v>248</v>
      </c>
      <c r="D1351" s="37" t="s">
        <v>691</v>
      </c>
      <c r="E1351" s="37" t="s">
        <v>211</v>
      </c>
      <c r="F1351" s="38">
        <v>46027</v>
      </c>
      <c r="G1351" s="37" t="s">
        <v>215</v>
      </c>
      <c r="H1351" s="39">
        <v>2842</v>
      </c>
      <c r="I1351" s="39">
        <f>IF(My_Payment[[#This Row],[Payment_Code]]="S",My_Payment[[#This Row],[Total AMT]]/2,IF(My_Payment[[#This Row],[Payment_Code]]="P",My_Payment[[#This Row],[Total AMT]],0))</f>
        <v>2842</v>
      </c>
      <c r="J1351" s="39">
        <f>IF(My_Payment[[#This Row],[Payment_Code]]="S",My_Payment[[#This Row],[Total AMT]]/2,IF(My_Payment[[#This Row],[Payment_Code]]="N",My_Payment[[#This Row],[Total AMT]],0))</f>
        <v>0</v>
      </c>
    </row>
    <row r="1352" spans="1:10">
      <c r="A1352" s="38">
        <v>46012</v>
      </c>
      <c r="B1352" s="37" t="s">
        <v>357</v>
      </c>
      <c r="C1352" s="37" t="s">
        <v>248</v>
      </c>
      <c r="D1352" s="37" t="s">
        <v>692</v>
      </c>
      <c r="E1352" s="37" t="s">
        <v>211</v>
      </c>
      <c r="F1352" s="38">
        <v>46027</v>
      </c>
      <c r="G1352" s="37" t="s">
        <v>215</v>
      </c>
      <c r="H1352" s="39">
        <v>382</v>
      </c>
      <c r="I1352" s="39">
        <f>IF(My_Payment[[#This Row],[Payment_Code]]="S",My_Payment[[#This Row],[Total AMT]]/2,IF(My_Payment[[#This Row],[Payment_Code]]="P",My_Payment[[#This Row],[Total AMT]],0))</f>
        <v>382</v>
      </c>
      <c r="J1352" s="39">
        <f>IF(My_Payment[[#This Row],[Payment_Code]]="S",My_Payment[[#This Row],[Total AMT]]/2,IF(My_Payment[[#This Row],[Payment_Code]]="N",My_Payment[[#This Row],[Total AMT]],0))</f>
        <v>0</v>
      </c>
    </row>
    <row r="1353" spans="1:10">
      <c r="A1353" s="38">
        <v>46018</v>
      </c>
      <c r="B1353" s="37" t="s">
        <v>357</v>
      </c>
      <c r="C1353" s="37" t="s">
        <v>248</v>
      </c>
      <c r="D1353" s="37" t="s">
        <v>693</v>
      </c>
      <c r="E1353" s="37" t="s">
        <v>211</v>
      </c>
      <c r="F1353" s="38">
        <v>46058</v>
      </c>
      <c r="G1353" s="37" t="s">
        <v>215</v>
      </c>
      <c r="H1353" s="39">
        <v>195</v>
      </c>
      <c r="I1353" s="39">
        <f>IF(My_Payment[[#This Row],[Payment_Code]]="S",My_Payment[[#This Row],[Total AMT]]/2,IF(My_Payment[[#This Row],[Payment_Code]]="P",My_Payment[[#This Row],[Total AMT]],0))</f>
        <v>195</v>
      </c>
      <c r="J1353" s="39">
        <f>IF(My_Payment[[#This Row],[Payment_Code]]="S",My_Payment[[#This Row],[Total AMT]]/2,IF(My_Payment[[#This Row],[Payment_Code]]="N",My_Payment[[#This Row],[Total AMT]],0))</f>
        <v>0</v>
      </c>
    </row>
    <row r="1354" spans="1:10">
      <c r="A1354" s="38">
        <v>46018</v>
      </c>
      <c r="B1354" s="37" t="s">
        <v>357</v>
      </c>
      <c r="C1354" s="37" t="s">
        <v>248</v>
      </c>
      <c r="D1354" s="37" t="s">
        <v>718</v>
      </c>
      <c r="E1354" s="37" t="s">
        <v>211</v>
      </c>
      <c r="F1354" s="38">
        <v>46058</v>
      </c>
      <c r="G1354" s="37" t="s">
        <v>215</v>
      </c>
      <c r="H1354" s="39">
        <v>220</v>
      </c>
      <c r="I1354" s="39">
        <f>IF(My_Payment[[#This Row],[Payment_Code]]="S",My_Payment[[#This Row],[Total AMT]]/2,IF(My_Payment[[#This Row],[Payment_Code]]="P",My_Payment[[#This Row],[Total AMT]],0))</f>
        <v>220</v>
      </c>
      <c r="J1354" s="39">
        <f>IF(My_Payment[[#This Row],[Payment_Code]]="S",My_Payment[[#This Row],[Total AMT]]/2,IF(My_Payment[[#This Row],[Payment_Code]]="N",My_Payment[[#This Row],[Total AMT]],0))</f>
        <v>0</v>
      </c>
    </row>
    <row r="1355" spans="1:10">
      <c r="A1355" s="38">
        <v>46060</v>
      </c>
      <c r="B1355" s="37" t="s">
        <v>298</v>
      </c>
      <c r="C1355" s="37" t="s">
        <v>299</v>
      </c>
      <c r="D1355" s="37" t="s">
        <v>694</v>
      </c>
      <c r="E1355" s="37" t="s">
        <v>596</v>
      </c>
      <c r="F1355" s="38">
        <v>46082</v>
      </c>
      <c r="G1355" s="37" t="s">
        <v>215</v>
      </c>
      <c r="H1355" s="40">
        <v>1267.58</v>
      </c>
      <c r="I1355" s="39">
        <f>IF(My_Payment[[#This Row],[Payment_Code]]="S",My_Payment[[#This Row],[Total AMT]]/2,IF(My_Payment[[#This Row],[Payment_Code]]="P",My_Payment[[#This Row],[Total AMT]],0))</f>
        <v>1267.58</v>
      </c>
      <c r="J1355" s="39">
        <f>IF(My_Payment[[#This Row],[Payment_Code]]="S",My_Payment[[#This Row],[Total AMT]]/2,IF(My_Payment[[#This Row],[Payment_Code]]="N",My_Payment[[#This Row],[Total AMT]],0))</f>
        <v>0</v>
      </c>
    </row>
    <row r="1356" spans="1:10">
      <c r="A1356" s="38">
        <v>46088</v>
      </c>
      <c r="B1356" s="37" t="s">
        <v>298</v>
      </c>
      <c r="C1356" s="37" t="s">
        <v>299</v>
      </c>
      <c r="D1356" s="37" t="s">
        <v>694</v>
      </c>
      <c r="E1356" s="37" t="s">
        <v>597</v>
      </c>
      <c r="F1356" s="38">
        <v>46113</v>
      </c>
      <c r="G1356" s="37" t="s">
        <v>215</v>
      </c>
      <c r="H1356" s="40">
        <v>1267.58</v>
      </c>
      <c r="I1356" s="39">
        <f>IF(My_Payment[[#This Row],[Payment_Code]]="S",My_Payment[[#This Row],[Total AMT]]/2,IF(My_Payment[[#This Row],[Payment_Code]]="P",My_Payment[[#This Row],[Total AMT]],0))</f>
        <v>1267.58</v>
      </c>
      <c r="J1356" s="39">
        <f>IF(My_Payment[[#This Row],[Payment_Code]]="S",My_Payment[[#This Row],[Total AMT]]/2,IF(My_Payment[[#This Row],[Payment_Code]]="N",My_Payment[[#This Row],[Total AMT]],0))</f>
        <v>0</v>
      </c>
    </row>
    <row r="1357" spans="1:10">
      <c r="A1357" s="38">
        <v>46119</v>
      </c>
      <c r="B1357" s="37" t="s">
        <v>298</v>
      </c>
      <c r="C1357" s="37" t="s">
        <v>299</v>
      </c>
      <c r="D1357" s="37" t="s">
        <v>694</v>
      </c>
      <c r="E1357" s="37" t="s">
        <v>598</v>
      </c>
      <c r="F1357" s="38">
        <v>46143</v>
      </c>
      <c r="G1357" s="37" t="s">
        <v>215</v>
      </c>
      <c r="H1357" s="40">
        <v>1267.58</v>
      </c>
      <c r="I1357" s="39">
        <f>IF(My_Payment[[#This Row],[Payment_Code]]="S",My_Payment[[#This Row],[Total AMT]]/2,IF(My_Payment[[#This Row],[Payment_Code]]="P",My_Payment[[#This Row],[Total AMT]],0))</f>
        <v>1267.58</v>
      </c>
      <c r="J1357" s="39">
        <f>IF(My_Payment[[#This Row],[Payment_Code]]="S",My_Payment[[#This Row],[Total AMT]]/2,IF(My_Payment[[#This Row],[Payment_Code]]="N",My_Payment[[#This Row],[Total AMT]],0))</f>
        <v>0</v>
      </c>
    </row>
    <row r="1358" spans="1:10">
      <c r="A1358" s="38">
        <v>46149</v>
      </c>
      <c r="B1358" s="37" t="s">
        <v>298</v>
      </c>
      <c r="C1358" s="37" t="s">
        <v>299</v>
      </c>
      <c r="D1358" s="37" t="s">
        <v>694</v>
      </c>
      <c r="E1358" s="37" t="s">
        <v>599</v>
      </c>
      <c r="F1358" s="38">
        <v>46174</v>
      </c>
      <c r="G1358" s="37" t="s">
        <v>215</v>
      </c>
      <c r="H1358" s="40">
        <v>1267.58</v>
      </c>
      <c r="I1358" s="39">
        <f>IF(My_Payment[[#This Row],[Payment_Code]]="S",My_Payment[[#This Row],[Total AMT]]/2,IF(My_Payment[[#This Row],[Payment_Code]]="P",My_Payment[[#This Row],[Total AMT]],0))</f>
        <v>1267.58</v>
      </c>
      <c r="J1358" s="39">
        <f>IF(My_Payment[[#This Row],[Payment_Code]]="S",My_Payment[[#This Row],[Total AMT]]/2,IF(My_Payment[[#This Row],[Payment_Code]]="N",My_Payment[[#This Row],[Total AMT]],0))</f>
        <v>0</v>
      </c>
    </row>
    <row r="1359" spans="1:10">
      <c r="A1359" s="38">
        <v>46180</v>
      </c>
      <c r="B1359" s="37" t="s">
        <v>298</v>
      </c>
      <c r="C1359" s="37" t="s">
        <v>299</v>
      </c>
      <c r="D1359" s="37" t="s">
        <v>694</v>
      </c>
      <c r="E1359" s="37" t="s">
        <v>600</v>
      </c>
      <c r="F1359" s="38">
        <v>46204</v>
      </c>
      <c r="G1359" s="37" t="s">
        <v>215</v>
      </c>
      <c r="H1359" s="40">
        <v>1267.5899999999999</v>
      </c>
      <c r="I1359" s="39">
        <f>IF(My_Payment[[#This Row],[Payment_Code]]="S",My_Payment[[#This Row],[Total AMT]]/2,IF(My_Payment[[#This Row],[Payment_Code]]="P",My_Payment[[#This Row],[Total AMT]],0))</f>
        <v>1267.5899999999999</v>
      </c>
      <c r="J1359" s="39">
        <f>IF(My_Payment[[#This Row],[Payment_Code]]="S",My_Payment[[#This Row],[Total AMT]]/2,IF(My_Payment[[#This Row],[Payment_Code]]="N",My_Payment[[#This Row],[Total AMT]],0))</f>
        <v>0</v>
      </c>
    </row>
    <row r="1360" spans="1:10">
      <c r="A1360" s="38">
        <v>46210</v>
      </c>
      <c r="B1360" s="37" t="s">
        <v>298</v>
      </c>
      <c r="C1360" s="37" t="s">
        <v>299</v>
      </c>
      <c r="D1360" s="37" t="s">
        <v>694</v>
      </c>
      <c r="E1360" s="37" t="s">
        <v>601</v>
      </c>
      <c r="F1360" s="38">
        <v>46235</v>
      </c>
      <c r="G1360" s="37" t="s">
        <v>215</v>
      </c>
      <c r="H1360" s="40">
        <v>1267.5899999999999</v>
      </c>
      <c r="I1360" s="39">
        <f>IF(My_Payment[[#This Row],[Payment_Code]]="S",My_Payment[[#This Row],[Total AMT]]/2,IF(My_Payment[[#This Row],[Payment_Code]]="P",My_Payment[[#This Row],[Total AMT]],0))</f>
        <v>1267.5899999999999</v>
      </c>
      <c r="J1360" s="39">
        <f>IF(My_Payment[[#This Row],[Payment_Code]]="S",My_Payment[[#This Row],[Total AMT]]/2,IF(My_Payment[[#This Row],[Payment_Code]]="N",My_Payment[[#This Row],[Total AMT]],0))</f>
        <v>0</v>
      </c>
    </row>
    <row r="1361" spans="1:10">
      <c r="A1361" s="38">
        <v>46241</v>
      </c>
      <c r="B1361" s="37" t="s">
        <v>298</v>
      </c>
      <c r="C1361" s="37" t="s">
        <v>299</v>
      </c>
      <c r="D1361" s="37" t="s">
        <v>694</v>
      </c>
      <c r="E1361" s="37" t="s">
        <v>602</v>
      </c>
      <c r="F1361" s="38">
        <v>46266</v>
      </c>
      <c r="G1361" s="37" t="s">
        <v>215</v>
      </c>
      <c r="H1361" s="40">
        <v>1267.5899999999999</v>
      </c>
      <c r="I1361" s="39">
        <f>IF(My_Payment[[#This Row],[Payment_Code]]="S",My_Payment[[#This Row],[Total AMT]]/2,IF(My_Payment[[#This Row],[Payment_Code]]="P",My_Payment[[#This Row],[Total AMT]],0))</f>
        <v>1267.5899999999999</v>
      </c>
      <c r="J1361" s="39">
        <f>IF(My_Payment[[#This Row],[Payment_Code]]="S",My_Payment[[#This Row],[Total AMT]]/2,IF(My_Payment[[#This Row],[Payment_Code]]="N",My_Payment[[#This Row],[Total AMT]],0))</f>
        <v>0</v>
      </c>
    </row>
    <row r="1362" spans="1:10">
      <c r="A1362" s="38">
        <v>46272</v>
      </c>
      <c r="B1362" s="37" t="s">
        <v>298</v>
      </c>
      <c r="C1362" s="37" t="s">
        <v>299</v>
      </c>
      <c r="D1362" s="37" t="s">
        <v>694</v>
      </c>
      <c r="E1362" s="37" t="s">
        <v>603</v>
      </c>
      <c r="F1362" s="38">
        <v>46296</v>
      </c>
      <c r="G1362" s="37" t="s">
        <v>215</v>
      </c>
      <c r="H1362" s="40">
        <v>1267.5899999999999</v>
      </c>
      <c r="I1362" s="39">
        <f>IF(My_Payment[[#This Row],[Payment_Code]]="S",My_Payment[[#This Row],[Total AMT]]/2,IF(My_Payment[[#This Row],[Payment_Code]]="P",My_Payment[[#This Row],[Total AMT]],0))</f>
        <v>1267.5899999999999</v>
      </c>
      <c r="J1362" s="39">
        <f>IF(My_Payment[[#This Row],[Payment_Code]]="S",My_Payment[[#This Row],[Total AMT]]/2,IF(My_Payment[[#This Row],[Payment_Code]]="N",My_Payment[[#This Row],[Total AMT]],0))</f>
        <v>0</v>
      </c>
    </row>
    <row r="1363" spans="1:10">
      <c r="A1363" s="38">
        <v>46302</v>
      </c>
      <c r="B1363" s="37" t="s">
        <v>298</v>
      </c>
      <c r="C1363" s="37" t="s">
        <v>299</v>
      </c>
      <c r="D1363" s="37" t="s">
        <v>694</v>
      </c>
      <c r="E1363" s="37" t="s">
        <v>604</v>
      </c>
      <c r="F1363" s="38">
        <v>46327</v>
      </c>
      <c r="G1363" s="37" t="s">
        <v>215</v>
      </c>
      <c r="H1363" s="40">
        <v>1267.5899999999999</v>
      </c>
      <c r="I1363" s="39">
        <f>IF(My_Payment[[#This Row],[Payment_Code]]="S",My_Payment[[#This Row],[Total AMT]]/2,IF(My_Payment[[#This Row],[Payment_Code]]="P",My_Payment[[#This Row],[Total AMT]],0))</f>
        <v>1267.5899999999999</v>
      </c>
      <c r="J1363" s="39">
        <f>IF(My_Payment[[#This Row],[Payment_Code]]="S",My_Payment[[#This Row],[Total AMT]]/2,IF(My_Payment[[#This Row],[Payment_Code]]="N",My_Payment[[#This Row],[Total AMT]],0))</f>
        <v>0</v>
      </c>
    </row>
    <row r="1364" spans="1:10">
      <c r="A1364" s="38">
        <v>46333</v>
      </c>
      <c r="B1364" s="37" t="s">
        <v>298</v>
      </c>
      <c r="C1364" s="37" t="s">
        <v>299</v>
      </c>
      <c r="D1364" s="37" t="s">
        <v>694</v>
      </c>
      <c r="E1364" s="37" t="s">
        <v>605</v>
      </c>
      <c r="F1364" s="38">
        <v>46357</v>
      </c>
      <c r="G1364" s="37" t="s">
        <v>215</v>
      </c>
      <c r="H1364" s="40">
        <v>1267.5899999999999</v>
      </c>
      <c r="I1364" s="39">
        <f>IF(My_Payment[[#This Row],[Payment_Code]]="S",My_Payment[[#This Row],[Total AMT]]/2,IF(My_Payment[[#This Row],[Payment_Code]]="P",My_Payment[[#This Row],[Total AMT]],0))</f>
        <v>1267.5899999999999</v>
      </c>
      <c r="J1364" s="39">
        <f>IF(My_Payment[[#This Row],[Payment_Code]]="S",My_Payment[[#This Row],[Total AMT]]/2,IF(My_Payment[[#This Row],[Payment_Code]]="N",My_Payment[[#This Row],[Total AMT]],0))</f>
        <v>0</v>
      </c>
    </row>
    <row r="1365" spans="1:10">
      <c r="A1365" s="38">
        <v>46363</v>
      </c>
      <c r="B1365" s="37" t="s">
        <v>298</v>
      </c>
      <c r="C1365" s="37" t="s">
        <v>299</v>
      </c>
      <c r="D1365" s="37" t="s">
        <v>694</v>
      </c>
      <c r="E1365" s="37" t="s">
        <v>606</v>
      </c>
      <c r="F1365" s="38">
        <v>46388</v>
      </c>
      <c r="G1365" s="37" t="s">
        <v>215</v>
      </c>
      <c r="H1365" s="40">
        <v>1267.5899999999999</v>
      </c>
      <c r="I1365" s="39">
        <f>IF(My_Payment[[#This Row],[Payment_Code]]="S",My_Payment[[#This Row],[Total AMT]]/2,IF(My_Payment[[#This Row],[Payment_Code]]="P",My_Payment[[#This Row],[Total AMT]],0))</f>
        <v>1267.5899999999999</v>
      </c>
      <c r="J1365" s="39">
        <f>IF(My_Payment[[#This Row],[Payment_Code]]="S",My_Payment[[#This Row],[Total AMT]]/2,IF(My_Payment[[#This Row],[Payment_Code]]="N",My_Payment[[#This Row],[Total AMT]],0))</f>
        <v>0</v>
      </c>
    </row>
    <row r="1366" spans="1:10">
      <c r="A1366" s="38">
        <v>46394</v>
      </c>
      <c r="B1366" s="37" t="s">
        <v>298</v>
      </c>
      <c r="C1366" s="37" t="s">
        <v>299</v>
      </c>
      <c r="D1366" s="37" t="s">
        <v>694</v>
      </c>
      <c r="E1366" s="37" t="s">
        <v>607</v>
      </c>
      <c r="F1366" s="38">
        <v>46419</v>
      </c>
      <c r="G1366" s="37" t="s">
        <v>215</v>
      </c>
      <c r="H1366" s="40">
        <v>1267.5899999999999</v>
      </c>
      <c r="I1366" s="39">
        <f>IF(My_Payment[[#This Row],[Payment_Code]]="S",My_Payment[[#This Row],[Total AMT]]/2,IF(My_Payment[[#This Row],[Payment_Code]]="P",My_Payment[[#This Row],[Total AMT]],0))</f>
        <v>1267.5899999999999</v>
      </c>
      <c r="J1366" s="39">
        <f>IF(My_Payment[[#This Row],[Payment_Code]]="S",My_Payment[[#This Row],[Total AMT]]/2,IF(My_Payment[[#This Row],[Payment_Code]]="N",My_Payment[[#This Row],[Total AMT]],0))</f>
        <v>0</v>
      </c>
    </row>
    <row r="1367" spans="1:10">
      <c r="A1367" s="38">
        <v>46425</v>
      </c>
      <c r="B1367" s="37" t="s">
        <v>298</v>
      </c>
      <c r="C1367" s="37" t="s">
        <v>299</v>
      </c>
      <c r="D1367" s="37" t="s">
        <v>694</v>
      </c>
      <c r="E1367" s="37" t="s">
        <v>608</v>
      </c>
      <c r="F1367" s="38">
        <v>46447</v>
      </c>
      <c r="G1367" s="37" t="s">
        <v>215</v>
      </c>
      <c r="H1367" s="40">
        <v>1267.5899999999999</v>
      </c>
      <c r="I1367" s="39">
        <f>IF(My_Payment[[#This Row],[Payment_Code]]="S",My_Payment[[#This Row],[Total AMT]]/2,IF(My_Payment[[#This Row],[Payment_Code]]="P",My_Payment[[#This Row],[Total AMT]],0))</f>
        <v>1267.5899999999999</v>
      </c>
      <c r="J1367" s="39">
        <f>IF(My_Payment[[#This Row],[Payment_Code]]="S",My_Payment[[#This Row],[Total AMT]]/2,IF(My_Payment[[#This Row],[Payment_Code]]="N",My_Payment[[#This Row],[Total AMT]],0))</f>
        <v>0</v>
      </c>
    </row>
    <row r="1368" spans="1:10">
      <c r="A1368" s="38">
        <v>46453</v>
      </c>
      <c r="B1368" s="37" t="s">
        <v>298</v>
      </c>
      <c r="C1368" s="37" t="s">
        <v>299</v>
      </c>
      <c r="D1368" s="37" t="s">
        <v>694</v>
      </c>
      <c r="E1368" s="37" t="s">
        <v>609</v>
      </c>
      <c r="F1368" s="38">
        <v>46478</v>
      </c>
      <c r="G1368" s="37" t="s">
        <v>215</v>
      </c>
      <c r="H1368" s="40">
        <v>1267.5899999999999</v>
      </c>
      <c r="I1368" s="39">
        <f>IF(My_Payment[[#This Row],[Payment_Code]]="S",My_Payment[[#This Row],[Total AMT]]/2,IF(My_Payment[[#This Row],[Payment_Code]]="P",My_Payment[[#This Row],[Total AMT]],0))</f>
        <v>1267.5899999999999</v>
      </c>
      <c r="J1368" s="39">
        <f>IF(My_Payment[[#This Row],[Payment_Code]]="S",My_Payment[[#This Row],[Total AMT]]/2,IF(My_Payment[[#This Row],[Payment_Code]]="N",My_Payment[[#This Row],[Total AMT]],0))</f>
        <v>0</v>
      </c>
    </row>
    <row r="1369" spans="1:10">
      <c r="A1369" s="38">
        <v>46484</v>
      </c>
      <c r="B1369" s="37" t="s">
        <v>298</v>
      </c>
      <c r="C1369" s="37" t="s">
        <v>299</v>
      </c>
      <c r="D1369" s="37" t="s">
        <v>694</v>
      </c>
      <c r="E1369" s="37" t="s">
        <v>610</v>
      </c>
      <c r="F1369" s="38">
        <v>46508</v>
      </c>
      <c r="G1369" s="37" t="s">
        <v>215</v>
      </c>
      <c r="H1369" s="40">
        <v>1267.5899999999999</v>
      </c>
      <c r="I1369" s="39">
        <f>IF(My_Payment[[#This Row],[Payment_Code]]="S",My_Payment[[#This Row],[Total AMT]]/2,IF(My_Payment[[#This Row],[Payment_Code]]="P",My_Payment[[#This Row],[Total AMT]],0))</f>
        <v>1267.5899999999999</v>
      </c>
      <c r="J1369" s="39">
        <f>IF(My_Payment[[#This Row],[Payment_Code]]="S",My_Payment[[#This Row],[Total AMT]]/2,IF(My_Payment[[#This Row],[Payment_Code]]="N",My_Payment[[#This Row],[Total AMT]],0))</f>
        <v>0</v>
      </c>
    </row>
    <row r="1370" spans="1:10">
      <c r="A1370" s="38">
        <v>46514</v>
      </c>
      <c r="B1370" s="37" t="s">
        <v>298</v>
      </c>
      <c r="C1370" s="37" t="s">
        <v>299</v>
      </c>
      <c r="D1370" s="37" t="s">
        <v>694</v>
      </c>
      <c r="E1370" s="37" t="s">
        <v>611</v>
      </c>
      <c r="F1370" s="38">
        <v>46539</v>
      </c>
      <c r="G1370" s="37" t="s">
        <v>215</v>
      </c>
      <c r="H1370" s="40">
        <v>1267.5899999999999</v>
      </c>
      <c r="I1370" s="39">
        <f>IF(My_Payment[[#This Row],[Payment_Code]]="S",My_Payment[[#This Row],[Total AMT]]/2,IF(My_Payment[[#This Row],[Payment_Code]]="P",My_Payment[[#This Row],[Total AMT]],0))</f>
        <v>1267.5899999999999</v>
      </c>
      <c r="J1370" s="39">
        <f>IF(My_Payment[[#This Row],[Payment_Code]]="S",My_Payment[[#This Row],[Total AMT]]/2,IF(My_Payment[[#This Row],[Payment_Code]]="N",My_Payment[[#This Row],[Total AMT]],0))</f>
        <v>0</v>
      </c>
    </row>
    <row r="1371" spans="1:10">
      <c r="A1371" s="38">
        <v>46545</v>
      </c>
      <c r="B1371" s="37" t="s">
        <v>298</v>
      </c>
      <c r="C1371" s="37" t="s">
        <v>299</v>
      </c>
      <c r="D1371" s="37" t="s">
        <v>694</v>
      </c>
      <c r="E1371" s="37" t="s">
        <v>612</v>
      </c>
      <c r="F1371" s="38">
        <v>46569</v>
      </c>
      <c r="G1371" s="37" t="s">
        <v>215</v>
      </c>
      <c r="H1371" s="40">
        <v>1267.5899999999999</v>
      </c>
      <c r="I1371" s="39">
        <f>IF(My_Payment[[#This Row],[Payment_Code]]="S",My_Payment[[#This Row],[Total AMT]]/2,IF(My_Payment[[#This Row],[Payment_Code]]="P",My_Payment[[#This Row],[Total AMT]],0))</f>
        <v>1267.5899999999999</v>
      </c>
      <c r="J1371" s="39">
        <f>IF(My_Payment[[#This Row],[Payment_Code]]="S",My_Payment[[#This Row],[Total AMT]]/2,IF(My_Payment[[#This Row],[Payment_Code]]="N",My_Payment[[#This Row],[Total AMT]],0))</f>
        <v>0</v>
      </c>
    </row>
    <row r="1372" spans="1:10">
      <c r="A1372" s="38">
        <v>46575</v>
      </c>
      <c r="B1372" s="37" t="s">
        <v>298</v>
      </c>
      <c r="C1372" s="37" t="s">
        <v>299</v>
      </c>
      <c r="D1372" s="37" t="s">
        <v>694</v>
      </c>
      <c r="E1372" s="37" t="s">
        <v>613</v>
      </c>
      <c r="F1372" s="38">
        <v>46600</v>
      </c>
      <c r="G1372" s="37" t="s">
        <v>215</v>
      </c>
      <c r="H1372" s="40">
        <v>1267.5899999999999</v>
      </c>
      <c r="I1372" s="39">
        <f>IF(My_Payment[[#This Row],[Payment_Code]]="S",My_Payment[[#This Row],[Total AMT]]/2,IF(My_Payment[[#This Row],[Payment_Code]]="P",My_Payment[[#This Row],[Total AMT]],0))</f>
        <v>1267.5899999999999</v>
      </c>
      <c r="J1372" s="39">
        <f>IF(My_Payment[[#This Row],[Payment_Code]]="S",My_Payment[[#This Row],[Total AMT]]/2,IF(My_Payment[[#This Row],[Payment_Code]]="N",My_Payment[[#This Row],[Total AMT]],0))</f>
        <v>0</v>
      </c>
    </row>
    <row r="1373" spans="1:10">
      <c r="A1373" s="38">
        <v>46606</v>
      </c>
      <c r="B1373" s="37" t="s">
        <v>298</v>
      </c>
      <c r="C1373" s="37" t="s">
        <v>299</v>
      </c>
      <c r="D1373" s="37" t="s">
        <v>694</v>
      </c>
      <c r="E1373" s="37" t="s">
        <v>614</v>
      </c>
      <c r="F1373" s="38">
        <v>46631</v>
      </c>
      <c r="G1373" s="37" t="s">
        <v>215</v>
      </c>
      <c r="H1373" s="40">
        <v>1267.5899999999999</v>
      </c>
      <c r="I1373" s="39">
        <f>IF(My_Payment[[#This Row],[Payment_Code]]="S",My_Payment[[#This Row],[Total AMT]]/2,IF(My_Payment[[#This Row],[Payment_Code]]="P",My_Payment[[#This Row],[Total AMT]],0))</f>
        <v>1267.5899999999999</v>
      </c>
      <c r="J1373" s="39">
        <f>IF(My_Payment[[#This Row],[Payment_Code]]="S",My_Payment[[#This Row],[Total AMT]]/2,IF(My_Payment[[#This Row],[Payment_Code]]="N",My_Payment[[#This Row],[Total AMT]],0))</f>
        <v>0</v>
      </c>
    </row>
    <row r="1374" spans="1:10">
      <c r="A1374" s="38">
        <v>46637</v>
      </c>
      <c r="B1374" s="37" t="s">
        <v>298</v>
      </c>
      <c r="C1374" s="37" t="s">
        <v>299</v>
      </c>
      <c r="D1374" s="37" t="s">
        <v>694</v>
      </c>
      <c r="E1374" s="37" t="s">
        <v>615</v>
      </c>
      <c r="F1374" s="38">
        <v>46661</v>
      </c>
      <c r="G1374" s="37" t="s">
        <v>215</v>
      </c>
      <c r="H1374" s="40">
        <v>1267.5899999999999</v>
      </c>
      <c r="I1374" s="39">
        <f>IF(My_Payment[[#This Row],[Payment_Code]]="S",My_Payment[[#This Row],[Total AMT]]/2,IF(My_Payment[[#This Row],[Payment_Code]]="P",My_Payment[[#This Row],[Total AMT]],0))</f>
        <v>1267.5899999999999</v>
      </c>
      <c r="J1374" s="39">
        <f>IF(My_Payment[[#This Row],[Payment_Code]]="S",My_Payment[[#This Row],[Total AMT]]/2,IF(My_Payment[[#This Row],[Payment_Code]]="N",My_Payment[[#This Row],[Total AMT]],0))</f>
        <v>0</v>
      </c>
    </row>
    <row r="1375" spans="1:10">
      <c r="A1375" s="38">
        <v>46667</v>
      </c>
      <c r="B1375" s="37" t="s">
        <v>298</v>
      </c>
      <c r="C1375" s="37" t="s">
        <v>299</v>
      </c>
      <c r="D1375" s="37" t="s">
        <v>694</v>
      </c>
      <c r="E1375" s="37" t="s">
        <v>616</v>
      </c>
      <c r="F1375" s="38">
        <v>46692</v>
      </c>
      <c r="G1375" s="37" t="s">
        <v>215</v>
      </c>
      <c r="H1375" s="40">
        <v>1267.5899999999999</v>
      </c>
      <c r="I1375" s="39">
        <f>IF(My_Payment[[#This Row],[Payment_Code]]="S",My_Payment[[#This Row],[Total AMT]]/2,IF(My_Payment[[#This Row],[Payment_Code]]="P",My_Payment[[#This Row],[Total AMT]],0))</f>
        <v>1267.5899999999999</v>
      </c>
      <c r="J1375" s="39">
        <f>IF(My_Payment[[#This Row],[Payment_Code]]="S",My_Payment[[#This Row],[Total AMT]]/2,IF(My_Payment[[#This Row],[Payment_Code]]="N",My_Payment[[#This Row],[Total AMT]],0))</f>
        <v>0</v>
      </c>
    </row>
    <row r="1376" spans="1:10">
      <c r="A1376" s="38">
        <v>46698</v>
      </c>
      <c r="B1376" s="37" t="s">
        <v>298</v>
      </c>
      <c r="C1376" s="37" t="s">
        <v>299</v>
      </c>
      <c r="D1376" s="37" t="s">
        <v>694</v>
      </c>
      <c r="E1376" s="37" t="s">
        <v>617</v>
      </c>
      <c r="F1376" s="38">
        <v>46722</v>
      </c>
      <c r="G1376" s="37" t="s">
        <v>215</v>
      </c>
      <c r="H1376" s="40">
        <v>1267.5899999999999</v>
      </c>
      <c r="I1376" s="39">
        <f>IF(My_Payment[[#This Row],[Payment_Code]]="S",My_Payment[[#This Row],[Total AMT]]/2,IF(My_Payment[[#This Row],[Payment_Code]]="P",My_Payment[[#This Row],[Total AMT]],0))</f>
        <v>1267.5899999999999</v>
      </c>
      <c r="J1376" s="39">
        <f>IF(My_Payment[[#This Row],[Payment_Code]]="S",My_Payment[[#This Row],[Total AMT]]/2,IF(My_Payment[[#This Row],[Payment_Code]]="N",My_Payment[[#This Row],[Total AMT]],0))</f>
        <v>0</v>
      </c>
    </row>
    <row r="1377" spans="1:10">
      <c r="A1377" s="38">
        <v>46728</v>
      </c>
      <c r="B1377" s="37" t="s">
        <v>298</v>
      </c>
      <c r="C1377" s="37" t="s">
        <v>299</v>
      </c>
      <c r="D1377" s="37" t="s">
        <v>694</v>
      </c>
      <c r="E1377" s="37" t="s">
        <v>618</v>
      </c>
      <c r="F1377" s="38">
        <v>46753</v>
      </c>
      <c r="G1377" s="37" t="s">
        <v>215</v>
      </c>
      <c r="H1377" s="40">
        <v>1267.5899999999999</v>
      </c>
      <c r="I1377" s="39">
        <f>IF(My_Payment[[#This Row],[Payment_Code]]="S",My_Payment[[#This Row],[Total AMT]]/2,IF(My_Payment[[#This Row],[Payment_Code]]="P",My_Payment[[#This Row],[Total AMT]],0))</f>
        <v>1267.5899999999999</v>
      </c>
      <c r="J1377" s="39">
        <f>IF(My_Payment[[#This Row],[Payment_Code]]="S",My_Payment[[#This Row],[Total AMT]]/2,IF(My_Payment[[#This Row],[Payment_Code]]="N",My_Payment[[#This Row],[Total AMT]],0))</f>
        <v>0</v>
      </c>
    </row>
    <row r="1378" spans="1:10">
      <c r="A1378" s="38">
        <v>46759</v>
      </c>
      <c r="B1378" s="37" t="s">
        <v>298</v>
      </c>
      <c r="C1378" s="37" t="s">
        <v>299</v>
      </c>
      <c r="D1378" s="37" t="s">
        <v>694</v>
      </c>
      <c r="E1378" s="37" t="s">
        <v>620</v>
      </c>
      <c r="F1378" s="38">
        <v>46784</v>
      </c>
      <c r="G1378" s="37" t="s">
        <v>215</v>
      </c>
      <c r="H1378" s="40">
        <v>1267.5899999999999</v>
      </c>
      <c r="I1378" s="39">
        <f>IF(My_Payment[[#This Row],[Payment_Code]]="S",My_Payment[[#This Row],[Total AMT]]/2,IF(My_Payment[[#This Row],[Payment_Code]]="P",My_Payment[[#This Row],[Total AMT]],0))</f>
        <v>1267.5899999999999</v>
      </c>
      <c r="J1378" s="39">
        <f>IF(My_Payment[[#This Row],[Payment_Code]]="S",My_Payment[[#This Row],[Total AMT]]/2,IF(My_Payment[[#This Row],[Payment_Code]]="N",My_Payment[[#This Row],[Total AMT]],0))</f>
        <v>0</v>
      </c>
    </row>
    <row r="1379" spans="1:10">
      <c r="A1379" s="38">
        <v>46790</v>
      </c>
      <c r="B1379" s="37" t="s">
        <v>298</v>
      </c>
      <c r="C1379" s="37" t="s">
        <v>299</v>
      </c>
      <c r="D1379" s="37" t="s">
        <v>694</v>
      </c>
      <c r="E1379" s="37" t="s">
        <v>622</v>
      </c>
      <c r="F1379" s="38">
        <v>46813</v>
      </c>
      <c r="G1379" s="37" t="s">
        <v>215</v>
      </c>
      <c r="H1379" s="40">
        <v>1267.5899999999999</v>
      </c>
      <c r="I1379" s="39">
        <f>IF(My_Payment[[#This Row],[Payment_Code]]="S",My_Payment[[#This Row],[Total AMT]]/2,IF(My_Payment[[#This Row],[Payment_Code]]="P",My_Payment[[#This Row],[Total AMT]],0))</f>
        <v>1267.5899999999999</v>
      </c>
      <c r="J1379" s="39">
        <f>IF(My_Payment[[#This Row],[Payment_Code]]="S",My_Payment[[#This Row],[Total AMT]]/2,IF(My_Payment[[#This Row],[Payment_Code]]="N",My_Payment[[#This Row],[Total AMT]],0))</f>
        <v>0</v>
      </c>
    </row>
    <row r="1380" spans="1:10">
      <c r="A1380" s="38">
        <v>46819</v>
      </c>
      <c r="B1380" s="37" t="s">
        <v>298</v>
      </c>
      <c r="C1380" s="37" t="s">
        <v>299</v>
      </c>
      <c r="D1380" s="37" t="s">
        <v>694</v>
      </c>
      <c r="E1380" s="37" t="s">
        <v>623</v>
      </c>
      <c r="F1380" s="38">
        <v>46844</v>
      </c>
      <c r="G1380" s="37" t="s">
        <v>215</v>
      </c>
      <c r="H1380" s="40">
        <v>1267.5899999999999</v>
      </c>
      <c r="I1380" s="39">
        <f>IF(My_Payment[[#This Row],[Payment_Code]]="S",My_Payment[[#This Row],[Total AMT]]/2,IF(My_Payment[[#This Row],[Payment_Code]]="P",My_Payment[[#This Row],[Total AMT]],0))</f>
        <v>1267.5899999999999</v>
      </c>
      <c r="J1380" s="39">
        <f>IF(My_Payment[[#This Row],[Payment_Code]]="S",My_Payment[[#This Row],[Total AMT]]/2,IF(My_Payment[[#This Row],[Payment_Code]]="N",My_Payment[[#This Row],[Total AMT]],0))</f>
        <v>0</v>
      </c>
    </row>
    <row r="1381" spans="1:10">
      <c r="A1381" s="38">
        <v>46850</v>
      </c>
      <c r="B1381" s="37" t="s">
        <v>298</v>
      </c>
      <c r="C1381" s="37" t="s">
        <v>299</v>
      </c>
      <c r="D1381" s="37" t="s">
        <v>694</v>
      </c>
      <c r="E1381" s="37" t="s">
        <v>624</v>
      </c>
      <c r="F1381" s="38">
        <v>46874</v>
      </c>
      <c r="G1381" s="37" t="s">
        <v>215</v>
      </c>
      <c r="H1381" s="40">
        <v>1267.5899999999999</v>
      </c>
      <c r="I1381" s="39">
        <f>IF(My_Payment[[#This Row],[Payment_Code]]="S",My_Payment[[#This Row],[Total AMT]]/2,IF(My_Payment[[#This Row],[Payment_Code]]="P",My_Payment[[#This Row],[Total AMT]],0))</f>
        <v>1267.5899999999999</v>
      </c>
      <c r="J1381" s="39">
        <f>IF(My_Payment[[#This Row],[Payment_Code]]="S",My_Payment[[#This Row],[Total AMT]]/2,IF(My_Payment[[#This Row],[Payment_Code]]="N",My_Payment[[#This Row],[Total AMT]],0))</f>
        <v>0</v>
      </c>
    </row>
    <row r="1382" spans="1:10">
      <c r="A1382" s="38">
        <v>46880</v>
      </c>
      <c r="B1382" s="37" t="s">
        <v>298</v>
      </c>
      <c r="C1382" s="37" t="s">
        <v>299</v>
      </c>
      <c r="D1382" s="37" t="s">
        <v>694</v>
      </c>
      <c r="E1382" s="37" t="s">
        <v>625</v>
      </c>
      <c r="F1382" s="38">
        <v>46905</v>
      </c>
      <c r="G1382" s="37" t="s">
        <v>215</v>
      </c>
      <c r="H1382" s="40">
        <v>1267.5899999999999</v>
      </c>
      <c r="I1382" s="39">
        <f>IF(My_Payment[[#This Row],[Payment_Code]]="S",My_Payment[[#This Row],[Total AMT]]/2,IF(My_Payment[[#This Row],[Payment_Code]]="P",My_Payment[[#This Row],[Total AMT]],0))</f>
        <v>1267.5899999999999</v>
      </c>
      <c r="J1382" s="39">
        <f>IF(My_Payment[[#This Row],[Payment_Code]]="S",My_Payment[[#This Row],[Total AMT]]/2,IF(My_Payment[[#This Row],[Payment_Code]]="N",My_Payment[[#This Row],[Total AMT]],0))</f>
        <v>0</v>
      </c>
    </row>
    <row r="1383" spans="1:10">
      <c r="A1383" s="38">
        <v>46911</v>
      </c>
      <c r="B1383" s="37" t="s">
        <v>298</v>
      </c>
      <c r="C1383" s="37" t="s">
        <v>299</v>
      </c>
      <c r="D1383" s="37" t="s">
        <v>694</v>
      </c>
      <c r="E1383" s="37" t="s">
        <v>626</v>
      </c>
      <c r="F1383" s="38">
        <v>46935</v>
      </c>
      <c r="G1383" s="37" t="s">
        <v>215</v>
      </c>
      <c r="H1383" s="40">
        <v>1267.5899999999999</v>
      </c>
      <c r="I1383" s="39">
        <f>IF(My_Payment[[#This Row],[Payment_Code]]="S",My_Payment[[#This Row],[Total AMT]]/2,IF(My_Payment[[#This Row],[Payment_Code]]="P",My_Payment[[#This Row],[Total AMT]],0))</f>
        <v>1267.5899999999999</v>
      </c>
      <c r="J1383" s="39">
        <f>IF(My_Payment[[#This Row],[Payment_Code]]="S",My_Payment[[#This Row],[Total AMT]]/2,IF(My_Payment[[#This Row],[Payment_Code]]="N",My_Payment[[#This Row],[Total AMT]],0))</f>
        <v>0</v>
      </c>
    </row>
    <row r="1384" spans="1:10">
      <c r="A1384" s="38">
        <v>46941</v>
      </c>
      <c r="B1384" s="37" t="s">
        <v>298</v>
      </c>
      <c r="C1384" s="37" t="s">
        <v>299</v>
      </c>
      <c r="D1384" s="37" t="s">
        <v>694</v>
      </c>
      <c r="E1384" s="37" t="s">
        <v>627</v>
      </c>
      <c r="F1384" s="38">
        <v>46966</v>
      </c>
      <c r="G1384" s="37" t="s">
        <v>215</v>
      </c>
      <c r="H1384" s="40">
        <v>1267.5899999999999</v>
      </c>
      <c r="I1384" s="39">
        <f>IF(My_Payment[[#This Row],[Payment_Code]]="S",My_Payment[[#This Row],[Total AMT]]/2,IF(My_Payment[[#This Row],[Payment_Code]]="P",My_Payment[[#This Row],[Total AMT]],0))</f>
        <v>1267.5899999999999</v>
      </c>
      <c r="J1384" s="39">
        <f>IF(My_Payment[[#This Row],[Payment_Code]]="S",My_Payment[[#This Row],[Total AMT]]/2,IF(My_Payment[[#This Row],[Payment_Code]]="N",My_Payment[[#This Row],[Total AMT]],0))</f>
        <v>0</v>
      </c>
    </row>
    <row r="1385" spans="1:10">
      <c r="A1385" s="38">
        <v>46972</v>
      </c>
      <c r="B1385" s="37" t="s">
        <v>298</v>
      </c>
      <c r="C1385" s="37" t="s">
        <v>299</v>
      </c>
      <c r="D1385" s="37" t="s">
        <v>694</v>
      </c>
      <c r="E1385" s="37" t="s">
        <v>628</v>
      </c>
      <c r="F1385" s="38">
        <v>46997</v>
      </c>
      <c r="G1385" s="37" t="s">
        <v>215</v>
      </c>
      <c r="H1385" s="40">
        <v>1267.5899999999999</v>
      </c>
      <c r="I1385" s="39">
        <f>IF(My_Payment[[#This Row],[Payment_Code]]="S",My_Payment[[#This Row],[Total AMT]]/2,IF(My_Payment[[#This Row],[Payment_Code]]="P",My_Payment[[#This Row],[Total AMT]],0))</f>
        <v>1267.5899999999999</v>
      </c>
      <c r="J1385" s="39">
        <f>IF(My_Payment[[#This Row],[Payment_Code]]="S",My_Payment[[#This Row],[Total AMT]]/2,IF(My_Payment[[#This Row],[Payment_Code]]="N",My_Payment[[#This Row],[Total AMT]],0))</f>
        <v>0</v>
      </c>
    </row>
    <row r="1386" spans="1:10">
      <c r="A1386" s="38">
        <v>47003</v>
      </c>
      <c r="B1386" s="37" t="s">
        <v>298</v>
      </c>
      <c r="C1386" s="37" t="s">
        <v>299</v>
      </c>
      <c r="D1386" s="37" t="s">
        <v>694</v>
      </c>
      <c r="E1386" s="37" t="s">
        <v>629</v>
      </c>
      <c r="F1386" s="38">
        <v>47027</v>
      </c>
      <c r="G1386" s="37" t="s">
        <v>215</v>
      </c>
      <c r="H1386" s="40">
        <v>1267.5899999999999</v>
      </c>
      <c r="I1386" s="39">
        <f>IF(My_Payment[[#This Row],[Payment_Code]]="S",My_Payment[[#This Row],[Total AMT]]/2,IF(My_Payment[[#This Row],[Payment_Code]]="P",My_Payment[[#This Row],[Total AMT]],0))</f>
        <v>1267.5899999999999</v>
      </c>
      <c r="J1386" s="39">
        <f>IF(My_Payment[[#This Row],[Payment_Code]]="S",My_Payment[[#This Row],[Total AMT]]/2,IF(My_Payment[[#This Row],[Payment_Code]]="N",My_Payment[[#This Row],[Total AMT]],0))</f>
        <v>0</v>
      </c>
    </row>
    <row r="1387" spans="1:10">
      <c r="A1387" s="38">
        <v>47033</v>
      </c>
      <c r="B1387" s="37" t="s">
        <v>298</v>
      </c>
      <c r="C1387" s="37" t="s">
        <v>299</v>
      </c>
      <c r="D1387" s="37" t="s">
        <v>694</v>
      </c>
      <c r="E1387" s="37" t="s">
        <v>630</v>
      </c>
      <c r="F1387" s="38">
        <v>47058</v>
      </c>
      <c r="G1387" s="37" t="s">
        <v>215</v>
      </c>
      <c r="H1387" s="40">
        <v>1267.5899999999999</v>
      </c>
      <c r="I1387" s="39">
        <f>IF(My_Payment[[#This Row],[Payment_Code]]="S",My_Payment[[#This Row],[Total AMT]]/2,IF(My_Payment[[#This Row],[Payment_Code]]="P",My_Payment[[#This Row],[Total AMT]],0))</f>
        <v>1267.5899999999999</v>
      </c>
      <c r="J1387" s="39">
        <f>IF(My_Payment[[#This Row],[Payment_Code]]="S",My_Payment[[#This Row],[Total AMT]]/2,IF(My_Payment[[#This Row],[Payment_Code]]="N",My_Payment[[#This Row],[Total AMT]],0))</f>
        <v>0</v>
      </c>
    </row>
    <row r="1388" spans="1:10">
      <c r="A1388" s="38">
        <v>47064</v>
      </c>
      <c r="B1388" s="37" t="s">
        <v>298</v>
      </c>
      <c r="C1388" s="37" t="s">
        <v>299</v>
      </c>
      <c r="D1388" s="37" t="s">
        <v>694</v>
      </c>
      <c r="E1388" s="37" t="s">
        <v>631</v>
      </c>
      <c r="F1388" s="38">
        <v>47088</v>
      </c>
      <c r="G1388" s="37" t="s">
        <v>215</v>
      </c>
      <c r="H1388" s="40">
        <v>1267.5899999999999</v>
      </c>
      <c r="I1388" s="39">
        <f>IF(My_Payment[[#This Row],[Payment_Code]]="S",My_Payment[[#This Row],[Total AMT]]/2,IF(My_Payment[[#This Row],[Payment_Code]]="P",My_Payment[[#This Row],[Total AMT]],0))</f>
        <v>1267.5899999999999</v>
      </c>
      <c r="J1388" s="39">
        <f>IF(My_Payment[[#This Row],[Payment_Code]]="S",My_Payment[[#This Row],[Total AMT]]/2,IF(My_Payment[[#This Row],[Payment_Code]]="N",My_Payment[[#This Row],[Total AMT]],0))</f>
        <v>0</v>
      </c>
    </row>
    <row r="1389" spans="1:10">
      <c r="A1389" s="38">
        <v>47094</v>
      </c>
      <c r="B1389" s="37" t="s">
        <v>298</v>
      </c>
      <c r="C1389" s="37" t="s">
        <v>299</v>
      </c>
      <c r="D1389" s="37" t="s">
        <v>694</v>
      </c>
      <c r="E1389" s="37" t="s">
        <v>632</v>
      </c>
      <c r="F1389" s="38">
        <v>47119</v>
      </c>
      <c r="G1389" s="37" t="s">
        <v>215</v>
      </c>
      <c r="H1389" s="40">
        <v>1267.5899999999999</v>
      </c>
      <c r="I1389" s="39">
        <f>IF(My_Payment[[#This Row],[Payment_Code]]="S",My_Payment[[#This Row],[Total AMT]]/2,IF(My_Payment[[#This Row],[Payment_Code]]="P",My_Payment[[#This Row],[Total AMT]],0))</f>
        <v>1267.5899999999999</v>
      </c>
      <c r="J1389" s="39">
        <f>IF(My_Payment[[#This Row],[Payment_Code]]="S",My_Payment[[#This Row],[Total AMT]]/2,IF(My_Payment[[#This Row],[Payment_Code]]="N",My_Payment[[#This Row],[Total AMT]],0))</f>
        <v>0</v>
      </c>
    </row>
    <row r="1390" spans="1:10">
      <c r="A1390" s="38">
        <v>47125</v>
      </c>
      <c r="B1390" s="37" t="s">
        <v>298</v>
      </c>
      <c r="C1390" s="37" t="s">
        <v>299</v>
      </c>
      <c r="D1390" s="37" t="s">
        <v>694</v>
      </c>
      <c r="E1390" s="37" t="s">
        <v>619</v>
      </c>
      <c r="F1390" s="38">
        <v>47150</v>
      </c>
      <c r="G1390" s="37" t="s">
        <v>215</v>
      </c>
      <c r="H1390" s="40">
        <v>1267.3499999999999</v>
      </c>
      <c r="I1390" s="39">
        <f>IF(My_Payment[[#This Row],[Payment_Code]]="S",My_Payment[[#This Row],[Total AMT]]/2,IF(My_Payment[[#This Row],[Payment_Code]]="P",My_Payment[[#This Row],[Total AMT]],0))</f>
        <v>1267.3499999999999</v>
      </c>
      <c r="J1390" s="39">
        <f>IF(My_Payment[[#This Row],[Payment_Code]]="S",My_Payment[[#This Row],[Total AMT]]/2,IF(My_Payment[[#This Row],[Payment_Code]]="N",My_Payment[[#This Row],[Total AMT]],0))</f>
        <v>0</v>
      </c>
    </row>
    <row r="1391" spans="1:10">
      <c r="A1391" s="38">
        <v>45990</v>
      </c>
      <c r="B1391" s="37" t="s">
        <v>345</v>
      </c>
      <c r="C1391" s="37" t="s">
        <v>248</v>
      </c>
      <c r="D1391" s="37" t="s">
        <v>471</v>
      </c>
      <c r="E1391" s="37" t="s">
        <v>211</v>
      </c>
      <c r="F1391" s="38">
        <v>46024</v>
      </c>
      <c r="G1391" s="37" t="s">
        <v>212</v>
      </c>
      <c r="H1391" s="39">
        <v>1274</v>
      </c>
      <c r="I1391" s="39">
        <f>IF(My_Payment[[#This Row],[Payment_Code]]="S",My_Payment[[#This Row],[Total AMT]]/2,IF(My_Payment[[#This Row],[Payment_Code]]="P",My_Payment[[#This Row],[Total AMT]],0))</f>
        <v>637</v>
      </c>
      <c r="J1391" s="39">
        <f>IF(My_Payment[[#This Row],[Payment_Code]]="S",My_Payment[[#This Row],[Total AMT]]/2,IF(My_Payment[[#This Row],[Payment_Code]]="N",My_Payment[[#This Row],[Total AMT]],0))</f>
        <v>637</v>
      </c>
    </row>
    <row r="1392" spans="1:10">
      <c r="A1392" s="38">
        <v>46011</v>
      </c>
      <c r="B1392" s="37" t="s">
        <v>345</v>
      </c>
      <c r="C1392" s="37" t="s">
        <v>248</v>
      </c>
      <c r="D1392" s="37" t="s">
        <v>695</v>
      </c>
      <c r="E1392" s="37" t="s">
        <v>211</v>
      </c>
      <c r="F1392" s="38">
        <v>46055</v>
      </c>
      <c r="G1392" s="37" t="s">
        <v>212</v>
      </c>
      <c r="H1392" s="39">
        <v>1097</v>
      </c>
      <c r="I1392" s="39">
        <f>299+399</f>
        <v>698</v>
      </c>
      <c r="J1392" s="39">
        <v>399</v>
      </c>
    </row>
    <row r="1393" spans="1:10">
      <c r="A1393" s="38">
        <v>46022</v>
      </c>
      <c r="B1393" s="37" t="s">
        <v>345</v>
      </c>
      <c r="C1393" s="37" t="s">
        <v>248</v>
      </c>
      <c r="D1393" s="37" t="s">
        <v>478</v>
      </c>
      <c r="E1393" s="37" t="s">
        <v>211</v>
      </c>
      <c r="F1393" s="38">
        <v>46055</v>
      </c>
      <c r="G1393" s="37" t="s">
        <v>212</v>
      </c>
      <c r="H1393" s="39">
        <v>899.87</v>
      </c>
      <c r="I1393" s="39">
        <f>IF(My_Payment[[#This Row],[Payment_Code]]="S",My_Payment[[#This Row],[Total AMT]]/2,IF(My_Payment[[#This Row],[Payment_Code]]="P",My_Payment[[#This Row],[Total AMT]],0))</f>
        <v>449.935</v>
      </c>
      <c r="J1393" s="39">
        <f>IF(My_Payment[[#This Row],[Payment_Code]]="S",My_Payment[[#This Row],[Total AMT]]/2,IF(My_Payment[[#This Row],[Payment_Code]]="N",My_Payment[[#This Row],[Total AMT]],0))</f>
        <v>449.935</v>
      </c>
    </row>
    <row r="1394" spans="1:10">
      <c r="A1394" s="38">
        <v>46042</v>
      </c>
      <c r="B1394" s="37" t="s">
        <v>348</v>
      </c>
      <c r="C1394" s="37" t="s">
        <v>209</v>
      </c>
      <c r="D1394" s="37" t="s">
        <v>48</v>
      </c>
      <c r="E1394" s="37" t="s">
        <v>211</v>
      </c>
      <c r="F1394" s="38">
        <v>46082</v>
      </c>
      <c r="G1394" s="37" t="s">
        <v>215</v>
      </c>
      <c r="H1394" s="40">
        <f>(699+100-100)*1.07</f>
        <v>747.93000000000006</v>
      </c>
      <c r="I1394" s="39">
        <f>IF(My_Payment[[#This Row],[Payment_Code]]="S",My_Payment[[#This Row],[Total AMT]]/2,IF(My_Payment[[#This Row],[Payment_Code]]="P",My_Payment[[#This Row],[Total AMT]],0))</f>
        <v>747.93000000000006</v>
      </c>
      <c r="J1394" s="39">
        <f>IF(My_Payment[[#This Row],[Payment_Code]]="S",My_Payment[[#This Row],[Total AMT]]/2,IF(My_Payment[[#This Row],[Payment_Code]]="N",My_Payment[[#This Row],[Total AMT]],0))</f>
        <v>0</v>
      </c>
    </row>
    <row r="1395" spans="1:10">
      <c r="A1395" s="38">
        <v>46042</v>
      </c>
      <c r="B1395" s="37" t="s">
        <v>348</v>
      </c>
      <c r="C1395" s="37" t="s">
        <v>209</v>
      </c>
      <c r="D1395" s="37" t="s">
        <v>49</v>
      </c>
      <c r="E1395" s="37" t="s">
        <v>211</v>
      </c>
      <c r="F1395" s="38">
        <v>46082</v>
      </c>
      <c r="G1395" s="37" t="s">
        <v>215</v>
      </c>
      <c r="H1395" s="40">
        <f>(1070-171-199)*1.07</f>
        <v>749</v>
      </c>
      <c r="I1395" s="39">
        <f>IF(My_Payment[[#This Row],[Payment_Code]]="S",My_Payment[[#This Row],[Total AMT]]/2,IF(My_Payment[[#This Row],[Payment_Code]]="P",My_Payment[[#This Row],[Total AMT]],0))</f>
        <v>749</v>
      </c>
      <c r="J1395" s="39">
        <f>IF(My_Payment[[#This Row],[Payment_Code]]="S",My_Payment[[#This Row],[Total AMT]]/2,IF(My_Payment[[#This Row],[Payment_Code]]="N",My_Payment[[#This Row],[Total AMT]],0))</f>
        <v>0</v>
      </c>
    </row>
    <row r="1396" spans="1:10">
      <c r="A1396" s="38">
        <v>46040</v>
      </c>
      <c r="B1396" s="37" t="s">
        <v>348</v>
      </c>
      <c r="C1396" s="37" t="s">
        <v>209</v>
      </c>
      <c r="D1396" s="37" t="s">
        <v>81</v>
      </c>
      <c r="E1396" s="37" t="s">
        <v>211</v>
      </c>
      <c r="F1396" s="38">
        <v>46082</v>
      </c>
      <c r="G1396" s="37" t="s">
        <v>215</v>
      </c>
      <c r="H1396" s="40">
        <f>699*1.07</f>
        <v>747.93000000000006</v>
      </c>
      <c r="I1396" s="39">
        <f>IF(My_Payment[[#This Row],[Payment_Code]]="S",My_Payment[[#This Row],[Total AMT]]/2,IF(My_Payment[[#This Row],[Payment_Code]]="P",My_Payment[[#This Row],[Total AMT]],0))</f>
        <v>747.93000000000006</v>
      </c>
      <c r="J1396" s="39">
        <f>IF(My_Payment[[#This Row],[Payment_Code]]="S",My_Payment[[#This Row],[Total AMT]]/2,IF(My_Payment[[#This Row],[Payment_Code]]="N",My_Payment[[#This Row],[Total AMT]],0))</f>
        <v>0</v>
      </c>
    </row>
    <row r="1397" spans="1:10">
      <c r="A1397" s="38">
        <v>46070</v>
      </c>
      <c r="B1397" s="37" t="s">
        <v>348</v>
      </c>
      <c r="C1397" s="37" t="s">
        <v>209</v>
      </c>
      <c r="D1397" s="37" t="s">
        <v>20</v>
      </c>
      <c r="E1397" s="37" t="s">
        <v>211</v>
      </c>
      <c r="F1397" s="38">
        <v>46082</v>
      </c>
      <c r="G1397" s="37" t="s">
        <v>215</v>
      </c>
      <c r="H1397" s="40">
        <f>SUM(H1394:H1396)*-0.25%</f>
        <v>-5.6121500000000006</v>
      </c>
      <c r="I1397" s="39">
        <f>IF(My_Payment[[#This Row],[Payment_Code]]="S",My_Payment[[#This Row],[Total AMT]]/2,IF(My_Payment[[#This Row],[Payment_Code]]="P",My_Payment[[#This Row],[Total AMT]],0))</f>
        <v>-5.6121500000000006</v>
      </c>
      <c r="J1397" s="39">
        <f>IF(My_Payment[[#This Row],[Payment_Code]]="S",My_Payment[[#This Row],[Total AMT]]/2,IF(My_Payment[[#This Row],[Payment_Code]]="N",My_Payment[[#This Row],[Total AMT]],0))</f>
        <v>0</v>
      </c>
    </row>
    <row r="1398" spans="1:10">
      <c r="A1398" s="38">
        <v>46071</v>
      </c>
      <c r="B1398" s="37" t="s">
        <v>305</v>
      </c>
      <c r="C1398" s="37" t="s">
        <v>226</v>
      </c>
      <c r="D1398" s="37" t="s">
        <v>688</v>
      </c>
      <c r="E1398" s="37" t="s">
        <v>327</v>
      </c>
      <c r="F1398" s="38">
        <v>46088</v>
      </c>
      <c r="G1398" s="37" t="s">
        <v>215</v>
      </c>
      <c r="H1398" s="39">
        <v>1247.76</v>
      </c>
      <c r="I1398" s="39">
        <f>IF(My_Payment[[#This Row],[Payment_Code]]="S",My_Payment[[#This Row],[Total AMT]]/2,IF(My_Payment[[#This Row],[Payment_Code]]="P",My_Payment[[#This Row],[Total AMT]],0))</f>
        <v>1247.76</v>
      </c>
      <c r="J1398" s="39">
        <f>IF(My_Payment[[#This Row],[Payment_Code]]="S",My_Payment[[#This Row],[Total AMT]]/2,IF(My_Payment[[#This Row],[Payment_Code]]="N",My_Payment[[#This Row],[Total AMT]],0))</f>
        <v>0</v>
      </c>
    </row>
    <row r="1399" spans="1:10">
      <c r="A1399" s="38">
        <v>46099</v>
      </c>
      <c r="B1399" s="37" t="s">
        <v>305</v>
      </c>
      <c r="C1399" s="37" t="s">
        <v>226</v>
      </c>
      <c r="D1399" s="37" t="s">
        <v>688</v>
      </c>
      <c r="E1399" s="37" t="s">
        <v>80</v>
      </c>
      <c r="F1399" s="38">
        <v>46119</v>
      </c>
      <c r="G1399" s="37" t="s">
        <v>215</v>
      </c>
      <c r="H1399" s="39">
        <v>1249.17</v>
      </c>
      <c r="I1399" s="39">
        <f>IF(My_Payment[[#This Row],[Payment_Code]]="S",My_Payment[[#This Row],[Total AMT]]/2,IF(My_Payment[[#This Row],[Payment_Code]]="P",My_Payment[[#This Row],[Total AMT]],0))</f>
        <v>1249.17</v>
      </c>
      <c r="J1399" s="39">
        <f>IF(My_Payment[[#This Row],[Payment_Code]]="S",My_Payment[[#This Row],[Total AMT]]/2,IF(My_Payment[[#This Row],[Payment_Code]]="N",My_Payment[[#This Row],[Total AMT]],0))</f>
        <v>0</v>
      </c>
    </row>
    <row r="1400" spans="1:10">
      <c r="A1400" s="38">
        <v>46012</v>
      </c>
      <c r="B1400" s="37" t="s">
        <v>305</v>
      </c>
      <c r="C1400" s="37" t="s">
        <v>226</v>
      </c>
      <c r="D1400" s="37" t="s">
        <v>696</v>
      </c>
      <c r="E1400" s="37" t="s">
        <v>211</v>
      </c>
      <c r="F1400" s="38">
        <v>46060</v>
      </c>
      <c r="G1400" s="37" t="s">
        <v>215</v>
      </c>
      <c r="H1400" s="39">
        <v>1000</v>
      </c>
      <c r="I1400" s="39">
        <f>IF(My_Payment[[#This Row],[Payment_Code]]="S",My_Payment[[#This Row],[Total AMT]]/2,IF(My_Payment[[#This Row],[Payment_Code]]="P",My_Payment[[#This Row],[Total AMT]],0))</f>
        <v>1000</v>
      </c>
      <c r="J1400" s="39">
        <f>IF(My_Payment[[#This Row],[Payment_Code]]="S",My_Payment[[#This Row],[Total AMT]]/2,IF(My_Payment[[#This Row],[Payment_Code]]="N",My_Payment[[#This Row],[Total AMT]],0))</f>
        <v>0</v>
      </c>
    </row>
    <row r="1401" spans="1:10">
      <c r="A1401" s="38">
        <v>46013</v>
      </c>
      <c r="B1401" s="37" t="s">
        <v>305</v>
      </c>
      <c r="C1401" s="37" t="s">
        <v>226</v>
      </c>
      <c r="D1401" s="37" t="s">
        <v>33</v>
      </c>
      <c r="E1401" s="37" t="s">
        <v>211</v>
      </c>
      <c r="F1401" s="38">
        <v>46060</v>
      </c>
      <c r="G1401" s="37" t="s">
        <v>215</v>
      </c>
      <c r="H1401" s="39">
        <v>295.2</v>
      </c>
      <c r="I1401" s="39">
        <f>IF(My_Payment[[#This Row],[Payment_Code]]="S",My_Payment[[#This Row],[Total AMT]]/2,IF(My_Payment[[#This Row],[Payment_Code]]="P",My_Payment[[#This Row],[Total AMT]],0))</f>
        <v>295.2</v>
      </c>
      <c r="J1401" s="39">
        <f>IF(My_Payment[[#This Row],[Payment_Code]]="S",My_Payment[[#This Row],[Total AMT]]/2,IF(My_Payment[[#This Row],[Payment_Code]]="N",My_Payment[[#This Row],[Total AMT]],0))</f>
        <v>0</v>
      </c>
    </row>
    <row r="1402" spans="1:10">
      <c r="A1402" s="38">
        <v>46016</v>
      </c>
      <c r="B1402" s="37" t="s">
        <v>305</v>
      </c>
      <c r="C1402" s="37" t="s">
        <v>226</v>
      </c>
      <c r="D1402" s="37" t="s">
        <v>680</v>
      </c>
      <c r="E1402" s="37" t="s">
        <v>211</v>
      </c>
      <c r="F1402" s="38">
        <v>46060</v>
      </c>
      <c r="G1402" s="37" t="s">
        <v>215</v>
      </c>
      <c r="H1402" s="39">
        <v>332</v>
      </c>
      <c r="I1402" s="39">
        <f>IF(My_Payment[[#This Row],[Payment_Code]]="S",My_Payment[[#This Row],[Total AMT]]/2,IF(My_Payment[[#This Row],[Payment_Code]]="P",My_Payment[[#This Row],[Total AMT]],0))</f>
        <v>332</v>
      </c>
      <c r="J1402" s="39">
        <f>IF(My_Payment[[#This Row],[Payment_Code]]="S",My_Payment[[#This Row],[Total AMT]]/2,IF(My_Payment[[#This Row],[Payment_Code]]="N",My_Payment[[#This Row],[Total AMT]],0))</f>
        <v>0</v>
      </c>
    </row>
    <row r="1403" spans="1:10">
      <c r="A1403" s="38">
        <v>46021</v>
      </c>
      <c r="B1403" s="37" t="s">
        <v>305</v>
      </c>
      <c r="C1403" s="37" t="s">
        <v>226</v>
      </c>
      <c r="D1403" s="37" t="s">
        <v>680</v>
      </c>
      <c r="E1403" s="37" t="s">
        <v>211</v>
      </c>
      <c r="F1403" s="38">
        <v>46060</v>
      </c>
      <c r="G1403" s="37" t="s">
        <v>215</v>
      </c>
      <c r="H1403" s="39">
        <v>332</v>
      </c>
      <c r="I1403" s="39">
        <f>IF(My_Payment[[#This Row],[Payment_Code]]="S",My_Payment[[#This Row],[Total AMT]]/2,IF(My_Payment[[#This Row],[Payment_Code]]="P",My_Payment[[#This Row],[Total AMT]],0))</f>
        <v>332</v>
      </c>
      <c r="J1403" s="39">
        <f>IF(My_Payment[[#This Row],[Payment_Code]]="S",My_Payment[[#This Row],[Total AMT]]/2,IF(My_Payment[[#This Row],[Payment_Code]]="N",My_Payment[[#This Row],[Total AMT]],0))</f>
        <v>0</v>
      </c>
    </row>
    <row r="1404" spans="1:10">
      <c r="A1404" s="38">
        <v>46021</v>
      </c>
      <c r="B1404" s="37" t="s">
        <v>305</v>
      </c>
      <c r="C1404" s="37" t="s">
        <v>226</v>
      </c>
      <c r="D1404" s="37" t="s">
        <v>680</v>
      </c>
      <c r="E1404" s="37" t="s">
        <v>211</v>
      </c>
      <c r="F1404" s="38">
        <v>46060</v>
      </c>
      <c r="G1404" s="37" t="s">
        <v>215</v>
      </c>
      <c r="H1404" s="39">
        <v>332</v>
      </c>
      <c r="I1404" s="39">
        <f>IF(My_Payment[[#This Row],[Payment_Code]]="S",My_Payment[[#This Row],[Total AMT]]/2,IF(My_Payment[[#This Row],[Payment_Code]]="P",My_Payment[[#This Row],[Total AMT]],0))</f>
        <v>332</v>
      </c>
      <c r="J1404" s="39">
        <f>IF(My_Payment[[#This Row],[Payment_Code]]="S",My_Payment[[#This Row],[Total AMT]]/2,IF(My_Payment[[#This Row],[Payment_Code]]="N",My_Payment[[#This Row],[Total AMT]],0))</f>
        <v>0</v>
      </c>
    </row>
    <row r="1405" spans="1:10">
      <c r="A1405" s="38">
        <v>46024</v>
      </c>
      <c r="B1405" s="37" t="s">
        <v>305</v>
      </c>
      <c r="C1405" s="37" t="s">
        <v>226</v>
      </c>
      <c r="D1405" s="37" t="s">
        <v>234</v>
      </c>
      <c r="E1405" s="37" t="s">
        <v>211</v>
      </c>
      <c r="F1405" s="38">
        <v>46060</v>
      </c>
      <c r="G1405" s="37" t="s">
        <v>212</v>
      </c>
      <c r="H1405" s="39">
        <v>1134</v>
      </c>
      <c r="I1405" s="39">
        <v>940.5</v>
      </c>
      <c r="J1405" s="39">
        <v>193.5</v>
      </c>
    </row>
    <row r="1406" spans="1:10">
      <c r="A1406" s="38">
        <v>46033</v>
      </c>
      <c r="B1406" s="37" t="s">
        <v>305</v>
      </c>
      <c r="C1406" s="37" t="s">
        <v>226</v>
      </c>
      <c r="D1406" s="37" t="s">
        <v>684</v>
      </c>
      <c r="E1406" s="37" t="s">
        <v>211</v>
      </c>
      <c r="F1406" s="38">
        <v>46060</v>
      </c>
      <c r="G1406" s="37" t="s">
        <v>212</v>
      </c>
      <c r="H1406" s="39">
        <v>1009</v>
      </c>
      <c r="I1406" s="39">
        <f>IF(My_Payment[[#This Row],[Payment_Code]]="S",My_Payment[[#This Row],[Total AMT]]/2,IF(My_Payment[[#This Row],[Payment_Code]]="P",My_Payment[[#This Row],[Total AMT]],0))</f>
        <v>504.5</v>
      </c>
      <c r="J1406" s="39">
        <f>IF(My_Payment[[#This Row],[Payment_Code]]="S",My_Payment[[#This Row],[Total AMT]]/2,IF(My_Payment[[#This Row],[Payment_Code]]="N",My_Payment[[#This Row],[Total AMT]],0))</f>
        <v>504.5</v>
      </c>
    </row>
    <row r="1407" spans="1:10">
      <c r="A1407" s="38">
        <v>46081</v>
      </c>
      <c r="B1407" s="37" t="s">
        <v>225</v>
      </c>
      <c r="C1407" s="37" t="s">
        <v>226</v>
      </c>
      <c r="D1407" s="37" t="s">
        <v>227</v>
      </c>
      <c r="E1407" s="37" t="s">
        <v>211</v>
      </c>
      <c r="F1407" s="38">
        <v>46103</v>
      </c>
      <c r="G1407" s="37" t="s">
        <v>212</v>
      </c>
      <c r="H1407" s="40">
        <v>518</v>
      </c>
      <c r="I1407" s="39">
        <v>219</v>
      </c>
      <c r="J1407" s="39">
        <v>299</v>
      </c>
    </row>
    <row r="1408" spans="1:10">
      <c r="A1408" s="38">
        <v>46109</v>
      </c>
      <c r="B1408" s="37" t="s">
        <v>225</v>
      </c>
      <c r="C1408" s="37" t="s">
        <v>226</v>
      </c>
      <c r="D1408" s="37" t="s">
        <v>227</v>
      </c>
      <c r="E1408" s="37" t="s">
        <v>211</v>
      </c>
      <c r="F1408" s="38">
        <v>46134</v>
      </c>
      <c r="G1408" s="37" t="s">
        <v>212</v>
      </c>
      <c r="H1408" s="40">
        <v>518</v>
      </c>
      <c r="I1408" s="39">
        <v>219</v>
      </c>
      <c r="J1408" s="39">
        <v>299</v>
      </c>
    </row>
    <row r="1409" spans="1:10">
      <c r="A1409" s="38">
        <v>46140</v>
      </c>
      <c r="B1409" s="37" t="s">
        <v>225</v>
      </c>
      <c r="C1409" s="37" t="s">
        <v>226</v>
      </c>
      <c r="D1409" s="37" t="s">
        <v>227</v>
      </c>
      <c r="E1409" s="37" t="s">
        <v>211</v>
      </c>
      <c r="F1409" s="38">
        <v>46164</v>
      </c>
      <c r="G1409" s="37" t="s">
        <v>212</v>
      </c>
      <c r="H1409" s="40">
        <v>518</v>
      </c>
      <c r="I1409" s="39">
        <v>219</v>
      </c>
      <c r="J1409" s="39">
        <v>299</v>
      </c>
    </row>
    <row r="1410" spans="1:10">
      <c r="A1410" s="38">
        <v>46170</v>
      </c>
      <c r="B1410" s="37" t="s">
        <v>225</v>
      </c>
      <c r="C1410" s="37" t="s">
        <v>226</v>
      </c>
      <c r="D1410" s="37" t="s">
        <v>227</v>
      </c>
      <c r="E1410" s="37" t="s">
        <v>211</v>
      </c>
      <c r="F1410" s="38">
        <v>46195</v>
      </c>
      <c r="G1410" s="37" t="s">
        <v>212</v>
      </c>
      <c r="H1410" s="40">
        <v>518</v>
      </c>
      <c r="I1410" s="39">
        <v>219</v>
      </c>
      <c r="J1410" s="39">
        <v>299</v>
      </c>
    </row>
    <row r="1411" spans="1:10">
      <c r="A1411" s="38">
        <v>46201</v>
      </c>
      <c r="B1411" s="37" t="s">
        <v>225</v>
      </c>
      <c r="C1411" s="37" t="s">
        <v>226</v>
      </c>
      <c r="D1411" s="37" t="s">
        <v>227</v>
      </c>
      <c r="E1411" s="37" t="s">
        <v>211</v>
      </c>
      <c r="F1411" s="38">
        <v>46225</v>
      </c>
      <c r="G1411" s="37" t="s">
        <v>212</v>
      </c>
      <c r="H1411" s="40">
        <v>518</v>
      </c>
      <c r="I1411" s="39">
        <v>219</v>
      </c>
      <c r="J1411" s="39">
        <v>299</v>
      </c>
    </row>
    <row r="1412" spans="1:10">
      <c r="A1412" s="38">
        <v>46231</v>
      </c>
      <c r="B1412" s="37" t="s">
        <v>225</v>
      </c>
      <c r="C1412" s="37" t="s">
        <v>226</v>
      </c>
      <c r="D1412" s="37" t="s">
        <v>227</v>
      </c>
      <c r="E1412" s="37" t="s">
        <v>211</v>
      </c>
      <c r="F1412" s="38">
        <v>46256</v>
      </c>
      <c r="G1412" s="37" t="s">
        <v>212</v>
      </c>
      <c r="H1412" s="40">
        <v>518</v>
      </c>
      <c r="I1412" s="39">
        <v>219</v>
      </c>
      <c r="J1412" s="39">
        <v>299</v>
      </c>
    </row>
    <row r="1413" spans="1:10">
      <c r="A1413" s="38">
        <v>46262</v>
      </c>
      <c r="B1413" s="37" t="s">
        <v>225</v>
      </c>
      <c r="C1413" s="37" t="s">
        <v>226</v>
      </c>
      <c r="D1413" s="37" t="s">
        <v>227</v>
      </c>
      <c r="E1413" s="37" t="s">
        <v>211</v>
      </c>
      <c r="F1413" s="38">
        <v>46287</v>
      </c>
      <c r="G1413" s="37" t="s">
        <v>212</v>
      </c>
      <c r="H1413" s="40">
        <v>518</v>
      </c>
      <c r="I1413" s="39">
        <v>219</v>
      </c>
      <c r="J1413" s="39">
        <v>299</v>
      </c>
    </row>
    <row r="1414" spans="1:10">
      <c r="A1414" s="38">
        <v>46293</v>
      </c>
      <c r="B1414" s="37" t="s">
        <v>225</v>
      </c>
      <c r="C1414" s="37" t="s">
        <v>226</v>
      </c>
      <c r="D1414" s="37" t="s">
        <v>227</v>
      </c>
      <c r="E1414" s="37" t="s">
        <v>211</v>
      </c>
      <c r="F1414" s="38">
        <v>46317</v>
      </c>
      <c r="G1414" s="37" t="s">
        <v>212</v>
      </c>
      <c r="H1414" s="40">
        <v>518</v>
      </c>
      <c r="I1414" s="39">
        <v>219</v>
      </c>
      <c r="J1414" s="39">
        <v>299</v>
      </c>
    </row>
    <row r="1415" spans="1:10">
      <c r="A1415" s="38">
        <v>46323</v>
      </c>
      <c r="B1415" s="37" t="s">
        <v>225</v>
      </c>
      <c r="C1415" s="37" t="s">
        <v>226</v>
      </c>
      <c r="D1415" s="37" t="s">
        <v>227</v>
      </c>
      <c r="E1415" s="37" t="s">
        <v>211</v>
      </c>
      <c r="F1415" s="38">
        <v>46348</v>
      </c>
      <c r="G1415" s="37" t="s">
        <v>212</v>
      </c>
      <c r="H1415" s="40">
        <v>518</v>
      </c>
      <c r="I1415" s="39">
        <v>219</v>
      </c>
      <c r="J1415" s="39">
        <v>299</v>
      </c>
    </row>
    <row r="1416" spans="1:10">
      <c r="A1416" s="38">
        <v>46354</v>
      </c>
      <c r="B1416" s="37" t="s">
        <v>225</v>
      </c>
      <c r="C1416" s="37" t="s">
        <v>226</v>
      </c>
      <c r="D1416" s="37" t="s">
        <v>227</v>
      </c>
      <c r="E1416" s="37" t="s">
        <v>211</v>
      </c>
      <c r="F1416" s="38">
        <v>46378</v>
      </c>
      <c r="G1416" s="37" t="s">
        <v>212</v>
      </c>
      <c r="H1416" s="40">
        <v>518</v>
      </c>
      <c r="I1416" s="39">
        <v>219</v>
      </c>
      <c r="J1416" s="39">
        <v>299</v>
      </c>
    </row>
    <row r="1417" spans="1:10">
      <c r="A1417" s="38">
        <v>46384</v>
      </c>
      <c r="B1417" s="37" t="s">
        <v>225</v>
      </c>
      <c r="C1417" s="37" t="s">
        <v>226</v>
      </c>
      <c r="D1417" s="37" t="s">
        <v>227</v>
      </c>
      <c r="E1417" s="37" t="s">
        <v>211</v>
      </c>
      <c r="F1417" s="38">
        <v>46409</v>
      </c>
      <c r="G1417" s="37" t="s">
        <v>212</v>
      </c>
      <c r="H1417" s="40">
        <v>518</v>
      </c>
      <c r="I1417" s="39">
        <v>219</v>
      </c>
      <c r="J1417" s="39">
        <v>299</v>
      </c>
    </row>
    <row r="1418" spans="1:10">
      <c r="A1418" s="38">
        <v>46415</v>
      </c>
      <c r="B1418" s="37" t="s">
        <v>225</v>
      </c>
      <c r="C1418" s="37" t="s">
        <v>226</v>
      </c>
      <c r="D1418" s="37" t="s">
        <v>227</v>
      </c>
      <c r="E1418" s="37" t="s">
        <v>211</v>
      </c>
      <c r="F1418" s="38">
        <v>46440</v>
      </c>
      <c r="G1418" s="37" t="s">
        <v>212</v>
      </c>
      <c r="H1418" s="40">
        <v>518</v>
      </c>
      <c r="I1418" s="39">
        <v>219</v>
      </c>
      <c r="J1418" s="39">
        <v>299</v>
      </c>
    </row>
    <row r="1419" spans="1:10">
      <c r="A1419" s="38">
        <v>46027</v>
      </c>
      <c r="B1419" s="37" t="s">
        <v>225</v>
      </c>
      <c r="C1419" s="37" t="s">
        <v>226</v>
      </c>
      <c r="D1419" s="37" t="s">
        <v>665</v>
      </c>
      <c r="E1419" s="37" t="s">
        <v>211</v>
      </c>
      <c r="F1419" s="38">
        <v>46075</v>
      </c>
      <c r="G1419" s="37" t="s">
        <v>215</v>
      </c>
      <c r="H1419" s="39">
        <v>750</v>
      </c>
      <c r="I1419" s="39">
        <f>IF(My_Payment[[#This Row],[Payment_Code]]="S",My_Payment[[#This Row],[Total AMT]]/2,IF(My_Payment[[#This Row],[Payment_Code]]="P",My_Payment[[#This Row],[Total AMT]],0))</f>
        <v>750</v>
      </c>
      <c r="J1419" s="39">
        <f>IF(My_Payment[[#This Row],[Payment_Code]]="S",My_Payment[[#This Row],[Total AMT]]/2,IF(My_Payment[[#This Row],[Payment_Code]]="N",My_Payment[[#This Row],[Total AMT]],0))</f>
        <v>0</v>
      </c>
    </row>
    <row r="1420" spans="1:10">
      <c r="A1420" s="38">
        <v>46058</v>
      </c>
      <c r="B1420" s="37" t="s">
        <v>225</v>
      </c>
      <c r="C1420" s="37" t="s">
        <v>226</v>
      </c>
      <c r="D1420" s="37" t="s">
        <v>665</v>
      </c>
      <c r="E1420" s="37" t="s">
        <v>211</v>
      </c>
      <c r="F1420" s="38">
        <v>46103</v>
      </c>
      <c r="G1420" s="37" t="s">
        <v>215</v>
      </c>
      <c r="H1420" s="39">
        <v>750</v>
      </c>
      <c r="I1420" s="39">
        <f>IF(My_Payment[[#This Row],[Payment_Code]]="S",My_Payment[[#This Row],[Total AMT]]/2,IF(My_Payment[[#This Row],[Payment_Code]]="P",My_Payment[[#This Row],[Total AMT]],0))</f>
        <v>750</v>
      </c>
      <c r="J1420" s="39">
        <f>IF(My_Payment[[#This Row],[Payment_Code]]="S",My_Payment[[#This Row],[Total AMT]]/2,IF(My_Payment[[#This Row],[Payment_Code]]="N",My_Payment[[#This Row],[Total AMT]],0))</f>
        <v>0</v>
      </c>
    </row>
    <row r="1421" spans="1:10">
      <c r="A1421" s="38">
        <v>46086</v>
      </c>
      <c r="B1421" s="37" t="s">
        <v>225</v>
      </c>
      <c r="C1421" s="37" t="s">
        <v>226</v>
      </c>
      <c r="D1421" s="37" t="s">
        <v>665</v>
      </c>
      <c r="E1421" s="37" t="s">
        <v>211</v>
      </c>
      <c r="F1421" s="38">
        <v>46134</v>
      </c>
      <c r="G1421" s="37" t="s">
        <v>215</v>
      </c>
      <c r="H1421" s="39">
        <v>750</v>
      </c>
      <c r="I1421" s="39">
        <f>IF(My_Payment[[#This Row],[Payment_Code]]="S",My_Payment[[#This Row],[Total AMT]]/2,IF(My_Payment[[#This Row],[Payment_Code]]="P",My_Payment[[#This Row],[Total AMT]],0))</f>
        <v>750</v>
      </c>
      <c r="J1421" s="39">
        <f>IF(My_Payment[[#This Row],[Payment_Code]]="S",My_Payment[[#This Row],[Total AMT]]/2,IF(My_Payment[[#This Row],[Payment_Code]]="N",My_Payment[[#This Row],[Total AMT]],0))</f>
        <v>0</v>
      </c>
    </row>
    <row r="1422" spans="1:10">
      <c r="A1422" s="38">
        <v>46117</v>
      </c>
      <c r="B1422" s="37" t="s">
        <v>225</v>
      </c>
      <c r="C1422" s="37" t="s">
        <v>226</v>
      </c>
      <c r="D1422" s="37" t="s">
        <v>665</v>
      </c>
      <c r="E1422" s="37" t="s">
        <v>211</v>
      </c>
      <c r="F1422" s="38">
        <v>46164</v>
      </c>
      <c r="G1422" s="37" t="s">
        <v>215</v>
      </c>
      <c r="H1422" s="39">
        <v>750</v>
      </c>
      <c r="I1422" s="39">
        <f>IF(My_Payment[[#This Row],[Payment_Code]]="S",My_Payment[[#This Row],[Total AMT]]/2,IF(My_Payment[[#This Row],[Payment_Code]]="P",My_Payment[[#This Row],[Total AMT]],0))</f>
        <v>750</v>
      </c>
      <c r="J1422" s="39">
        <f>IF(My_Payment[[#This Row],[Payment_Code]]="S",My_Payment[[#This Row],[Total AMT]]/2,IF(My_Payment[[#This Row],[Payment_Code]]="N",My_Payment[[#This Row],[Total AMT]],0))</f>
        <v>0</v>
      </c>
    </row>
    <row r="1423" spans="1:10">
      <c r="A1423" s="38">
        <v>46147</v>
      </c>
      <c r="B1423" s="37" t="s">
        <v>225</v>
      </c>
      <c r="C1423" s="37" t="s">
        <v>226</v>
      </c>
      <c r="D1423" s="37" t="s">
        <v>665</v>
      </c>
      <c r="E1423" s="37" t="s">
        <v>211</v>
      </c>
      <c r="F1423" s="38">
        <v>46195</v>
      </c>
      <c r="G1423" s="37" t="s">
        <v>215</v>
      </c>
      <c r="H1423" s="39">
        <v>750</v>
      </c>
      <c r="I1423" s="39">
        <f>IF(My_Payment[[#This Row],[Payment_Code]]="S",My_Payment[[#This Row],[Total AMT]]/2,IF(My_Payment[[#This Row],[Payment_Code]]="P",My_Payment[[#This Row],[Total AMT]],0))</f>
        <v>750</v>
      </c>
      <c r="J1423" s="39">
        <f>IF(My_Payment[[#This Row],[Payment_Code]]="S",My_Payment[[#This Row],[Total AMT]]/2,IF(My_Payment[[#This Row],[Payment_Code]]="N",My_Payment[[#This Row],[Total AMT]],0))</f>
        <v>0</v>
      </c>
    </row>
    <row r="1424" spans="1:10">
      <c r="A1424" s="38">
        <v>46178</v>
      </c>
      <c r="B1424" s="37" t="s">
        <v>225</v>
      </c>
      <c r="C1424" s="37" t="s">
        <v>226</v>
      </c>
      <c r="D1424" s="37" t="s">
        <v>665</v>
      </c>
      <c r="E1424" s="37" t="s">
        <v>211</v>
      </c>
      <c r="F1424" s="38">
        <v>46225</v>
      </c>
      <c r="G1424" s="37" t="s">
        <v>215</v>
      </c>
      <c r="H1424" s="39">
        <v>750</v>
      </c>
      <c r="I1424" s="39">
        <f>IF(My_Payment[[#This Row],[Payment_Code]]="S",My_Payment[[#This Row],[Total AMT]]/2,IF(My_Payment[[#This Row],[Payment_Code]]="P",My_Payment[[#This Row],[Total AMT]],0))</f>
        <v>750</v>
      </c>
      <c r="J1424" s="39">
        <f>IF(My_Payment[[#This Row],[Payment_Code]]="S",My_Payment[[#This Row],[Total AMT]]/2,IF(My_Payment[[#This Row],[Payment_Code]]="N",My_Payment[[#This Row],[Total AMT]],0))</f>
        <v>0</v>
      </c>
    </row>
    <row r="1425" spans="1:10">
      <c r="A1425" s="38">
        <v>46208</v>
      </c>
      <c r="B1425" s="37" t="s">
        <v>225</v>
      </c>
      <c r="C1425" s="37" t="s">
        <v>226</v>
      </c>
      <c r="D1425" s="37" t="s">
        <v>665</v>
      </c>
      <c r="E1425" s="37" t="s">
        <v>211</v>
      </c>
      <c r="F1425" s="38">
        <v>46256</v>
      </c>
      <c r="G1425" s="37" t="s">
        <v>215</v>
      </c>
      <c r="H1425" s="39">
        <v>750</v>
      </c>
      <c r="I1425" s="39">
        <f>IF(My_Payment[[#This Row],[Payment_Code]]="S",My_Payment[[#This Row],[Total AMT]]/2,IF(My_Payment[[#This Row],[Payment_Code]]="P",My_Payment[[#This Row],[Total AMT]],0))</f>
        <v>750</v>
      </c>
      <c r="J1425" s="39">
        <f>IF(My_Payment[[#This Row],[Payment_Code]]="S",My_Payment[[#This Row],[Total AMT]]/2,IF(My_Payment[[#This Row],[Payment_Code]]="N",My_Payment[[#This Row],[Total AMT]],0))</f>
        <v>0</v>
      </c>
    </row>
    <row r="1426" spans="1:10">
      <c r="A1426" s="38">
        <v>46239</v>
      </c>
      <c r="B1426" s="37" t="s">
        <v>225</v>
      </c>
      <c r="C1426" s="37" t="s">
        <v>226</v>
      </c>
      <c r="D1426" s="37" t="s">
        <v>665</v>
      </c>
      <c r="E1426" s="37" t="s">
        <v>211</v>
      </c>
      <c r="F1426" s="38">
        <v>46287</v>
      </c>
      <c r="G1426" s="37" t="s">
        <v>215</v>
      </c>
      <c r="H1426" s="39">
        <v>750</v>
      </c>
      <c r="I1426" s="39">
        <f>IF(My_Payment[[#This Row],[Payment_Code]]="S",My_Payment[[#This Row],[Total AMT]]/2,IF(My_Payment[[#This Row],[Payment_Code]]="P",My_Payment[[#This Row],[Total AMT]],0))</f>
        <v>750</v>
      </c>
      <c r="J1426" s="39">
        <f>IF(My_Payment[[#This Row],[Payment_Code]]="S",My_Payment[[#This Row],[Total AMT]]/2,IF(My_Payment[[#This Row],[Payment_Code]]="N",My_Payment[[#This Row],[Total AMT]],0))</f>
        <v>0</v>
      </c>
    </row>
    <row r="1427" spans="1:10">
      <c r="A1427" s="38">
        <v>46270</v>
      </c>
      <c r="B1427" s="37" t="s">
        <v>225</v>
      </c>
      <c r="C1427" s="37" t="s">
        <v>226</v>
      </c>
      <c r="D1427" s="37" t="s">
        <v>665</v>
      </c>
      <c r="E1427" s="37" t="s">
        <v>211</v>
      </c>
      <c r="F1427" s="38">
        <v>46317</v>
      </c>
      <c r="G1427" s="37" t="s">
        <v>215</v>
      </c>
      <c r="H1427" s="39">
        <v>750</v>
      </c>
      <c r="I1427" s="39">
        <f>IF(My_Payment[[#This Row],[Payment_Code]]="S",My_Payment[[#This Row],[Total AMT]]/2,IF(My_Payment[[#This Row],[Payment_Code]]="P",My_Payment[[#This Row],[Total AMT]],0))</f>
        <v>750</v>
      </c>
      <c r="J1427" s="39">
        <f>IF(My_Payment[[#This Row],[Payment_Code]]="S",My_Payment[[#This Row],[Total AMT]]/2,IF(My_Payment[[#This Row],[Payment_Code]]="N",My_Payment[[#This Row],[Total AMT]],0))</f>
        <v>0</v>
      </c>
    </row>
    <row r="1428" spans="1:10">
      <c r="A1428" s="38">
        <v>46300</v>
      </c>
      <c r="B1428" s="37" t="s">
        <v>225</v>
      </c>
      <c r="C1428" s="37" t="s">
        <v>226</v>
      </c>
      <c r="D1428" s="37" t="s">
        <v>665</v>
      </c>
      <c r="E1428" s="37" t="s">
        <v>211</v>
      </c>
      <c r="F1428" s="38">
        <v>46348</v>
      </c>
      <c r="G1428" s="37" t="s">
        <v>215</v>
      </c>
      <c r="H1428" s="39">
        <v>750</v>
      </c>
      <c r="I1428" s="39">
        <f>IF(My_Payment[[#This Row],[Payment_Code]]="S",My_Payment[[#This Row],[Total AMT]]/2,IF(My_Payment[[#This Row],[Payment_Code]]="P",My_Payment[[#This Row],[Total AMT]],0))</f>
        <v>750</v>
      </c>
      <c r="J1428" s="39">
        <f>IF(My_Payment[[#This Row],[Payment_Code]]="S",My_Payment[[#This Row],[Total AMT]]/2,IF(My_Payment[[#This Row],[Payment_Code]]="N",My_Payment[[#This Row],[Total AMT]],0))</f>
        <v>0</v>
      </c>
    </row>
    <row r="1429" spans="1:10">
      <c r="A1429" s="38">
        <v>46331</v>
      </c>
      <c r="B1429" s="37" t="s">
        <v>225</v>
      </c>
      <c r="C1429" s="37" t="s">
        <v>226</v>
      </c>
      <c r="D1429" s="37" t="s">
        <v>665</v>
      </c>
      <c r="E1429" s="37" t="s">
        <v>211</v>
      </c>
      <c r="F1429" s="38">
        <v>46378</v>
      </c>
      <c r="G1429" s="37" t="s">
        <v>215</v>
      </c>
      <c r="H1429" s="39">
        <v>750</v>
      </c>
      <c r="I1429" s="39">
        <f>IF(My_Payment[[#This Row],[Payment_Code]]="S",My_Payment[[#This Row],[Total AMT]]/2,IF(My_Payment[[#This Row],[Payment_Code]]="P",My_Payment[[#This Row],[Total AMT]],0))</f>
        <v>750</v>
      </c>
      <c r="J1429" s="39">
        <f>IF(My_Payment[[#This Row],[Payment_Code]]="S",My_Payment[[#This Row],[Total AMT]]/2,IF(My_Payment[[#This Row],[Payment_Code]]="N",My_Payment[[#This Row],[Total AMT]],0))</f>
        <v>0</v>
      </c>
    </row>
    <row r="1430" spans="1:10">
      <c r="A1430" s="38">
        <v>46361</v>
      </c>
      <c r="B1430" s="37" t="s">
        <v>225</v>
      </c>
      <c r="C1430" s="37" t="s">
        <v>226</v>
      </c>
      <c r="D1430" s="37" t="s">
        <v>665</v>
      </c>
      <c r="E1430" s="37" t="s">
        <v>211</v>
      </c>
      <c r="F1430" s="38">
        <v>46409</v>
      </c>
      <c r="G1430" s="37" t="s">
        <v>215</v>
      </c>
      <c r="H1430" s="39">
        <v>750</v>
      </c>
      <c r="I1430" s="39">
        <f>IF(My_Payment[[#This Row],[Payment_Code]]="S",My_Payment[[#This Row],[Total AMT]]/2,IF(My_Payment[[#This Row],[Payment_Code]]="P",My_Payment[[#This Row],[Total AMT]],0))</f>
        <v>750</v>
      </c>
      <c r="J1430" s="39">
        <f>IF(My_Payment[[#This Row],[Payment_Code]]="S",My_Payment[[#This Row],[Total AMT]]/2,IF(My_Payment[[#This Row],[Payment_Code]]="N",My_Payment[[#This Row],[Total AMT]],0))</f>
        <v>0</v>
      </c>
    </row>
    <row r="1431" spans="1:10">
      <c r="A1431" s="38">
        <v>46019</v>
      </c>
      <c r="B1431" s="37" t="s">
        <v>208</v>
      </c>
      <c r="C1431" s="37" t="s">
        <v>209</v>
      </c>
      <c r="D1431" s="37" t="s">
        <v>217</v>
      </c>
      <c r="E1431" s="37" t="s">
        <v>211</v>
      </c>
      <c r="F1431" s="38">
        <v>46024</v>
      </c>
      <c r="G1431" s="37" t="s">
        <v>212</v>
      </c>
      <c r="H1431" s="39">
        <v>1424.93</v>
      </c>
      <c r="I1431" s="39">
        <v>845.97</v>
      </c>
      <c r="J1431" s="39">
        <v>578.96</v>
      </c>
    </row>
    <row r="1432" spans="1:10">
      <c r="A1432" s="38">
        <v>46033</v>
      </c>
      <c r="B1432" s="37" t="s">
        <v>208</v>
      </c>
      <c r="C1432" s="37" t="s">
        <v>209</v>
      </c>
      <c r="D1432" s="37" t="s">
        <v>217</v>
      </c>
      <c r="E1432" s="37" t="s">
        <v>211</v>
      </c>
      <c r="F1432" s="38">
        <v>46083</v>
      </c>
      <c r="G1432" s="37" t="s">
        <v>212</v>
      </c>
      <c r="H1432" s="39">
        <v>1175.6400000000001</v>
      </c>
      <c r="I1432" s="39">
        <f>IF(My_Payment[[#This Row],[Payment_Code]]="S",My_Payment[[#This Row],[Total AMT]]/2,IF(My_Payment[[#This Row],[Payment_Code]]="P",My_Payment[[#This Row],[Total AMT]],0))</f>
        <v>587.82000000000005</v>
      </c>
      <c r="J1432" s="39">
        <f>IF(My_Payment[[#This Row],[Payment_Code]]="S",My_Payment[[#This Row],[Total AMT]]/2,IF(My_Payment[[#This Row],[Payment_Code]]="N",My_Payment[[#This Row],[Total AMT]],0))</f>
        <v>587.82000000000005</v>
      </c>
    </row>
    <row r="1433" spans="1:10">
      <c r="A1433" s="38">
        <v>46061</v>
      </c>
      <c r="B1433" s="37" t="s">
        <v>697</v>
      </c>
      <c r="C1433" s="37" t="s">
        <v>299</v>
      </c>
      <c r="D1433" s="37" t="s">
        <v>698</v>
      </c>
      <c r="E1433" s="37" t="s">
        <v>211</v>
      </c>
      <c r="F1433" s="38">
        <v>46090</v>
      </c>
      <c r="G1433" s="37" t="s">
        <v>215</v>
      </c>
      <c r="H1433" s="39">
        <v>780</v>
      </c>
      <c r="I1433" s="39">
        <f>IF(My_Payment[[#This Row],[Payment_Code]]="S",My_Payment[[#This Row],[Total AMT]]/2,IF(My_Payment[[#This Row],[Payment_Code]]="P",My_Payment[[#This Row],[Total AMT]],0))</f>
        <v>780</v>
      </c>
      <c r="J1433" s="39">
        <f>IF(My_Payment[[#This Row],[Payment_Code]]="S",My_Payment[[#This Row],[Total AMT]]/2,IF(My_Payment[[#This Row],[Payment_Code]]="N",My_Payment[[#This Row],[Total AMT]],0))</f>
        <v>0</v>
      </c>
    </row>
    <row r="1434" spans="1:10">
      <c r="A1434" s="38">
        <v>46063</v>
      </c>
      <c r="B1434" s="37" t="s">
        <v>697</v>
      </c>
      <c r="C1434" s="37" t="s">
        <v>299</v>
      </c>
      <c r="D1434" s="37" t="s">
        <v>505</v>
      </c>
      <c r="E1434" s="37" t="s">
        <v>211</v>
      </c>
      <c r="F1434" s="38">
        <v>46090</v>
      </c>
      <c r="G1434" s="37" t="s">
        <v>215</v>
      </c>
      <c r="H1434" s="39">
        <v>45</v>
      </c>
      <c r="I1434" s="39">
        <f>IF(My_Payment[[#This Row],[Payment_Code]]="S",My_Payment[[#This Row],[Total AMT]]/2,IF(My_Payment[[#This Row],[Payment_Code]]="P",My_Payment[[#This Row],[Total AMT]],0))</f>
        <v>45</v>
      </c>
      <c r="J1434" s="39">
        <f>IF(My_Payment[[#This Row],[Payment_Code]]="S",My_Payment[[#This Row],[Total AMT]]/2,IF(My_Payment[[#This Row],[Payment_Code]]="N",My_Payment[[#This Row],[Total AMT]],0))</f>
        <v>0</v>
      </c>
    </row>
    <row r="1435" spans="1:10">
      <c r="A1435" s="38">
        <v>46066</v>
      </c>
      <c r="B1435" s="37" t="s">
        <v>697</v>
      </c>
      <c r="C1435" s="37" t="s">
        <v>299</v>
      </c>
      <c r="D1435" s="37" t="s">
        <v>699</v>
      </c>
      <c r="E1435" s="37" t="s">
        <v>211</v>
      </c>
      <c r="F1435" s="38">
        <v>46090</v>
      </c>
      <c r="G1435" s="37" t="s">
        <v>215</v>
      </c>
      <c r="H1435" s="39">
        <v>-7.8</v>
      </c>
      <c r="I1435" s="39">
        <f>IF(My_Payment[[#This Row],[Payment_Code]]="S",My_Payment[[#This Row],[Total AMT]]/2,IF(My_Payment[[#This Row],[Payment_Code]]="P",My_Payment[[#This Row],[Total AMT]],0))</f>
        <v>-7.8</v>
      </c>
      <c r="J1435" s="39">
        <f>IF(My_Payment[[#This Row],[Payment_Code]]="S",My_Payment[[#This Row],[Total AMT]]/2,IF(My_Payment[[#This Row],[Payment_Code]]="N",My_Payment[[#This Row],[Total AMT]],0))</f>
        <v>0</v>
      </c>
    </row>
    <row r="1436" spans="1:10">
      <c r="A1436" s="38">
        <v>46082</v>
      </c>
      <c r="B1436" s="37" t="s">
        <v>208</v>
      </c>
      <c r="C1436" s="37" t="s">
        <v>209</v>
      </c>
      <c r="D1436" s="37" t="s">
        <v>217</v>
      </c>
      <c r="E1436" s="37" t="s">
        <v>211</v>
      </c>
      <c r="F1436" s="38">
        <v>46114</v>
      </c>
      <c r="G1436" s="37" t="s">
        <v>212</v>
      </c>
      <c r="H1436" s="39">
        <v>1407.47</v>
      </c>
      <c r="I1436" s="39">
        <v>1111.74</v>
      </c>
      <c r="J1436" s="39">
        <v>295.74</v>
      </c>
    </row>
    <row r="1437" spans="1:10">
      <c r="A1437" s="38">
        <v>46039</v>
      </c>
      <c r="B1437" s="37" t="s">
        <v>305</v>
      </c>
      <c r="C1437" s="37" t="s">
        <v>226</v>
      </c>
      <c r="D1437" s="37" t="s">
        <v>680</v>
      </c>
      <c r="E1437" s="37" t="s">
        <v>211</v>
      </c>
      <c r="F1437" s="38">
        <v>46088</v>
      </c>
      <c r="G1437" s="37" t="s">
        <v>215</v>
      </c>
      <c r="H1437" s="39">
        <v>332</v>
      </c>
      <c r="I1437" s="39">
        <f>IF(My_Payment[[#This Row],[Payment_Code]]="S",My_Payment[[#This Row],[Total AMT]]/2,IF(My_Payment[[#This Row],[Payment_Code]]="P",My_Payment[[#This Row],[Total AMT]],0))</f>
        <v>332</v>
      </c>
      <c r="J1437" s="39">
        <f>IF(My_Payment[[#This Row],[Payment_Code]]="S",My_Payment[[#This Row],[Total AMT]]/2,IF(My_Payment[[#This Row],[Payment_Code]]="N",My_Payment[[#This Row],[Total AMT]],0))</f>
        <v>0</v>
      </c>
    </row>
    <row r="1438" spans="1:10">
      <c r="A1438" s="38">
        <v>46039</v>
      </c>
      <c r="B1438" s="37" t="s">
        <v>305</v>
      </c>
      <c r="C1438" s="37" t="s">
        <v>226</v>
      </c>
      <c r="D1438" s="37" t="s">
        <v>680</v>
      </c>
      <c r="E1438" s="37" t="s">
        <v>211</v>
      </c>
      <c r="F1438" s="38">
        <v>46088</v>
      </c>
      <c r="G1438" s="37" t="s">
        <v>215</v>
      </c>
      <c r="H1438" s="39">
        <v>66</v>
      </c>
      <c r="I1438" s="39">
        <f>IF(My_Payment[[#This Row],[Payment_Code]]="S",My_Payment[[#This Row],[Total AMT]]/2,IF(My_Payment[[#This Row],[Payment_Code]]="P",My_Payment[[#This Row],[Total AMT]],0))</f>
        <v>66</v>
      </c>
      <c r="J1438" s="39">
        <f>IF(My_Payment[[#This Row],[Payment_Code]]="S",My_Payment[[#This Row],[Total AMT]]/2,IF(My_Payment[[#This Row],[Payment_Code]]="N",My_Payment[[#This Row],[Total AMT]],0))</f>
        <v>0</v>
      </c>
    </row>
    <row r="1439" spans="1:10">
      <c r="A1439" s="38">
        <v>46039</v>
      </c>
      <c r="B1439" s="37" t="s">
        <v>305</v>
      </c>
      <c r="C1439" s="37" t="s">
        <v>226</v>
      </c>
      <c r="D1439" s="37" t="s">
        <v>680</v>
      </c>
      <c r="E1439" s="37" t="s">
        <v>211</v>
      </c>
      <c r="F1439" s="38">
        <v>46088</v>
      </c>
      <c r="G1439" s="37" t="s">
        <v>215</v>
      </c>
      <c r="H1439" s="39">
        <v>142</v>
      </c>
      <c r="I1439" s="39">
        <f>IF(My_Payment[[#This Row],[Payment_Code]]="S",My_Payment[[#This Row],[Total AMT]]/2,IF(My_Payment[[#This Row],[Payment_Code]]="P",My_Payment[[#This Row],[Total AMT]],0))</f>
        <v>142</v>
      </c>
      <c r="J1439" s="39">
        <f>IF(My_Payment[[#This Row],[Payment_Code]]="S",My_Payment[[#This Row],[Total AMT]]/2,IF(My_Payment[[#This Row],[Payment_Code]]="N",My_Payment[[#This Row],[Total AMT]],0))</f>
        <v>0</v>
      </c>
    </row>
    <row r="1440" spans="1:10">
      <c r="A1440" s="38">
        <v>46039</v>
      </c>
      <c r="B1440" s="37" t="s">
        <v>305</v>
      </c>
      <c r="C1440" s="37" t="s">
        <v>226</v>
      </c>
      <c r="D1440" s="37" t="s">
        <v>680</v>
      </c>
      <c r="E1440" s="37" t="s">
        <v>211</v>
      </c>
      <c r="F1440" s="38">
        <v>46088</v>
      </c>
      <c r="G1440" s="37" t="s">
        <v>215</v>
      </c>
      <c r="H1440" s="39">
        <v>66</v>
      </c>
      <c r="I1440" s="39">
        <f>IF(My_Payment[[#This Row],[Payment_Code]]="S",My_Payment[[#This Row],[Total AMT]]/2,IF(My_Payment[[#This Row],[Payment_Code]]="P",My_Payment[[#This Row],[Total AMT]],0))</f>
        <v>66</v>
      </c>
      <c r="J1440" s="39">
        <f>IF(My_Payment[[#This Row],[Payment_Code]]="S",My_Payment[[#This Row],[Total AMT]]/2,IF(My_Payment[[#This Row],[Payment_Code]]="N",My_Payment[[#This Row],[Total AMT]],0))</f>
        <v>0</v>
      </c>
    </row>
    <row r="1441" spans="1:10">
      <c r="A1441" s="38">
        <v>46039</v>
      </c>
      <c r="B1441" s="37" t="s">
        <v>305</v>
      </c>
      <c r="C1441" s="37" t="s">
        <v>226</v>
      </c>
      <c r="D1441" s="37" t="s">
        <v>680</v>
      </c>
      <c r="E1441" s="37" t="s">
        <v>211</v>
      </c>
      <c r="F1441" s="38">
        <v>46088</v>
      </c>
      <c r="G1441" s="37" t="s">
        <v>215</v>
      </c>
      <c r="H1441" s="39">
        <v>142</v>
      </c>
      <c r="I1441" s="39">
        <f>IF(My_Payment[[#This Row],[Payment_Code]]="S",My_Payment[[#This Row],[Total AMT]]/2,IF(My_Payment[[#This Row],[Payment_Code]]="P",My_Payment[[#This Row],[Total AMT]],0))</f>
        <v>142</v>
      </c>
      <c r="J1441" s="39">
        <f>IF(My_Payment[[#This Row],[Payment_Code]]="S",My_Payment[[#This Row],[Total AMT]]/2,IF(My_Payment[[#This Row],[Payment_Code]]="N",My_Payment[[#This Row],[Total AMT]],0))</f>
        <v>0</v>
      </c>
    </row>
    <row r="1442" spans="1:10">
      <c r="A1442" s="38">
        <v>46039</v>
      </c>
      <c r="B1442" s="37" t="s">
        <v>305</v>
      </c>
      <c r="C1442" s="37" t="s">
        <v>226</v>
      </c>
      <c r="D1442" s="37" t="s">
        <v>680</v>
      </c>
      <c r="E1442" s="37" t="s">
        <v>211</v>
      </c>
      <c r="F1442" s="38">
        <v>46088</v>
      </c>
      <c r="G1442" s="37" t="s">
        <v>215</v>
      </c>
      <c r="H1442" s="39">
        <v>237</v>
      </c>
      <c r="I1442" s="39">
        <f>IF(My_Payment[[#This Row],[Payment_Code]]="S",My_Payment[[#This Row],[Total AMT]]/2,IF(My_Payment[[#This Row],[Payment_Code]]="P",My_Payment[[#This Row],[Total AMT]],0))</f>
        <v>237</v>
      </c>
      <c r="J1442" s="39">
        <f>IF(My_Payment[[#This Row],[Payment_Code]]="S",My_Payment[[#This Row],[Total AMT]]/2,IF(My_Payment[[#This Row],[Payment_Code]]="N",My_Payment[[#This Row],[Total AMT]],0))</f>
        <v>0</v>
      </c>
    </row>
    <row r="1443" spans="1:10">
      <c r="A1443" s="38">
        <v>46046</v>
      </c>
      <c r="B1443" s="37" t="s">
        <v>305</v>
      </c>
      <c r="C1443" s="37" t="s">
        <v>226</v>
      </c>
      <c r="D1443" s="37" t="s">
        <v>680</v>
      </c>
      <c r="E1443" s="37" t="s">
        <v>211</v>
      </c>
      <c r="F1443" s="38">
        <v>46088</v>
      </c>
      <c r="G1443" s="37" t="s">
        <v>215</v>
      </c>
      <c r="H1443" s="39">
        <v>66</v>
      </c>
      <c r="I1443" s="39">
        <f>IF(My_Payment[[#This Row],[Payment_Code]]="S",My_Payment[[#This Row],[Total AMT]]/2,IF(My_Payment[[#This Row],[Payment_Code]]="P",My_Payment[[#This Row],[Total AMT]],0))</f>
        <v>66</v>
      </c>
      <c r="J1443" s="39">
        <f>IF(My_Payment[[#This Row],[Payment_Code]]="S",My_Payment[[#This Row],[Total AMT]]/2,IF(My_Payment[[#This Row],[Payment_Code]]="N",My_Payment[[#This Row],[Total AMT]],0))</f>
        <v>0</v>
      </c>
    </row>
    <row r="1444" spans="1:10">
      <c r="A1444" s="38">
        <v>46046</v>
      </c>
      <c r="B1444" s="37" t="s">
        <v>305</v>
      </c>
      <c r="C1444" s="37" t="s">
        <v>226</v>
      </c>
      <c r="D1444" s="37" t="s">
        <v>680</v>
      </c>
      <c r="E1444" s="37" t="s">
        <v>211</v>
      </c>
      <c r="F1444" s="38">
        <v>46088</v>
      </c>
      <c r="G1444" s="37" t="s">
        <v>215</v>
      </c>
      <c r="H1444" s="39">
        <v>142</v>
      </c>
      <c r="I1444" s="39">
        <f>IF(My_Payment[[#This Row],[Payment_Code]]="S",My_Payment[[#This Row],[Total AMT]]/2,IF(My_Payment[[#This Row],[Payment_Code]]="P",My_Payment[[#This Row],[Total AMT]],0))</f>
        <v>142</v>
      </c>
      <c r="J1444" s="39">
        <f>IF(My_Payment[[#This Row],[Payment_Code]]="S",My_Payment[[#This Row],[Total AMT]]/2,IF(My_Payment[[#This Row],[Payment_Code]]="N",My_Payment[[#This Row],[Total AMT]],0))</f>
        <v>0</v>
      </c>
    </row>
    <row r="1445" spans="1:10">
      <c r="A1445" s="38">
        <v>46046</v>
      </c>
      <c r="B1445" s="37" t="s">
        <v>305</v>
      </c>
      <c r="C1445" s="37" t="s">
        <v>226</v>
      </c>
      <c r="D1445" s="37" t="s">
        <v>680</v>
      </c>
      <c r="E1445" s="37" t="s">
        <v>211</v>
      </c>
      <c r="F1445" s="38">
        <v>46088</v>
      </c>
      <c r="G1445" s="37" t="s">
        <v>215</v>
      </c>
      <c r="H1445" s="39">
        <v>171</v>
      </c>
      <c r="I1445" s="39">
        <f>IF(My_Payment[[#This Row],[Payment_Code]]="S",My_Payment[[#This Row],[Total AMT]]/2,IF(My_Payment[[#This Row],[Payment_Code]]="P",My_Payment[[#This Row],[Total AMT]],0))</f>
        <v>171</v>
      </c>
      <c r="J1445" s="39">
        <f>IF(My_Payment[[#This Row],[Payment_Code]]="S",My_Payment[[#This Row],[Total AMT]]/2,IF(My_Payment[[#This Row],[Payment_Code]]="N",My_Payment[[#This Row],[Total AMT]],0))</f>
        <v>0</v>
      </c>
    </row>
    <row r="1446" spans="1:10">
      <c r="A1446" s="38">
        <v>46060</v>
      </c>
      <c r="B1446" s="37" t="s">
        <v>305</v>
      </c>
      <c r="C1446" s="37" t="s">
        <v>226</v>
      </c>
      <c r="D1446" s="37" t="s">
        <v>680</v>
      </c>
      <c r="E1446" s="37" t="s">
        <v>211</v>
      </c>
      <c r="F1446" s="38">
        <v>46088</v>
      </c>
      <c r="G1446" s="37" t="s">
        <v>215</v>
      </c>
      <c r="H1446" s="39">
        <v>66</v>
      </c>
      <c r="I1446" s="39">
        <f>IF(My_Payment[[#This Row],[Payment_Code]]="S",My_Payment[[#This Row],[Total AMT]]/2,IF(My_Payment[[#This Row],[Payment_Code]]="P",My_Payment[[#This Row],[Total AMT]],0))</f>
        <v>66</v>
      </c>
      <c r="J1446" s="39">
        <f>IF(My_Payment[[#This Row],[Payment_Code]]="S",My_Payment[[#This Row],[Total AMT]]/2,IF(My_Payment[[#This Row],[Payment_Code]]="N",My_Payment[[#This Row],[Total AMT]],0))</f>
        <v>0</v>
      </c>
    </row>
    <row r="1447" spans="1:10">
      <c r="A1447" s="38">
        <v>46060</v>
      </c>
      <c r="B1447" s="37" t="s">
        <v>305</v>
      </c>
      <c r="C1447" s="37" t="s">
        <v>226</v>
      </c>
      <c r="D1447" s="37" t="s">
        <v>680</v>
      </c>
      <c r="E1447" s="37" t="s">
        <v>211</v>
      </c>
      <c r="F1447" s="38">
        <v>46088</v>
      </c>
      <c r="G1447" s="37" t="s">
        <v>215</v>
      </c>
      <c r="H1447" s="39">
        <v>142</v>
      </c>
      <c r="I1447" s="39">
        <f>IF(My_Payment[[#This Row],[Payment_Code]]="S",My_Payment[[#This Row],[Total AMT]]/2,IF(My_Payment[[#This Row],[Payment_Code]]="P",My_Payment[[#This Row],[Total AMT]],0))</f>
        <v>142</v>
      </c>
      <c r="J1447" s="39">
        <f>IF(My_Payment[[#This Row],[Payment_Code]]="S",My_Payment[[#This Row],[Total AMT]]/2,IF(My_Payment[[#This Row],[Payment_Code]]="N",My_Payment[[#This Row],[Total AMT]],0))</f>
        <v>0</v>
      </c>
    </row>
    <row r="1448" spans="1:10">
      <c r="A1448" s="38">
        <v>46060</v>
      </c>
      <c r="B1448" s="37" t="s">
        <v>305</v>
      </c>
      <c r="C1448" s="37" t="s">
        <v>226</v>
      </c>
      <c r="D1448" s="37" t="s">
        <v>680</v>
      </c>
      <c r="E1448" s="37" t="s">
        <v>211</v>
      </c>
      <c r="F1448" s="38">
        <v>46088</v>
      </c>
      <c r="G1448" s="37" t="s">
        <v>215</v>
      </c>
      <c r="H1448" s="39">
        <v>171</v>
      </c>
      <c r="I1448" s="39">
        <f>IF(My_Payment[[#This Row],[Payment_Code]]="S",My_Payment[[#This Row],[Total AMT]]/2,IF(My_Payment[[#This Row],[Payment_Code]]="P",My_Payment[[#This Row],[Total AMT]],0))</f>
        <v>171</v>
      </c>
      <c r="J1448" s="39">
        <f>IF(My_Payment[[#This Row],[Payment_Code]]="S",My_Payment[[#This Row],[Total AMT]]/2,IF(My_Payment[[#This Row],[Payment_Code]]="N",My_Payment[[#This Row],[Total AMT]],0))</f>
        <v>0</v>
      </c>
    </row>
    <row r="1449" spans="1:10">
      <c r="A1449" s="38">
        <v>46060</v>
      </c>
      <c r="B1449" s="37" t="s">
        <v>305</v>
      </c>
      <c r="C1449" s="37" t="s">
        <v>226</v>
      </c>
      <c r="D1449" s="37" t="s">
        <v>680</v>
      </c>
      <c r="E1449" s="37" t="s">
        <v>211</v>
      </c>
      <c r="F1449" s="38">
        <v>46088</v>
      </c>
      <c r="G1449" s="37" t="s">
        <v>215</v>
      </c>
      <c r="H1449" s="39">
        <v>693</v>
      </c>
      <c r="I1449" s="39">
        <f>IF(My_Payment[[#This Row],[Payment_Code]]="S",My_Payment[[#This Row],[Total AMT]]/2,IF(My_Payment[[#This Row],[Payment_Code]]="P",My_Payment[[#This Row],[Total AMT]],0))</f>
        <v>693</v>
      </c>
      <c r="J1449" s="39">
        <f>IF(My_Payment[[#This Row],[Payment_Code]]="S",My_Payment[[#This Row],[Total AMT]]/2,IF(My_Payment[[#This Row],[Payment_Code]]="N",My_Payment[[#This Row],[Total AMT]],0))</f>
        <v>0</v>
      </c>
    </row>
    <row r="1450" spans="1:10">
      <c r="A1450" s="38">
        <v>46071</v>
      </c>
      <c r="B1450" s="37" t="s">
        <v>305</v>
      </c>
      <c r="C1450" s="37" t="s">
        <v>226</v>
      </c>
      <c r="D1450" s="37" t="s">
        <v>33</v>
      </c>
      <c r="E1450" s="37" t="s">
        <v>211</v>
      </c>
      <c r="F1450" s="38">
        <v>46119</v>
      </c>
      <c r="G1450" s="37" t="s">
        <v>215</v>
      </c>
      <c r="H1450" s="39">
        <v>672.3</v>
      </c>
      <c r="I1450" s="39">
        <f>IF(My_Payment[[#This Row],[Payment_Code]]="S",My_Payment[[#This Row],[Total AMT]]/2,IF(My_Payment[[#This Row],[Payment_Code]]="P",My_Payment[[#This Row],[Total AMT]],0))</f>
        <v>672.3</v>
      </c>
      <c r="J1450" s="39">
        <f>IF(My_Payment[[#This Row],[Payment_Code]]="S",My_Payment[[#This Row],[Total AMT]]/2,IF(My_Payment[[#This Row],[Payment_Code]]="N",My_Payment[[#This Row],[Total AMT]],0))</f>
        <v>0</v>
      </c>
    </row>
    <row r="1451" spans="1:10">
      <c r="A1451" s="38">
        <v>46075</v>
      </c>
      <c r="B1451" s="37" t="s">
        <v>305</v>
      </c>
      <c r="C1451" s="37" t="s">
        <v>226</v>
      </c>
      <c r="D1451" s="37" t="s">
        <v>33</v>
      </c>
      <c r="E1451" s="37" t="s">
        <v>211</v>
      </c>
      <c r="F1451" s="38">
        <v>46119</v>
      </c>
      <c r="G1451" s="37" t="s">
        <v>215</v>
      </c>
      <c r="H1451" s="39">
        <v>308.76</v>
      </c>
      <c r="I1451" s="39">
        <f>IF(My_Payment[[#This Row],[Payment_Code]]="S",My_Payment[[#This Row],[Total AMT]]/2,IF(My_Payment[[#This Row],[Payment_Code]]="P",My_Payment[[#This Row],[Total AMT]],0))</f>
        <v>308.76</v>
      </c>
      <c r="J1451" s="39">
        <f>IF(My_Payment[[#This Row],[Payment_Code]]="S",My_Payment[[#This Row],[Total AMT]]/2,IF(My_Payment[[#This Row],[Payment_Code]]="N",My_Payment[[#This Row],[Total AMT]],0))</f>
        <v>0</v>
      </c>
    </row>
    <row r="1452" spans="1:10">
      <c r="A1452" s="38">
        <v>46075</v>
      </c>
      <c r="B1452" s="37" t="s">
        <v>305</v>
      </c>
      <c r="C1452" s="37" t="s">
        <v>226</v>
      </c>
      <c r="D1452" s="37" t="s">
        <v>680</v>
      </c>
      <c r="E1452" s="37" t="s">
        <v>211</v>
      </c>
      <c r="F1452" s="38">
        <v>46119</v>
      </c>
      <c r="G1452" s="37" t="s">
        <v>215</v>
      </c>
      <c r="H1452" s="39">
        <v>66</v>
      </c>
      <c r="I1452" s="39">
        <f>IF(My_Payment[[#This Row],[Payment_Code]]="S",My_Payment[[#This Row],[Total AMT]]/2,IF(My_Payment[[#This Row],[Payment_Code]]="P",My_Payment[[#This Row],[Total AMT]],0))</f>
        <v>66</v>
      </c>
      <c r="J1452" s="39">
        <f>IF(My_Payment[[#This Row],[Payment_Code]]="S",My_Payment[[#This Row],[Total AMT]]/2,IF(My_Payment[[#This Row],[Payment_Code]]="N",My_Payment[[#This Row],[Total AMT]],0))</f>
        <v>0</v>
      </c>
    </row>
    <row r="1453" spans="1:10">
      <c r="A1453" s="38">
        <v>46075</v>
      </c>
      <c r="B1453" s="37" t="s">
        <v>305</v>
      </c>
      <c r="C1453" s="37" t="s">
        <v>226</v>
      </c>
      <c r="D1453" s="37" t="s">
        <v>680</v>
      </c>
      <c r="E1453" s="37" t="s">
        <v>211</v>
      </c>
      <c r="F1453" s="38">
        <v>46119</v>
      </c>
      <c r="G1453" s="37" t="s">
        <v>215</v>
      </c>
      <c r="H1453" s="39">
        <v>142</v>
      </c>
      <c r="I1453" s="39">
        <f>IF(My_Payment[[#This Row],[Payment_Code]]="S",My_Payment[[#This Row],[Total AMT]]/2,IF(My_Payment[[#This Row],[Payment_Code]]="P",My_Payment[[#This Row],[Total AMT]],0))</f>
        <v>142</v>
      </c>
      <c r="J1453" s="39">
        <f>IF(My_Payment[[#This Row],[Payment_Code]]="S",My_Payment[[#This Row],[Total AMT]]/2,IF(My_Payment[[#This Row],[Payment_Code]]="N",My_Payment[[#This Row],[Total AMT]],0))</f>
        <v>0</v>
      </c>
    </row>
    <row r="1454" spans="1:10">
      <c r="A1454" s="38">
        <v>46075</v>
      </c>
      <c r="B1454" s="37" t="s">
        <v>305</v>
      </c>
      <c r="C1454" s="37" t="s">
        <v>226</v>
      </c>
      <c r="D1454" s="37" t="s">
        <v>680</v>
      </c>
      <c r="E1454" s="37" t="s">
        <v>211</v>
      </c>
      <c r="F1454" s="38">
        <v>46119</v>
      </c>
      <c r="G1454" s="37" t="s">
        <v>215</v>
      </c>
      <c r="H1454" s="39">
        <v>171</v>
      </c>
      <c r="I1454" s="39">
        <f>IF(My_Payment[[#This Row],[Payment_Code]]="S",My_Payment[[#This Row],[Total AMT]]/2,IF(My_Payment[[#This Row],[Payment_Code]]="P",My_Payment[[#This Row],[Total AMT]],0))</f>
        <v>171</v>
      </c>
      <c r="J1454" s="39">
        <f>IF(My_Payment[[#This Row],[Payment_Code]]="S",My_Payment[[#This Row],[Total AMT]]/2,IF(My_Payment[[#This Row],[Payment_Code]]="N",My_Payment[[#This Row],[Total AMT]],0))</f>
        <v>0</v>
      </c>
    </row>
    <row r="1455" spans="1:10">
      <c r="A1455" s="38">
        <v>46075</v>
      </c>
      <c r="B1455" s="37" t="s">
        <v>305</v>
      </c>
      <c r="C1455" s="37" t="s">
        <v>226</v>
      </c>
      <c r="D1455" s="37" t="s">
        <v>680</v>
      </c>
      <c r="E1455" s="37" t="s">
        <v>211</v>
      </c>
      <c r="F1455" s="38">
        <v>46119</v>
      </c>
      <c r="G1455" s="37" t="s">
        <v>215</v>
      </c>
      <c r="H1455" s="39">
        <v>1378</v>
      </c>
      <c r="I1455" s="39">
        <f>IF(My_Payment[[#This Row],[Payment_Code]]="S",My_Payment[[#This Row],[Total AMT]]/2,IF(My_Payment[[#This Row],[Payment_Code]]="P",My_Payment[[#This Row],[Total AMT]],0))</f>
        <v>1378</v>
      </c>
      <c r="J1455" s="39">
        <f>IF(My_Payment[[#This Row],[Payment_Code]]="S",My_Payment[[#This Row],[Total AMT]]/2,IF(My_Payment[[#This Row],[Payment_Code]]="N",My_Payment[[#This Row],[Total AMT]],0))</f>
        <v>0</v>
      </c>
    </row>
    <row r="1456" spans="1:10">
      <c r="A1456" s="38">
        <v>46075</v>
      </c>
      <c r="B1456" s="37" t="s">
        <v>305</v>
      </c>
      <c r="C1456" s="37" t="s">
        <v>226</v>
      </c>
      <c r="D1456" s="37" t="s">
        <v>33</v>
      </c>
      <c r="E1456" s="37" t="s">
        <v>211</v>
      </c>
      <c r="F1456" s="38">
        <v>46119</v>
      </c>
      <c r="G1456" s="37" t="s">
        <v>215</v>
      </c>
      <c r="H1456" s="39">
        <v>219</v>
      </c>
      <c r="I1456" s="39">
        <f>IF(My_Payment[[#This Row],[Payment_Code]]="S",My_Payment[[#This Row],[Total AMT]]/2,IF(My_Payment[[#This Row],[Payment_Code]]="P",My_Payment[[#This Row],[Total AMT]],0))</f>
        <v>219</v>
      </c>
      <c r="J1456" s="39">
        <f>IF(My_Payment[[#This Row],[Payment_Code]]="S",My_Payment[[#This Row],[Total AMT]]/2,IF(My_Payment[[#This Row],[Payment_Code]]="N",My_Payment[[#This Row],[Total AMT]],0))</f>
        <v>0</v>
      </c>
    </row>
    <row r="1457" spans="1:10">
      <c r="A1457" s="38">
        <v>46082</v>
      </c>
      <c r="B1457" s="37" t="s">
        <v>305</v>
      </c>
      <c r="C1457" s="37" t="s">
        <v>226</v>
      </c>
      <c r="D1457" s="37" t="s">
        <v>33</v>
      </c>
      <c r="E1457" s="37" t="s">
        <v>211</v>
      </c>
      <c r="F1457" s="38">
        <v>46119</v>
      </c>
      <c r="G1457" s="37" t="s">
        <v>215</v>
      </c>
      <c r="H1457" s="39">
        <v>187</v>
      </c>
      <c r="I1457" s="39">
        <f>IF(My_Payment[[#This Row],[Payment_Code]]="S",My_Payment[[#This Row],[Total AMT]]/2,IF(My_Payment[[#This Row],[Payment_Code]]="P",My_Payment[[#This Row],[Total AMT]],0))</f>
        <v>187</v>
      </c>
      <c r="J1457" s="39">
        <f>IF(My_Payment[[#This Row],[Payment_Code]]="S",My_Payment[[#This Row],[Total AMT]]/2,IF(My_Payment[[#This Row],[Payment_Code]]="N",My_Payment[[#This Row],[Total AMT]],0))</f>
        <v>0</v>
      </c>
    </row>
    <row r="1458" spans="1:10">
      <c r="A1458" s="38">
        <v>46085</v>
      </c>
      <c r="B1458" s="37" t="s">
        <v>305</v>
      </c>
      <c r="C1458" s="37" t="s">
        <v>226</v>
      </c>
      <c r="D1458" s="37" t="s">
        <v>680</v>
      </c>
      <c r="E1458" s="37" t="s">
        <v>211</v>
      </c>
      <c r="F1458" s="38">
        <v>46119</v>
      </c>
      <c r="G1458" s="37" t="s">
        <v>215</v>
      </c>
      <c r="H1458" s="39">
        <v>66</v>
      </c>
      <c r="I1458" s="39">
        <f>IF(My_Payment[[#This Row],[Payment_Code]]="S",My_Payment[[#This Row],[Total AMT]]/2,IF(My_Payment[[#This Row],[Payment_Code]]="P",My_Payment[[#This Row],[Total AMT]],0))</f>
        <v>66</v>
      </c>
      <c r="J1458" s="39">
        <f>IF(My_Payment[[#This Row],[Payment_Code]]="S",My_Payment[[#This Row],[Total AMT]]/2,IF(My_Payment[[#This Row],[Payment_Code]]="N",My_Payment[[#This Row],[Total AMT]],0))</f>
        <v>0</v>
      </c>
    </row>
    <row r="1459" spans="1:10">
      <c r="A1459" s="38">
        <v>46085</v>
      </c>
      <c r="B1459" s="37" t="s">
        <v>305</v>
      </c>
      <c r="C1459" s="37" t="s">
        <v>226</v>
      </c>
      <c r="D1459" s="37" t="s">
        <v>680</v>
      </c>
      <c r="E1459" s="37" t="s">
        <v>211</v>
      </c>
      <c r="F1459" s="38">
        <v>46119</v>
      </c>
      <c r="G1459" s="37" t="s">
        <v>215</v>
      </c>
      <c r="H1459" s="39">
        <v>142</v>
      </c>
      <c r="I1459" s="39">
        <f>IF(My_Payment[[#This Row],[Payment_Code]]="S",My_Payment[[#This Row],[Total AMT]]/2,IF(My_Payment[[#This Row],[Payment_Code]]="P",My_Payment[[#This Row],[Total AMT]],0))</f>
        <v>142</v>
      </c>
      <c r="J1459" s="39">
        <f>IF(My_Payment[[#This Row],[Payment_Code]]="S",My_Payment[[#This Row],[Total AMT]]/2,IF(My_Payment[[#This Row],[Payment_Code]]="N",My_Payment[[#This Row],[Total AMT]],0))</f>
        <v>0</v>
      </c>
    </row>
    <row r="1460" spans="1:10">
      <c r="A1460" s="38">
        <v>46085</v>
      </c>
      <c r="B1460" s="37" t="s">
        <v>305</v>
      </c>
      <c r="C1460" s="37" t="s">
        <v>226</v>
      </c>
      <c r="D1460" s="37" t="s">
        <v>680</v>
      </c>
      <c r="E1460" s="37" t="s">
        <v>211</v>
      </c>
      <c r="F1460" s="38">
        <v>46119</v>
      </c>
      <c r="G1460" s="37" t="s">
        <v>215</v>
      </c>
      <c r="H1460" s="39">
        <v>237</v>
      </c>
      <c r="I1460" s="39">
        <f>IF(My_Payment[[#This Row],[Payment_Code]]="S",My_Payment[[#This Row],[Total AMT]]/2,IF(My_Payment[[#This Row],[Payment_Code]]="P",My_Payment[[#This Row],[Total AMT]],0))</f>
        <v>237</v>
      </c>
      <c r="J1460" s="39">
        <f>IF(My_Payment[[#This Row],[Payment_Code]]="S",My_Payment[[#This Row],[Total AMT]]/2,IF(My_Payment[[#This Row],[Payment_Code]]="N",My_Payment[[#This Row],[Total AMT]],0))</f>
        <v>0</v>
      </c>
    </row>
    <row r="1461" spans="1:10">
      <c r="A1461" s="38">
        <v>46073</v>
      </c>
      <c r="B1461" s="37" t="s">
        <v>348</v>
      </c>
      <c r="C1461" s="37" t="s">
        <v>209</v>
      </c>
      <c r="D1461" s="37" t="s">
        <v>48</v>
      </c>
      <c r="E1461" s="37" t="s">
        <v>211</v>
      </c>
      <c r="F1461" s="38">
        <v>46113</v>
      </c>
      <c r="G1461" s="37" t="s">
        <v>215</v>
      </c>
      <c r="H1461" s="40">
        <f>(699+100-100)*1.07</f>
        <v>747.93000000000006</v>
      </c>
      <c r="I1461" s="39">
        <f>IF(My_Payment[[#This Row],[Payment_Code]]="S",My_Payment[[#This Row],[Total AMT]]/2,IF(My_Payment[[#This Row],[Payment_Code]]="P",My_Payment[[#This Row],[Total AMT]],0))</f>
        <v>747.93000000000006</v>
      </c>
      <c r="J1461" s="39">
        <f>IF(My_Payment[[#This Row],[Payment_Code]]="S",My_Payment[[#This Row],[Total AMT]]/2,IF(My_Payment[[#This Row],[Payment_Code]]="N",My_Payment[[#This Row],[Total AMT]],0))</f>
        <v>0</v>
      </c>
    </row>
    <row r="1462" spans="1:10">
      <c r="A1462" s="38">
        <v>46073</v>
      </c>
      <c r="B1462" s="37" t="s">
        <v>348</v>
      </c>
      <c r="C1462" s="37" t="s">
        <v>209</v>
      </c>
      <c r="D1462" s="37" t="s">
        <v>49</v>
      </c>
      <c r="E1462" s="37" t="s">
        <v>211</v>
      </c>
      <c r="F1462" s="38">
        <v>46113</v>
      </c>
      <c r="G1462" s="37" t="s">
        <v>215</v>
      </c>
      <c r="H1462" s="40">
        <f>(1070-171-199)*1.07</f>
        <v>749</v>
      </c>
      <c r="I1462" s="39">
        <f>IF(My_Payment[[#This Row],[Payment_Code]]="S",My_Payment[[#This Row],[Total AMT]]/2,IF(My_Payment[[#This Row],[Payment_Code]]="P",My_Payment[[#This Row],[Total AMT]],0))</f>
        <v>749</v>
      </c>
      <c r="J1462" s="39">
        <f>IF(My_Payment[[#This Row],[Payment_Code]]="S",My_Payment[[#This Row],[Total AMT]]/2,IF(My_Payment[[#This Row],[Payment_Code]]="N",My_Payment[[#This Row],[Total AMT]],0))</f>
        <v>0</v>
      </c>
    </row>
    <row r="1463" spans="1:10">
      <c r="A1463" s="38">
        <v>46071</v>
      </c>
      <c r="B1463" s="37" t="s">
        <v>348</v>
      </c>
      <c r="C1463" s="37" t="s">
        <v>209</v>
      </c>
      <c r="D1463" s="37" t="s">
        <v>81</v>
      </c>
      <c r="E1463" s="37" t="s">
        <v>211</v>
      </c>
      <c r="F1463" s="38">
        <v>46113</v>
      </c>
      <c r="G1463" s="37" t="s">
        <v>215</v>
      </c>
      <c r="H1463" s="40">
        <f>699*1.07</f>
        <v>747.93000000000006</v>
      </c>
      <c r="I1463" s="39">
        <f>IF(My_Payment[[#This Row],[Payment_Code]]="S",My_Payment[[#This Row],[Total AMT]]/2,IF(My_Payment[[#This Row],[Payment_Code]]="P",My_Payment[[#This Row],[Total AMT]],0))</f>
        <v>747.93000000000006</v>
      </c>
      <c r="J1463" s="39">
        <f>IF(My_Payment[[#This Row],[Payment_Code]]="S",My_Payment[[#This Row],[Total AMT]]/2,IF(My_Payment[[#This Row],[Payment_Code]]="N",My_Payment[[#This Row],[Total AMT]],0))</f>
        <v>0</v>
      </c>
    </row>
    <row r="1464" spans="1:10">
      <c r="A1464" s="38">
        <v>46098</v>
      </c>
      <c r="B1464" s="37" t="s">
        <v>348</v>
      </c>
      <c r="C1464" s="37" t="s">
        <v>209</v>
      </c>
      <c r="D1464" s="37" t="s">
        <v>20</v>
      </c>
      <c r="E1464" s="37" t="s">
        <v>211</v>
      </c>
      <c r="F1464" s="38">
        <v>46113</v>
      </c>
      <c r="G1464" s="37" t="s">
        <v>215</v>
      </c>
      <c r="H1464" s="40">
        <f>SUM(H1461:H1463)*-0.25%</f>
        <v>-5.6121500000000006</v>
      </c>
      <c r="I1464" s="39">
        <f>IF(My_Payment[[#This Row],[Payment_Code]]="S",My_Payment[[#This Row],[Total AMT]]/2,IF(My_Payment[[#This Row],[Payment_Code]]="P",My_Payment[[#This Row],[Total AMT]],0))</f>
        <v>-5.6121500000000006</v>
      </c>
      <c r="J1464" s="39">
        <f>IF(My_Payment[[#This Row],[Payment_Code]]="S",My_Payment[[#This Row],[Total AMT]]/2,IF(My_Payment[[#This Row],[Payment_Code]]="N",My_Payment[[#This Row],[Total AMT]],0))</f>
        <v>0</v>
      </c>
    </row>
    <row r="1465" spans="1:10">
      <c r="A1465" s="38">
        <v>46043</v>
      </c>
      <c r="B1465" s="37" t="s">
        <v>345</v>
      </c>
      <c r="C1465" s="37" t="s">
        <v>248</v>
      </c>
      <c r="D1465" s="37" t="s">
        <v>700</v>
      </c>
      <c r="E1465" s="37" t="s">
        <v>211</v>
      </c>
      <c r="F1465" s="38">
        <v>46083</v>
      </c>
      <c r="G1465" s="37" t="s">
        <v>212</v>
      </c>
      <c r="H1465" s="39">
        <v>1763.73</v>
      </c>
      <c r="I1465" s="39">
        <f>IF(My_Payment[[#This Row],[Payment_Code]]="S",My_Payment[[#This Row],[Total AMT]]/2,IF(My_Payment[[#This Row],[Payment_Code]]="P",My_Payment[[#This Row],[Total AMT]],0))</f>
        <v>881.86500000000001</v>
      </c>
      <c r="J1465" s="39">
        <f>IF(My_Payment[[#This Row],[Payment_Code]]="S",My_Payment[[#This Row],[Total AMT]]/2,IF(My_Payment[[#This Row],[Payment_Code]]="N",My_Payment[[#This Row],[Total AMT]],0))</f>
        <v>881.86500000000001</v>
      </c>
    </row>
    <row r="1466" spans="1:10">
      <c r="A1466" s="38">
        <v>46070</v>
      </c>
      <c r="B1466" s="37" t="s">
        <v>345</v>
      </c>
      <c r="C1466" s="37" t="s">
        <v>248</v>
      </c>
      <c r="D1466" s="37" t="s">
        <v>700</v>
      </c>
      <c r="E1466" s="37" t="s">
        <v>211</v>
      </c>
      <c r="F1466" s="38">
        <v>46083</v>
      </c>
      <c r="G1466" s="37" t="s">
        <v>212</v>
      </c>
      <c r="H1466" s="39">
        <v>1763.73</v>
      </c>
      <c r="I1466" s="39">
        <f>IF(My_Payment[[#This Row],[Payment_Code]]="S",My_Payment[[#This Row],[Total AMT]]/2,IF(My_Payment[[#This Row],[Payment_Code]]="P",My_Payment[[#This Row],[Total AMT]],0))</f>
        <v>881.86500000000001</v>
      </c>
      <c r="J1466" s="39">
        <f>IF(My_Payment[[#This Row],[Payment_Code]]="S",My_Payment[[#This Row],[Total AMT]]/2,IF(My_Payment[[#This Row],[Payment_Code]]="N",My_Payment[[#This Row],[Total AMT]],0))</f>
        <v>881.86500000000001</v>
      </c>
    </row>
    <row r="1467" spans="1:10">
      <c r="A1467" s="38">
        <v>46054</v>
      </c>
      <c r="B1467" s="37" t="s">
        <v>357</v>
      </c>
      <c r="C1467" s="37" t="s">
        <v>248</v>
      </c>
      <c r="D1467" s="37" t="s">
        <v>701</v>
      </c>
      <c r="E1467" s="37" t="s">
        <v>211</v>
      </c>
      <c r="F1467" s="38">
        <v>46086</v>
      </c>
      <c r="G1467" s="37" t="s">
        <v>215</v>
      </c>
      <c r="H1467" s="39">
        <v>262</v>
      </c>
      <c r="I1467" s="39">
        <f>IF(My_Payment[[#This Row],[Payment_Code]]="S",My_Payment[[#This Row],[Total AMT]]/2,IF(My_Payment[[#This Row],[Payment_Code]]="P",My_Payment[[#This Row],[Total AMT]],0))</f>
        <v>262</v>
      </c>
      <c r="J1467" s="39">
        <f>IF(My_Payment[[#This Row],[Payment_Code]]="S",My_Payment[[#This Row],[Total AMT]]/2,IF(My_Payment[[#This Row],[Payment_Code]]="N",My_Payment[[#This Row],[Total AMT]],0))</f>
        <v>0</v>
      </c>
    </row>
    <row r="1468" spans="1:10">
      <c r="A1468" s="38">
        <v>46059</v>
      </c>
      <c r="B1468" s="37" t="s">
        <v>357</v>
      </c>
      <c r="C1468" s="37" t="s">
        <v>248</v>
      </c>
      <c r="D1468" s="37" t="s">
        <v>702</v>
      </c>
      <c r="E1468" s="37" t="s">
        <v>211</v>
      </c>
      <c r="F1468" s="38">
        <v>46086</v>
      </c>
      <c r="G1468" s="37" t="s">
        <v>215</v>
      </c>
      <c r="H1468" s="39">
        <v>317</v>
      </c>
      <c r="I1468" s="39">
        <f>IF(My_Payment[[#This Row],[Payment_Code]]="S",My_Payment[[#This Row],[Total AMT]]/2,IF(My_Payment[[#This Row],[Payment_Code]]="P",My_Payment[[#This Row],[Total AMT]],0))</f>
        <v>317</v>
      </c>
      <c r="J1468" s="39">
        <f>IF(My_Payment[[#This Row],[Payment_Code]]="S",My_Payment[[#This Row],[Total AMT]]/2,IF(My_Payment[[#This Row],[Payment_Code]]="N",My_Payment[[#This Row],[Total AMT]],0))</f>
        <v>0</v>
      </c>
    </row>
    <row r="1469" spans="1:10">
      <c r="A1469" s="38">
        <v>46068</v>
      </c>
      <c r="B1469" s="37" t="s">
        <v>357</v>
      </c>
      <c r="C1469" s="37" t="s">
        <v>248</v>
      </c>
      <c r="D1469" s="37" t="s">
        <v>703</v>
      </c>
      <c r="E1469" s="37" t="s">
        <v>211</v>
      </c>
      <c r="F1469" s="38">
        <v>46086</v>
      </c>
      <c r="G1469" s="37" t="s">
        <v>215</v>
      </c>
      <c r="H1469" s="39">
        <v>241</v>
      </c>
      <c r="I1469" s="39">
        <f>IF(My_Payment[[#This Row],[Payment_Code]]="S",My_Payment[[#This Row],[Total AMT]]/2,IF(My_Payment[[#This Row],[Payment_Code]]="P",My_Payment[[#This Row],[Total AMT]],0))</f>
        <v>241</v>
      </c>
      <c r="J1469" s="39">
        <f>IF(My_Payment[[#This Row],[Payment_Code]]="S",My_Payment[[#This Row],[Total AMT]]/2,IF(My_Payment[[#This Row],[Payment_Code]]="N",My_Payment[[#This Row],[Total AMT]],0))</f>
        <v>0</v>
      </c>
    </row>
    <row r="1470" spans="1:10">
      <c r="A1470" s="38">
        <v>46069</v>
      </c>
      <c r="B1470" s="37" t="s">
        <v>357</v>
      </c>
      <c r="C1470" s="37" t="s">
        <v>248</v>
      </c>
      <c r="D1470" s="37" t="s">
        <v>704</v>
      </c>
      <c r="E1470" s="37" t="s">
        <v>211</v>
      </c>
      <c r="F1470" s="38">
        <v>46086</v>
      </c>
      <c r="G1470" s="37" t="s">
        <v>215</v>
      </c>
      <c r="H1470" s="39">
        <v>113</v>
      </c>
      <c r="I1470" s="39">
        <f>IF(My_Payment[[#This Row],[Payment_Code]]="S",My_Payment[[#This Row],[Total AMT]]/2,IF(My_Payment[[#This Row],[Payment_Code]]="P",My_Payment[[#This Row],[Total AMT]],0))</f>
        <v>113</v>
      </c>
      <c r="J1470" s="39">
        <f>IF(My_Payment[[#This Row],[Payment_Code]]="S",My_Payment[[#This Row],[Total AMT]]/2,IF(My_Payment[[#This Row],[Payment_Code]]="N",My_Payment[[#This Row],[Total AMT]],0))</f>
        <v>0</v>
      </c>
    </row>
    <row r="1471" spans="1:10">
      <c r="A1471" s="38">
        <v>46070</v>
      </c>
      <c r="B1471" s="37" t="s">
        <v>357</v>
      </c>
      <c r="C1471" s="37" t="s">
        <v>248</v>
      </c>
      <c r="D1471" s="37" t="s">
        <v>705</v>
      </c>
      <c r="E1471" s="37" t="s">
        <v>211</v>
      </c>
      <c r="F1471" s="38">
        <v>46086</v>
      </c>
      <c r="G1471" s="37" t="s">
        <v>215</v>
      </c>
      <c r="H1471" s="39">
        <v>49</v>
      </c>
      <c r="I1471" s="39">
        <f>IF(My_Payment[[#This Row],[Payment_Code]]="S",My_Payment[[#This Row],[Total AMT]]/2,IF(My_Payment[[#This Row],[Payment_Code]]="P",My_Payment[[#This Row],[Total AMT]],0))</f>
        <v>49</v>
      </c>
      <c r="J1471" s="39">
        <f>IF(My_Payment[[#This Row],[Payment_Code]]="S",My_Payment[[#This Row],[Total AMT]]/2,IF(My_Payment[[#This Row],[Payment_Code]]="N",My_Payment[[#This Row],[Total AMT]],0))</f>
        <v>0</v>
      </c>
    </row>
    <row r="1472" spans="1:10">
      <c r="A1472" s="38">
        <v>46088</v>
      </c>
      <c r="B1472" s="37" t="s">
        <v>357</v>
      </c>
      <c r="C1472" s="37" t="s">
        <v>248</v>
      </c>
      <c r="D1472" s="37" t="s">
        <v>706</v>
      </c>
      <c r="E1472" s="37" t="s">
        <v>211</v>
      </c>
      <c r="F1472" s="38">
        <v>46117</v>
      </c>
      <c r="G1472" s="37" t="s">
        <v>215</v>
      </c>
      <c r="H1472" s="39">
        <v>209</v>
      </c>
      <c r="I1472" s="39">
        <f>IF(My_Payment[[#This Row],[Payment_Code]]="S",My_Payment[[#This Row],[Total AMT]]/2,IF(My_Payment[[#This Row],[Payment_Code]]="P",My_Payment[[#This Row],[Total AMT]],0))</f>
        <v>209</v>
      </c>
      <c r="J1472" s="39">
        <f>IF(My_Payment[[#This Row],[Payment_Code]]="S",My_Payment[[#This Row],[Total AMT]]/2,IF(My_Payment[[#This Row],[Payment_Code]]="N",My_Payment[[#This Row],[Total AMT]],0))</f>
        <v>0</v>
      </c>
    </row>
    <row r="1473" spans="1:10">
      <c r="A1473" s="38">
        <v>46090</v>
      </c>
      <c r="B1473" s="37" t="s">
        <v>357</v>
      </c>
      <c r="C1473" s="37" t="s">
        <v>248</v>
      </c>
      <c r="D1473" s="37" t="s">
        <v>707</v>
      </c>
      <c r="E1473" s="37" t="s">
        <v>324</v>
      </c>
      <c r="F1473" s="38">
        <v>46117</v>
      </c>
      <c r="G1473" s="37" t="s">
        <v>215</v>
      </c>
      <c r="H1473" s="39">
        <v>164</v>
      </c>
      <c r="I1473" s="39">
        <f>IF(My_Payment[[#This Row],[Payment_Code]]="S",My_Payment[[#This Row],[Total AMT]]/2,IF(My_Payment[[#This Row],[Payment_Code]]="P",My_Payment[[#This Row],[Total AMT]],0))</f>
        <v>164</v>
      </c>
      <c r="J1473" s="39">
        <f>IF(My_Payment[[#This Row],[Payment_Code]]="S",My_Payment[[#This Row],[Total AMT]]/2,IF(My_Payment[[#This Row],[Payment_Code]]="N",My_Payment[[#This Row],[Total AMT]],0))</f>
        <v>0</v>
      </c>
    </row>
    <row r="1474" spans="1:10">
      <c r="A1474" s="38">
        <v>46121</v>
      </c>
      <c r="B1474" s="37" t="s">
        <v>357</v>
      </c>
      <c r="C1474" s="37" t="s">
        <v>248</v>
      </c>
      <c r="D1474" s="37" t="s">
        <v>707</v>
      </c>
      <c r="E1474" s="37" t="s">
        <v>327</v>
      </c>
      <c r="F1474" s="38">
        <v>46147</v>
      </c>
      <c r="G1474" s="37" t="s">
        <v>215</v>
      </c>
      <c r="H1474" s="39">
        <v>164</v>
      </c>
      <c r="I1474" s="39">
        <f>IF(My_Payment[[#This Row],[Payment_Code]]="S",My_Payment[[#This Row],[Total AMT]]/2,IF(My_Payment[[#This Row],[Payment_Code]]="P",My_Payment[[#This Row],[Total AMT]],0))</f>
        <v>164</v>
      </c>
      <c r="J1474" s="39">
        <f>IF(My_Payment[[#This Row],[Payment_Code]]="S",My_Payment[[#This Row],[Total AMT]]/2,IF(My_Payment[[#This Row],[Payment_Code]]="N",My_Payment[[#This Row],[Total AMT]],0))</f>
        <v>0</v>
      </c>
    </row>
    <row r="1475" spans="1:10">
      <c r="A1475" s="38">
        <v>46151</v>
      </c>
      <c r="B1475" s="37" t="s">
        <v>357</v>
      </c>
      <c r="C1475" s="37" t="s">
        <v>248</v>
      </c>
      <c r="D1475" s="37" t="s">
        <v>707</v>
      </c>
      <c r="E1475" s="37" t="s">
        <v>80</v>
      </c>
      <c r="F1475" s="38">
        <v>46178</v>
      </c>
      <c r="G1475" s="37" t="s">
        <v>215</v>
      </c>
      <c r="H1475" s="39">
        <v>164</v>
      </c>
      <c r="I1475" s="39">
        <f>IF(My_Payment[[#This Row],[Payment_Code]]="S",My_Payment[[#This Row],[Total AMT]]/2,IF(My_Payment[[#This Row],[Payment_Code]]="P",My_Payment[[#This Row],[Total AMT]],0))</f>
        <v>164</v>
      </c>
      <c r="J1475" s="39">
        <f>IF(My_Payment[[#This Row],[Payment_Code]]="S",My_Payment[[#This Row],[Total AMT]]/2,IF(My_Payment[[#This Row],[Payment_Code]]="N",My_Payment[[#This Row],[Total AMT]],0))</f>
        <v>0</v>
      </c>
    </row>
    <row r="1476" spans="1:10">
      <c r="A1476" s="38">
        <v>46098</v>
      </c>
      <c r="B1476" s="37" t="s">
        <v>357</v>
      </c>
      <c r="C1476" s="37" t="s">
        <v>248</v>
      </c>
      <c r="D1476" s="37" t="s">
        <v>705</v>
      </c>
      <c r="E1476" s="37" t="s">
        <v>211</v>
      </c>
      <c r="F1476" s="38">
        <v>46117</v>
      </c>
      <c r="G1476" s="37" t="s">
        <v>215</v>
      </c>
      <c r="H1476" s="39">
        <v>49</v>
      </c>
      <c r="I1476" s="39">
        <f>IF(My_Payment[[#This Row],[Payment_Code]]="S",My_Payment[[#This Row],[Total AMT]]/2,IF(My_Payment[[#This Row],[Payment_Code]]="P",My_Payment[[#This Row],[Total AMT]],0))</f>
        <v>49</v>
      </c>
      <c r="J1476" s="39">
        <f>IF(My_Payment[[#This Row],[Payment_Code]]="S",My_Payment[[#This Row],[Total AMT]]/2,IF(My_Payment[[#This Row],[Payment_Code]]="N",My_Payment[[#This Row],[Total AMT]],0))</f>
        <v>0</v>
      </c>
    </row>
    <row r="1477" spans="1:10">
      <c r="A1477" s="38">
        <v>46083</v>
      </c>
      <c r="B1477" s="37" t="s">
        <v>697</v>
      </c>
      <c r="C1477" s="37" t="s">
        <v>299</v>
      </c>
      <c r="D1477" s="37" t="s">
        <v>708</v>
      </c>
      <c r="E1477" s="37" t="s">
        <v>211</v>
      </c>
      <c r="F1477" s="38">
        <v>46115</v>
      </c>
      <c r="G1477" s="37" t="s">
        <v>215</v>
      </c>
      <c r="H1477" s="39">
        <v>-4.5</v>
      </c>
      <c r="I1477" s="39">
        <f>IF(My_Payment[[#This Row],[Payment_Code]]="S",My_Payment[[#This Row],[Total AMT]]/2,IF(My_Payment[[#This Row],[Payment_Code]]="P",My_Payment[[#This Row],[Total AMT]],0))</f>
        <v>-4.5</v>
      </c>
      <c r="J1477" s="39">
        <f>IF(My_Payment[[#This Row],[Payment_Code]]="S",My_Payment[[#This Row],[Total AMT]]/2,IF(My_Payment[[#This Row],[Payment_Code]]="N",My_Payment[[#This Row],[Total AMT]],0))</f>
        <v>0</v>
      </c>
    </row>
    <row r="1478" spans="1:10">
      <c r="A1478" s="38">
        <v>46094</v>
      </c>
      <c r="B1478" s="37" t="s">
        <v>697</v>
      </c>
      <c r="C1478" s="37" t="s">
        <v>299</v>
      </c>
      <c r="D1478" s="37" t="s">
        <v>699</v>
      </c>
      <c r="E1478" s="37" t="s">
        <v>211</v>
      </c>
      <c r="F1478" s="38">
        <v>46115</v>
      </c>
      <c r="G1478" s="37" t="s">
        <v>215</v>
      </c>
      <c r="H1478" s="39">
        <v>-126.9</v>
      </c>
      <c r="I1478" s="39">
        <f>IF(My_Payment[[#This Row],[Payment_Code]]="S",My_Payment[[#This Row],[Total AMT]]/2,IF(My_Payment[[#This Row],[Payment_Code]]="P",My_Payment[[#This Row],[Total AMT]],0))</f>
        <v>-126.9</v>
      </c>
      <c r="J1478" s="39">
        <f>IF(My_Payment[[#This Row],[Payment_Code]]="S",My_Payment[[#This Row],[Total AMT]]/2,IF(My_Payment[[#This Row],[Payment_Code]]="N",My_Payment[[#This Row],[Total AMT]],0))</f>
        <v>0</v>
      </c>
    </row>
    <row r="1479" spans="1:10">
      <c r="A1479" s="38">
        <v>46090</v>
      </c>
      <c r="B1479" s="37" t="s">
        <v>697</v>
      </c>
      <c r="C1479" s="37" t="s">
        <v>299</v>
      </c>
      <c r="D1479" s="37" t="s">
        <v>709</v>
      </c>
      <c r="E1479" s="37" t="s">
        <v>211</v>
      </c>
      <c r="F1479" s="38">
        <v>46115</v>
      </c>
      <c r="G1479" s="37" t="s">
        <v>212</v>
      </c>
      <c r="H1479" s="39">
        <v>790</v>
      </c>
      <c r="I1479" s="39">
        <f>IF(My_Payment[[#This Row],[Payment_Code]]="S",My_Payment[[#This Row],[Total AMT]]/2,IF(My_Payment[[#This Row],[Payment_Code]]="P",My_Payment[[#This Row],[Total AMT]],0))</f>
        <v>395</v>
      </c>
      <c r="J1479" s="39">
        <f>IF(My_Payment[[#This Row],[Payment_Code]]="S",My_Payment[[#This Row],[Total AMT]]/2,IF(My_Payment[[#This Row],[Payment_Code]]="N",My_Payment[[#This Row],[Total AMT]],0))</f>
        <v>395</v>
      </c>
    </row>
    <row r="1480" spans="1:10">
      <c r="A1480" s="38">
        <v>46090</v>
      </c>
      <c r="B1480" s="37" t="s">
        <v>697</v>
      </c>
      <c r="C1480" s="37" t="s">
        <v>299</v>
      </c>
      <c r="D1480" s="37" t="s">
        <v>710</v>
      </c>
      <c r="E1480" s="37" t="s">
        <v>211</v>
      </c>
      <c r="F1480" s="38">
        <v>46115</v>
      </c>
      <c r="G1480" s="37" t="s">
        <v>215</v>
      </c>
      <c r="H1480" s="39">
        <v>75</v>
      </c>
      <c r="I1480" s="39">
        <f>IF(My_Payment[[#This Row],[Payment_Code]]="S",My_Payment[[#This Row],[Total AMT]]/2,IF(My_Payment[[#This Row],[Payment_Code]]="P",My_Payment[[#This Row],[Total AMT]],0))</f>
        <v>75</v>
      </c>
      <c r="J1480" s="39">
        <f>IF(My_Payment[[#This Row],[Payment_Code]]="S",My_Payment[[#This Row],[Total AMT]]/2,IF(My_Payment[[#This Row],[Payment_Code]]="N",My_Payment[[#This Row],[Total AMT]],0))</f>
        <v>0</v>
      </c>
    </row>
    <row r="1481" spans="1:10">
      <c r="A1481" s="38">
        <v>46090</v>
      </c>
      <c r="B1481" s="37" t="s">
        <v>697</v>
      </c>
      <c r="C1481" s="37" t="s">
        <v>299</v>
      </c>
      <c r="D1481" s="37" t="s">
        <v>711</v>
      </c>
      <c r="E1481" s="37" t="s">
        <v>211</v>
      </c>
      <c r="F1481" s="38">
        <v>46115</v>
      </c>
      <c r="G1481" s="37" t="s">
        <v>215</v>
      </c>
      <c r="H1481" s="39">
        <v>11900</v>
      </c>
      <c r="I1481" s="39">
        <f>IF(My_Payment[[#This Row],[Payment_Code]]="S",My_Payment[[#This Row],[Total AMT]]/2,IF(My_Payment[[#This Row],[Payment_Code]]="P",My_Payment[[#This Row],[Total AMT]],0))</f>
        <v>11900</v>
      </c>
      <c r="J1481" s="39">
        <f>IF(My_Payment[[#This Row],[Payment_Code]]="S",My_Payment[[#This Row],[Total AMT]]/2,IF(My_Payment[[#This Row],[Payment_Code]]="N",My_Payment[[#This Row],[Total AMT]],0))</f>
        <v>0</v>
      </c>
    </row>
    <row r="1482" spans="1:10">
      <c r="A1482" s="38">
        <v>46182</v>
      </c>
      <c r="B1482" s="37" t="s">
        <v>697</v>
      </c>
      <c r="C1482" s="37" t="s">
        <v>299</v>
      </c>
      <c r="D1482" s="37" t="s">
        <v>711</v>
      </c>
      <c r="E1482" s="37" t="s">
        <v>211</v>
      </c>
      <c r="F1482" s="38">
        <v>46176</v>
      </c>
      <c r="G1482" s="37" t="s">
        <v>3</v>
      </c>
      <c r="H1482" s="39">
        <v>0</v>
      </c>
      <c r="I1482" s="39">
        <v>-5950</v>
      </c>
      <c r="J1482" s="39">
        <f>+I1481/2</f>
        <v>5950</v>
      </c>
    </row>
    <row r="1483" spans="1:10">
      <c r="A1483" s="38">
        <v>46094</v>
      </c>
      <c r="B1483" s="37" t="s">
        <v>208</v>
      </c>
      <c r="C1483" s="37" t="s">
        <v>209</v>
      </c>
      <c r="D1483" s="37" t="s">
        <v>712</v>
      </c>
      <c r="E1483" s="37" t="s">
        <v>211</v>
      </c>
      <c r="F1483" s="38">
        <v>46144</v>
      </c>
      <c r="G1483" s="37" t="s">
        <v>215</v>
      </c>
      <c r="H1483" s="39">
        <v>2690</v>
      </c>
      <c r="I1483" s="39">
        <f>IF(My_Payment[[#This Row],[Payment_Code]]="S",My_Payment[[#This Row],[Total AMT]]/2,IF(My_Payment[[#This Row],[Payment_Code]]="P",My_Payment[[#This Row],[Total AMT]],0))</f>
        <v>2690</v>
      </c>
      <c r="J1483" s="39">
        <f>IF(My_Payment[[#This Row],[Payment_Code]]="S",My_Payment[[#This Row],[Total AMT]]/2,IF(My_Payment[[#This Row],[Payment_Code]]="N",My_Payment[[#This Row],[Total AMT]],0))</f>
        <v>0</v>
      </c>
    </row>
    <row r="1484" spans="1:10">
      <c r="A1484" s="38">
        <v>46124</v>
      </c>
      <c r="B1484" s="37" t="s">
        <v>208</v>
      </c>
      <c r="C1484" s="37" t="s">
        <v>209</v>
      </c>
      <c r="D1484" s="37" t="s">
        <v>217</v>
      </c>
      <c r="E1484" s="37" t="s">
        <v>211</v>
      </c>
      <c r="F1484" s="38">
        <v>46175</v>
      </c>
      <c r="G1484" s="37" t="s">
        <v>212</v>
      </c>
      <c r="H1484" s="39">
        <v>1239.6600000000001</v>
      </c>
      <c r="I1484" s="39">
        <v>927.83</v>
      </c>
      <c r="J1484" s="39">
        <v>311.83</v>
      </c>
    </row>
    <row r="1485" spans="1:10">
      <c r="A1485" s="38">
        <v>46143</v>
      </c>
      <c r="B1485" s="37" t="s">
        <v>208</v>
      </c>
      <c r="C1485" s="37" t="s">
        <v>209</v>
      </c>
      <c r="D1485" s="37" t="s">
        <v>713</v>
      </c>
      <c r="E1485" s="37" t="s">
        <v>211</v>
      </c>
      <c r="F1485" s="38">
        <v>46175</v>
      </c>
      <c r="G1485" s="37" t="s">
        <v>212</v>
      </c>
      <c r="H1485" s="39">
        <v>454.5</v>
      </c>
      <c r="I1485" s="39">
        <v>288</v>
      </c>
      <c r="J1485" s="39">
        <v>166.5</v>
      </c>
    </row>
    <row r="1486" spans="1:10">
      <c r="A1486" s="38">
        <v>46204</v>
      </c>
      <c r="B1486" s="37" t="s">
        <v>482</v>
      </c>
      <c r="C1486" s="37" t="s">
        <v>496</v>
      </c>
      <c r="D1486" s="37" t="s">
        <v>497</v>
      </c>
      <c r="E1486" s="37" t="s">
        <v>484</v>
      </c>
      <c r="F1486" s="38">
        <v>46204</v>
      </c>
      <c r="G1486" s="37" t="s">
        <v>212</v>
      </c>
      <c r="H1486" s="40">
        <v>359</v>
      </c>
      <c r="I1486" s="39">
        <f>IF(My_Payment[[#This Row],[Payment_Code]]="S",My_Payment[[#This Row],[Total AMT]]/2,IF(My_Payment[[#This Row],[Payment_Code]]="P",My_Payment[[#This Row],[Total AMT]],0))</f>
        <v>179.5</v>
      </c>
      <c r="J1486" s="39">
        <f>IF(My_Payment[[#This Row],[Payment_Code]]="S",My_Payment[[#This Row],[Total AMT]]/2,IF(My_Payment[[#This Row],[Payment_Code]]="N",My_Payment[[#This Row],[Total AMT]],0))</f>
        <v>179.5</v>
      </c>
    </row>
    <row r="1487" spans="1:10">
      <c r="A1487" s="38">
        <v>46235</v>
      </c>
      <c r="B1487" s="37" t="s">
        <v>482</v>
      </c>
      <c r="C1487" s="37" t="s">
        <v>496</v>
      </c>
      <c r="D1487" s="37" t="s">
        <v>497</v>
      </c>
      <c r="E1487" s="37" t="s">
        <v>485</v>
      </c>
      <c r="F1487" s="38">
        <v>46235</v>
      </c>
      <c r="G1487" s="37" t="s">
        <v>212</v>
      </c>
      <c r="H1487" s="40">
        <v>359</v>
      </c>
      <c r="I1487" s="39">
        <f>IF(My_Payment[[#This Row],[Payment_Code]]="S",My_Payment[[#This Row],[Total AMT]]/2,IF(My_Payment[[#This Row],[Payment_Code]]="P",My_Payment[[#This Row],[Total AMT]],0))</f>
        <v>179.5</v>
      </c>
      <c r="J1487" s="39">
        <f>IF(My_Payment[[#This Row],[Payment_Code]]="S",My_Payment[[#This Row],[Total AMT]]/2,IF(My_Payment[[#This Row],[Payment_Code]]="N",My_Payment[[#This Row],[Total AMT]],0))</f>
        <v>179.5</v>
      </c>
    </row>
    <row r="1488" spans="1:10">
      <c r="A1488" s="38">
        <v>46266</v>
      </c>
      <c r="B1488" s="37" t="s">
        <v>482</v>
      </c>
      <c r="C1488" s="37" t="s">
        <v>496</v>
      </c>
      <c r="D1488" s="37" t="s">
        <v>497</v>
      </c>
      <c r="E1488" s="37" t="s">
        <v>486</v>
      </c>
      <c r="F1488" s="38">
        <v>46266</v>
      </c>
      <c r="G1488" s="37" t="s">
        <v>212</v>
      </c>
      <c r="H1488" s="40">
        <v>359</v>
      </c>
      <c r="I1488" s="39">
        <f>IF(My_Payment[[#This Row],[Payment_Code]]="S",My_Payment[[#This Row],[Total AMT]]/2,IF(My_Payment[[#This Row],[Payment_Code]]="P",My_Payment[[#This Row],[Total AMT]],0))</f>
        <v>179.5</v>
      </c>
      <c r="J1488" s="39">
        <f>IF(My_Payment[[#This Row],[Payment_Code]]="S",My_Payment[[#This Row],[Total AMT]]/2,IF(My_Payment[[#This Row],[Payment_Code]]="N",My_Payment[[#This Row],[Total AMT]],0))</f>
        <v>179.5</v>
      </c>
    </row>
    <row r="1489" spans="1:10">
      <c r="A1489" s="38">
        <v>46296</v>
      </c>
      <c r="B1489" s="37" t="s">
        <v>482</v>
      </c>
      <c r="C1489" s="37" t="s">
        <v>496</v>
      </c>
      <c r="D1489" s="37" t="s">
        <v>497</v>
      </c>
      <c r="E1489" s="37" t="s">
        <v>487</v>
      </c>
      <c r="F1489" s="38">
        <v>46296</v>
      </c>
      <c r="G1489" s="37" t="s">
        <v>212</v>
      </c>
      <c r="H1489" s="40">
        <v>359</v>
      </c>
      <c r="I1489" s="39">
        <f>IF(My_Payment[[#This Row],[Payment_Code]]="S",My_Payment[[#This Row],[Total AMT]]/2,IF(My_Payment[[#This Row],[Payment_Code]]="P",My_Payment[[#This Row],[Total AMT]],0))</f>
        <v>179.5</v>
      </c>
      <c r="J1489" s="39">
        <f>IF(My_Payment[[#This Row],[Payment_Code]]="S",My_Payment[[#This Row],[Total AMT]]/2,IF(My_Payment[[#This Row],[Payment_Code]]="N",My_Payment[[#This Row],[Total AMT]],0))</f>
        <v>179.5</v>
      </c>
    </row>
    <row r="1490" spans="1:10">
      <c r="A1490" s="38">
        <v>46327</v>
      </c>
      <c r="B1490" s="37" t="s">
        <v>482</v>
      </c>
      <c r="C1490" s="37" t="s">
        <v>496</v>
      </c>
      <c r="D1490" s="37" t="s">
        <v>497</v>
      </c>
      <c r="E1490" s="37" t="s">
        <v>488</v>
      </c>
      <c r="F1490" s="38">
        <v>46327</v>
      </c>
      <c r="G1490" s="37" t="s">
        <v>212</v>
      </c>
      <c r="H1490" s="40">
        <v>359</v>
      </c>
      <c r="I1490" s="39">
        <f>IF(My_Payment[[#This Row],[Payment_Code]]="S",My_Payment[[#This Row],[Total AMT]]/2,IF(My_Payment[[#This Row],[Payment_Code]]="P",My_Payment[[#This Row],[Total AMT]],0))</f>
        <v>179.5</v>
      </c>
      <c r="J1490" s="39">
        <f>IF(My_Payment[[#This Row],[Payment_Code]]="S",My_Payment[[#This Row],[Total AMT]]/2,IF(My_Payment[[#This Row],[Payment_Code]]="N",My_Payment[[#This Row],[Total AMT]],0))</f>
        <v>179.5</v>
      </c>
    </row>
    <row r="1491" spans="1:10">
      <c r="A1491" s="38">
        <v>46357</v>
      </c>
      <c r="B1491" s="37" t="s">
        <v>482</v>
      </c>
      <c r="C1491" s="37" t="s">
        <v>496</v>
      </c>
      <c r="D1491" s="37" t="s">
        <v>497</v>
      </c>
      <c r="E1491" s="37" t="s">
        <v>489</v>
      </c>
      <c r="F1491" s="38">
        <v>46357</v>
      </c>
      <c r="G1491" s="37" t="s">
        <v>212</v>
      </c>
      <c r="H1491" s="40">
        <v>359</v>
      </c>
      <c r="I1491" s="39">
        <f>IF(My_Payment[[#This Row],[Payment_Code]]="S",My_Payment[[#This Row],[Total AMT]]/2,IF(My_Payment[[#This Row],[Payment_Code]]="P",My_Payment[[#This Row],[Total AMT]],0))</f>
        <v>179.5</v>
      </c>
      <c r="J1491" s="39">
        <f>IF(My_Payment[[#This Row],[Payment_Code]]="S",My_Payment[[#This Row],[Total AMT]]/2,IF(My_Payment[[#This Row],[Payment_Code]]="N",My_Payment[[#This Row],[Total AMT]],0))</f>
        <v>179.5</v>
      </c>
    </row>
    <row r="1492" spans="1:10">
      <c r="A1492" s="38">
        <v>46388</v>
      </c>
      <c r="B1492" s="37" t="s">
        <v>482</v>
      </c>
      <c r="C1492" s="37" t="s">
        <v>496</v>
      </c>
      <c r="D1492" s="37" t="s">
        <v>497</v>
      </c>
      <c r="E1492" s="37" t="s">
        <v>490</v>
      </c>
      <c r="F1492" s="38">
        <v>46388</v>
      </c>
      <c r="G1492" s="37" t="s">
        <v>212</v>
      </c>
      <c r="H1492" s="40">
        <v>359</v>
      </c>
      <c r="I1492" s="39">
        <f>IF(My_Payment[[#This Row],[Payment_Code]]="S",My_Payment[[#This Row],[Total AMT]]/2,IF(My_Payment[[#This Row],[Payment_Code]]="P",My_Payment[[#This Row],[Total AMT]],0))</f>
        <v>179.5</v>
      </c>
      <c r="J1492" s="39">
        <f>IF(My_Payment[[#This Row],[Payment_Code]]="S",My_Payment[[#This Row],[Total AMT]]/2,IF(My_Payment[[#This Row],[Payment_Code]]="N",My_Payment[[#This Row],[Total AMT]],0))</f>
        <v>179.5</v>
      </c>
    </row>
    <row r="1493" spans="1:10">
      <c r="A1493" s="38">
        <v>46419</v>
      </c>
      <c r="B1493" s="37" t="s">
        <v>482</v>
      </c>
      <c r="C1493" s="37" t="s">
        <v>496</v>
      </c>
      <c r="D1493" s="37" t="s">
        <v>497</v>
      </c>
      <c r="E1493" s="37" t="s">
        <v>491</v>
      </c>
      <c r="F1493" s="38">
        <v>46419</v>
      </c>
      <c r="G1493" s="37" t="s">
        <v>212</v>
      </c>
      <c r="H1493" s="40">
        <v>359</v>
      </c>
      <c r="I1493" s="39">
        <f>IF(My_Payment[[#This Row],[Payment_Code]]="S",My_Payment[[#This Row],[Total AMT]]/2,IF(My_Payment[[#This Row],[Payment_Code]]="P",My_Payment[[#This Row],[Total AMT]],0))</f>
        <v>179.5</v>
      </c>
      <c r="J1493" s="39">
        <f>IF(My_Payment[[#This Row],[Payment_Code]]="S",My_Payment[[#This Row],[Total AMT]]/2,IF(My_Payment[[#This Row],[Payment_Code]]="N",My_Payment[[#This Row],[Total AMT]],0))</f>
        <v>179.5</v>
      </c>
    </row>
    <row r="1494" spans="1:10">
      <c r="A1494" s="38">
        <v>46447</v>
      </c>
      <c r="B1494" s="37" t="s">
        <v>482</v>
      </c>
      <c r="C1494" s="37" t="s">
        <v>496</v>
      </c>
      <c r="D1494" s="37" t="s">
        <v>497</v>
      </c>
      <c r="E1494" s="37" t="s">
        <v>492</v>
      </c>
      <c r="F1494" s="38">
        <v>46447</v>
      </c>
      <c r="G1494" s="37" t="s">
        <v>212</v>
      </c>
      <c r="H1494" s="40">
        <v>359</v>
      </c>
      <c r="I1494" s="39">
        <f>IF(My_Payment[[#This Row],[Payment_Code]]="S",My_Payment[[#This Row],[Total AMT]]/2,IF(My_Payment[[#This Row],[Payment_Code]]="P",My_Payment[[#This Row],[Total AMT]],0))</f>
        <v>179.5</v>
      </c>
      <c r="J1494" s="39">
        <f>IF(My_Payment[[#This Row],[Payment_Code]]="S",My_Payment[[#This Row],[Total AMT]]/2,IF(My_Payment[[#This Row],[Payment_Code]]="N",My_Payment[[#This Row],[Total AMT]],0))</f>
        <v>179.5</v>
      </c>
    </row>
    <row r="1495" spans="1:10">
      <c r="A1495" s="38">
        <v>46478</v>
      </c>
      <c r="B1495" s="37" t="s">
        <v>482</v>
      </c>
      <c r="C1495" s="37" t="s">
        <v>496</v>
      </c>
      <c r="D1495" s="37" t="s">
        <v>497</v>
      </c>
      <c r="E1495" s="37" t="s">
        <v>493</v>
      </c>
      <c r="F1495" s="38">
        <v>46478</v>
      </c>
      <c r="G1495" s="37" t="s">
        <v>212</v>
      </c>
      <c r="H1495" s="40">
        <v>359</v>
      </c>
      <c r="I1495" s="39">
        <f>IF(My_Payment[[#This Row],[Payment_Code]]="S",My_Payment[[#This Row],[Total AMT]]/2,IF(My_Payment[[#This Row],[Payment_Code]]="P",My_Payment[[#This Row],[Total AMT]],0))</f>
        <v>179.5</v>
      </c>
      <c r="J1495" s="39">
        <f>IF(My_Payment[[#This Row],[Payment_Code]]="S",My_Payment[[#This Row],[Total AMT]]/2,IF(My_Payment[[#This Row],[Payment_Code]]="N",My_Payment[[#This Row],[Total AMT]],0))</f>
        <v>179.5</v>
      </c>
    </row>
    <row r="1496" spans="1:10">
      <c r="A1496" s="38">
        <v>46508</v>
      </c>
      <c r="B1496" s="37" t="s">
        <v>482</v>
      </c>
      <c r="C1496" s="37" t="s">
        <v>496</v>
      </c>
      <c r="D1496" s="37" t="s">
        <v>497</v>
      </c>
      <c r="E1496" s="37" t="s">
        <v>494</v>
      </c>
      <c r="F1496" s="38">
        <v>46508</v>
      </c>
      <c r="G1496" s="37" t="s">
        <v>212</v>
      </c>
      <c r="H1496" s="40">
        <v>359</v>
      </c>
      <c r="I1496" s="39">
        <f>IF(My_Payment[[#This Row],[Payment_Code]]="S",My_Payment[[#This Row],[Total AMT]]/2,IF(My_Payment[[#This Row],[Payment_Code]]="P",My_Payment[[#This Row],[Total AMT]],0))</f>
        <v>179.5</v>
      </c>
      <c r="J1496" s="39">
        <f>IF(My_Payment[[#This Row],[Payment_Code]]="S",My_Payment[[#This Row],[Total AMT]]/2,IF(My_Payment[[#This Row],[Payment_Code]]="N",My_Payment[[#This Row],[Total AMT]],0))</f>
        <v>179.5</v>
      </c>
    </row>
    <row r="1497" spans="1:10">
      <c r="A1497" s="38">
        <v>46539</v>
      </c>
      <c r="B1497" s="37" t="s">
        <v>482</v>
      </c>
      <c r="C1497" s="37" t="s">
        <v>496</v>
      </c>
      <c r="D1497" s="37" t="s">
        <v>497</v>
      </c>
      <c r="E1497" s="37" t="s">
        <v>495</v>
      </c>
      <c r="F1497" s="38">
        <v>46539</v>
      </c>
      <c r="G1497" s="37" t="s">
        <v>212</v>
      </c>
      <c r="H1497" s="40">
        <v>359</v>
      </c>
      <c r="I1497" s="39">
        <f>IF(My_Payment[[#This Row],[Payment_Code]]="S",My_Payment[[#This Row],[Total AMT]]/2,IF(My_Payment[[#This Row],[Payment_Code]]="P",My_Payment[[#This Row],[Total AMT]],0))</f>
        <v>179.5</v>
      </c>
      <c r="J1497" s="39">
        <f>IF(My_Payment[[#This Row],[Payment_Code]]="S",My_Payment[[#This Row],[Total AMT]]/2,IF(My_Payment[[#This Row],[Payment_Code]]="N",My_Payment[[#This Row],[Total AMT]],0))</f>
        <v>179.5</v>
      </c>
    </row>
    <row r="1498" spans="1:10">
      <c r="A1498" s="38">
        <v>46100</v>
      </c>
      <c r="B1498" s="37" t="s">
        <v>305</v>
      </c>
      <c r="C1498" s="37" t="s">
        <v>226</v>
      </c>
      <c r="D1498" s="37" t="s">
        <v>680</v>
      </c>
      <c r="E1498" s="37" t="s">
        <v>211</v>
      </c>
      <c r="F1498" s="38">
        <v>46149</v>
      </c>
      <c r="G1498" s="37" t="s">
        <v>215</v>
      </c>
      <c r="H1498" s="39">
        <v>142</v>
      </c>
      <c r="I1498" s="39">
        <f>IF(My_Payment[[#This Row],[Payment_Code]]="S",My_Payment[[#This Row],[Total AMT]]/2,IF(My_Payment[[#This Row],[Payment_Code]]="P",My_Payment[[#This Row],[Total AMT]],0))</f>
        <v>142</v>
      </c>
      <c r="J1498" s="39">
        <f>IF(My_Payment[[#This Row],[Payment_Code]]="S",My_Payment[[#This Row],[Total AMT]]/2,IF(My_Payment[[#This Row],[Payment_Code]]="N",My_Payment[[#This Row],[Total AMT]],0))</f>
        <v>0</v>
      </c>
    </row>
    <row r="1499" spans="1:10">
      <c r="A1499" s="38">
        <v>46100</v>
      </c>
      <c r="B1499" s="37" t="s">
        <v>305</v>
      </c>
      <c r="C1499" s="37" t="s">
        <v>226</v>
      </c>
      <c r="D1499" s="37" t="s">
        <v>680</v>
      </c>
      <c r="E1499" s="37" t="s">
        <v>211</v>
      </c>
      <c r="F1499" s="38">
        <v>46149</v>
      </c>
      <c r="G1499" s="37" t="s">
        <v>215</v>
      </c>
      <c r="H1499" s="39">
        <v>66</v>
      </c>
      <c r="I1499" s="39">
        <f>IF(My_Payment[[#This Row],[Payment_Code]]="S",My_Payment[[#This Row],[Total AMT]]/2,IF(My_Payment[[#This Row],[Payment_Code]]="P",My_Payment[[#This Row],[Total AMT]],0))</f>
        <v>66</v>
      </c>
      <c r="J1499" s="39">
        <f>IF(My_Payment[[#This Row],[Payment_Code]]="S",My_Payment[[#This Row],[Total AMT]]/2,IF(My_Payment[[#This Row],[Payment_Code]]="N",My_Payment[[#This Row],[Total AMT]],0))</f>
        <v>0</v>
      </c>
    </row>
    <row r="1500" spans="1:10">
      <c r="A1500" s="38">
        <v>46100</v>
      </c>
      <c r="B1500" s="37" t="s">
        <v>305</v>
      </c>
      <c r="C1500" s="37" t="s">
        <v>226</v>
      </c>
      <c r="D1500" s="37" t="s">
        <v>680</v>
      </c>
      <c r="E1500" s="37" t="s">
        <v>211</v>
      </c>
      <c r="F1500" s="38">
        <v>46149</v>
      </c>
      <c r="G1500" s="37" t="s">
        <v>215</v>
      </c>
      <c r="H1500" s="39">
        <v>142</v>
      </c>
      <c r="I1500" s="39">
        <f>IF(My_Payment[[#This Row],[Payment_Code]]="S",My_Payment[[#This Row],[Total AMT]]/2,IF(My_Payment[[#This Row],[Payment_Code]]="P",My_Payment[[#This Row],[Total AMT]],0))</f>
        <v>142</v>
      </c>
      <c r="J1500" s="39">
        <f>IF(My_Payment[[#This Row],[Payment_Code]]="S",My_Payment[[#This Row],[Total AMT]]/2,IF(My_Payment[[#This Row],[Payment_Code]]="N",My_Payment[[#This Row],[Total AMT]],0))</f>
        <v>0</v>
      </c>
    </row>
    <row r="1501" spans="1:10">
      <c r="A1501" s="38">
        <v>46100</v>
      </c>
      <c r="B1501" s="37" t="s">
        <v>305</v>
      </c>
      <c r="C1501" s="37" t="s">
        <v>226</v>
      </c>
      <c r="D1501" s="37" t="s">
        <v>680</v>
      </c>
      <c r="E1501" s="37" t="s">
        <v>211</v>
      </c>
      <c r="F1501" s="38">
        <v>46149</v>
      </c>
      <c r="G1501" s="37" t="s">
        <v>215</v>
      </c>
      <c r="H1501" s="39">
        <v>171</v>
      </c>
      <c r="I1501" s="39">
        <f>IF(My_Payment[[#This Row],[Payment_Code]]="S",My_Payment[[#This Row],[Total AMT]]/2,IF(My_Payment[[#This Row],[Payment_Code]]="P",My_Payment[[#This Row],[Total AMT]],0))</f>
        <v>171</v>
      </c>
      <c r="J1501" s="39">
        <f>IF(My_Payment[[#This Row],[Payment_Code]]="S",My_Payment[[#This Row],[Total AMT]]/2,IF(My_Payment[[#This Row],[Payment_Code]]="N",My_Payment[[#This Row],[Total AMT]],0))</f>
        <v>0</v>
      </c>
    </row>
    <row r="1502" spans="1:10">
      <c r="A1502" s="38">
        <v>46103</v>
      </c>
      <c r="B1502" s="37" t="s">
        <v>305</v>
      </c>
      <c r="C1502" s="37" t="s">
        <v>226</v>
      </c>
      <c r="D1502" s="37" t="s">
        <v>714</v>
      </c>
      <c r="E1502" s="37" t="s">
        <v>211</v>
      </c>
      <c r="F1502" s="38">
        <v>46149</v>
      </c>
      <c r="G1502" s="37" t="s">
        <v>212</v>
      </c>
      <c r="H1502" s="39">
        <v>666</v>
      </c>
      <c r="I1502" s="39">
        <f>IF(My_Payment[[#This Row],[Payment_Code]]="S",My_Payment[[#This Row],[Total AMT]]/2,IF(My_Payment[[#This Row],[Payment_Code]]="P",My_Payment[[#This Row],[Total AMT]],0))</f>
        <v>333</v>
      </c>
      <c r="J1502" s="39">
        <f>IF(My_Payment[[#This Row],[Payment_Code]]="S",My_Payment[[#This Row],[Total AMT]]/2,IF(My_Payment[[#This Row],[Payment_Code]]="N",My_Payment[[#This Row],[Total AMT]],0))</f>
        <v>333</v>
      </c>
    </row>
    <row r="1503" spans="1:10">
      <c r="A1503" s="38">
        <v>46103</v>
      </c>
      <c r="B1503" s="37" t="s">
        <v>305</v>
      </c>
      <c r="C1503" s="37" t="s">
        <v>226</v>
      </c>
      <c r="D1503" s="37" t="s">
        <v>715</v>
      </c>
      <c r="E1503" s="37" t="s">
        <v>211</v>
      </c>
      <c r="F1503" s="38">
        <v>46149</v>
      </c>
      <c r="G1503" s="37" t="s">
        <v>215</v>
      </c>
      <c r="H1503" s="39">
        <v>2578</v>
      </c>
      <c r="I1503" s="39">
        <f>IF(My_Payment[[#This Row],[Payment_Code]]="S",My_Payment[[#This Row],[Total AMT]]/2,IF(My_Payment[[#This Row],[Payment_Code]]="P",My_Payment[[#This Row],[Total AMT]],0))</f>
        <v>2578</v>
      </c>
      <c r="J1503" s="39">
        <f>IF(My_Payment[[#This Row],[Payment_Code]]="S",My_Payment[[#This Row],[Total AMT]]/2,IF(My_Payment[[#This Row],[Payment_Code]]="N",My_Payment[[#This Row],[Total AMT]],0))</f>
        <v>0</v>
      </c>
    </row>
    <row r="1504" spans="1:10">
      <c r="A1504" s="38">
        <v>46110</v>
      </c>
      <c r="B1504" s="37" t="s">
        <v>305</v>
      </c>
      <c r="C1504" s="37" t="s">
        <v>226</v>
      </c>
      <c r="D1504" s="37" t="s">
        <v>680</v>
      </c>
      <c r="E1504" s="37" t="s">
        <v>211</v>
      </c>
      <c r="F1504" s="38">
        <v>46149</v>
      </c>
      <c r="G1504" s="37" t="s">
        <v>215</v>
      </c>
      <c r="H1504" s="39">
        <v>66</v>
      </c>
      <c r="I1504" s="39">
        <f>IF(My_Payment[[#This Row],[Payment_Code]]="S",My_Payment[[#This Row],[Total AMT]]/2,IF(My_Payment[[#This Row],[Payment_Code]]="P",My_Payment[[#This Row],[Total AMT]],0))</f>
        <v>66</v>
      </c>
      <c r="J1504" s="39">
        <f>IF(My_Payment[[#This Row],[Payment_Code]]="S",My_Payment[[#This Row],[Total AMT]]/2,IF(My_Payment[[#This Row],[Payment_Code]]="N",My_Payment[[#This Row],[Total AMT]],0))</f>
        <v>0</v>
      </c>
    </row>
    <row r="1505" spans="1:10">
      <c r="A1505" s="38">
        <v>46110</v>
      </c>
      <c r="B1505" s="37" t="s">
        <v>305</v>
      </c>
      <c r="C1505" s="37" t="s">
        <v>226</v>
      </c>
      <c r="D1505" s="37" t="s">
        <v>680</v>
      </c>
      <c r="E1505" s="37" t="s">
        <v>211</v>
      </c>
      <c r="F1505" s="38">
        <v>46149</v>
      </c>
      <c r="G1505" s="37" t="s">
        <v>215</v>
      </c>
      <c r="H1505" s="39">
        <v>142</v>
      </c>
      <c r="I1505" s="39">
        <f>IF(My_Payment[[#This Row],[Payment_Code]]="S",My_Payment[[#This Row],[Total AMT]]/2,IF(My_Payment[[#This Row],[Payment_Code]]="P",My_Payment[[#This Row],[Total AMT]],0))</f>
        <v>142</v>
      </c>
      <c r="J1505" s="39">
        <f>IF(My_Payment[[#This Row],[Payment_Code]]="S",My_Payment[[#This Row],[Total AMT]]/2,IF(My_Payment[[#This Row],[Payment_Code]]="N",My_Payment[[#This Row],[Total AMT]],0))</f>
        <v>0</v>
      </c>
    </row>
    <row r="1506" spans="1:10">
      <c r="A1506" s="38">
        <v>46110</v>
      </c>
      <c r="B1506" s="37" t="s">
        <v>305</v>
      </c>
      <c r="C1506" s="37" t="s">
        <v>226</v>
      </c>
      <c r="D1506" s="37" t="s">
        <v>680</v>
      </c>
      <c r="E1506" s="37" t="s">
        <v>211</v>
      </c>
      <c r="F1506" s="38">
        <v>46149</v>
      </c>
      <c r="G1506" s="37" t="s">
        <v>215</v>
      </c>
      <c r="H1506" s="39">
        <v>237</v>
      </c>
      <c r="I1506" s="39">
        <f>IF(My_Payment[[#This Row],[Payment_Code]]="S",My_Payment[[#This Row],[Total AMT]]/2,IF(My_Payment[[#This Row],[Payment_Code]]="P",My_Payment[[#This Row],[Total AMT]],0))</f>
        <v>237</v>
      </c>
      <c r="J1506" s="39">
        <f>IF(My_Payment[[#This Row],[Payment_Code]]="S",My_Payment[[#This Row],[Total AMT]]/2,IF(My_Payment[[#This Row],[Payment_Code]]="N",My_Payment[[#This Row],[Total AMT]],0))</f>
        <v>0</v>
      </c>
    </row>
    <row r="1507" spans="1:10">
      <c r="A1507" s="38">
        <v>46116</v>
      </c>
      <c r="B1507" s="37" t="s">
        <v>305</v>
      </c>
      <c r="C1507" s="37" t="s">
        <v>226</v>
      </c>
      <c r="D1507" s="37" t="s">
        <v>33</v>
      </c>
      <c r="E1507" s="37" t="s">
        <v>211</v>
      </c>
      <c r="F1507" s="38">
        <v>46149</v>
      </c>
      <c r="G1507" s="37" t="s">
        <v>215</v>
      </c>
      <c r="H1507" s="39">
        <v>174.24</v>
      </c>
      <c r="I1507" s="39">
        <f>IF(My_Payment[[#This Row],[Payment_Code]]="S",My_Payment[[#This Row],[Total AMT]]/2,IF(My_Payment[[#This Row],[Payment_Code]]="P",My_Payment[[#This Row],[Total AMT]],0))</f>
        <v>174.24</v>
      </c>
      <c r="J1507" s="39">
        <f>IF(My_Payment[[#This Row],[Payment_Code]]="S",My_Payment[[#This Row],[Total AMT]]/2,IF(My_Payment[[#This Row],[Payment_Code]]="N",My_Payment[[#This Row],[Total AMT]],0))</f>
        <v>0</v>
      </c>
    </row>
    <row r="1508" spans="1:10">
      <c r="A1508" s="38">
        <v>46117</v>
      </c>
      <c r="B1508" s="37" t="s">
        <v>305</v>
      </c>
      <c r="C1508" s="37" t="s">
        <v>226</v>
      </c>
      <c r="D1508" s="37" t="s">
        <v>716</v>
      </c>
      <c r="E1508" s="37" t="s">
        <v>211</v>
      </c>
      <c r="F1508" s="38">
        <v>46149</v>
      </c>
      <c r="G1508" s="37" t="s">
        <v>215</v>
      </c>
      <c r="H1508" s="54">
        <v>1080</v>
      </c>
      <c r="I1508" s="39">
        <f>1080-195</f>
        <v>885</v>
      </c>
      <c r="J1508" s="39">
        <v>195</v>
      </c>
    </row>
    <row r="1509" spans="1:10">
      <c r="A1509" s="38">
        <v>46117</v>
      </c>
      <c r="B1509" s="37" t="s">
        <v>305</v>
      </c>
      <c r="C1509" s="37" t="s">
        <v>226</v>
      </c>
      <c r="D1509" s="37" t="s">
        <v>478</v>
      </c>
      <c r="E1509" s="37" t="s">
        <v>211</v>
      </c>
      <c r="F1509" s="38">
        <v>46149</v>
      </c>
      <c r="G1509" s="37" t="s">
        <v>215</v>
      </c>
      <c r="H1509" s="39">
        <v>732.95</v>
      </c>
      <c r="I1509" s="39">
        <f>IF(My_Payment[[#This Row],[Payment_Code]]="S",My_Payment[[#This Row],[Total AMT]]/2,IF(My_Payment[[#This Row],[Payment_Code]]="P",My_Payment[[#This Row],[Total AMT]],0))</f>
        <v>732.95</v>
      </c>
      <c r="J1509" s="39">
        <f>IF(My_Payment[[#This Row],[Payment_Code]]="S",My_Payment[[#This Row],[Total AMT]]/2,IF(My_Payment[[#This Row],[Payment_Code]]="N",My_Payment[[#This Row],[Total AMT]],0))</f>
        <v>0</v>
      </c>
    </row>
    <row r="1510" spans="1:10">
      <c r="A1510" s="38">
        <v>46122</v>
      </c>
      <c r="B1510" s="37" t="s">
        <v>305</v>
      </c>
      <c r="C1510" s="37" t="s">
        <v>226</v>
      </c>
      <c r="D1510" s="37" t="s">
        <v>680</v>
      </c>
      <c r="E1510" s="37" t="s">
        <v>211</v>
      </c>
      <c r="F1510" s="38">
        <v>46149</v>
      </c>
      <c r="G1510" s="37" t="s">
        <v>215</v>
      </c>
      <c r="H1510" s="39">
        <v>66</v>
      </c>
      <c r="I1510" s="39">
        <f>IF(My_Payment[[#This Row],[Payment_Code]]="S",My_Payment[[#This Row],[Total AMT]]/2,IF(My_Payment[[#This Row],[Payment_Code]]="P",My_Payment[[#This Row],[Total AMT]],0))</f>
        <v>66</v>
      </c>
      <c r="J1510" s="39">
        <f>IF(My_Payment[[#This Row],[Payment_Code]]="S",My_Payment[[#This Row],[Total AMT]]/2,IF(My_Payment[[#This Row],[Payment_Code]]="N",My_Payment[[#This Row],[Total AMT]],0))</f>
        <v>0</v>
      </c>
    </row>
    <row r="1511" spans="1:10">
      <c r="A1511" s="38">
        <v>46122</v>
      </c>
      <c r="B1511" s="37" t="s">
        <v>305</v>
      </c>
      <c r="C1511" s="37" t="s">
        <v>226</v>
      </c>
      <c r="D1511" s="37" t="s">
        <v>680</v>
      </c>
      <c r="E1511" s="37" t="s">
        <v>211</v>
      </c>
      <c r="F1511" s="38">
        <v>46149</v>
      </c>
      <c r="G1511" s="37" t="s">
        <v>215</v>
      </c>
      <c r="H1511" s="39">
        <v>142</v>
      </c>
      <c r="I1511" s="39">
        <f>IF(My_Payment[[#This Row],[Payment_Code]]="S",My_Payment[[#This Row],[Total AMT]]/2,IF(My_Payment[[#This Row],[Payment_Code]]="P",My_Payment[[#This Row],[Total AMT]],0))</f>
        <v>142</v>
      </c>
      <c r="J1511" s="39">
        <f>IF(My_Payment[[#This Row],[Payment_Code]]="S",My_Payment[[#This Row],[Total AMT]]/2,IF(My_Payment[[#This Row],[Payment_Code]]="N",My_Payment[[#This Row],[Total AMT]],0))</f>
        <v>0</v>
      </c>
    </row>
    <row r="1512" spans="1:10">
      <c r="A1512" s="38">
        <v>46122</v>
      </c>
      <c r="B1512" s="37" t="s">
        <v>305</v>
      </c>
      <c r="C1512" s="37" t="s">
        <v>226</v>
      </c>
      <c r="D1512" s="37" t="s">
        <v>680</v>
      </c>
      <c r="E1512" s="37" t="s">
        <v>211</v>
      </c>
      <c r="F1512" s="38">
        <v>46149</v>
      </c>
      <c r="G1512" s="37" t="s">
        <v>215</v>
      </c>
      <c r="H1512" s="39">
        <v>171</v>
      </c>
      <c r="I1512" s="39">
        <f>IF(My_Payment[[#This Row],[Payment_Code]]="S",My_Payment[[#This Row],[Total AMT]]/2,IF(My_Payment[[#This Row],[Payment_Code]]="P",My_Payment[[#This Row],[Total AMT]],0))</f>
        <v>171</v>
      </c>
      <c r="J1512" s="39">
        <f>IF(My_Payment[[#This Row],[Payment_Code]]="S",My_Payment[[#This Row],[Total AMT]]/2,IF(My_Payment[[#This Row],[Payment_Code]]="N",My_Payment[[#This Row],[Total AMT]],0))</f>
        <v>0</v>
      </c>
    </row>
    <row r="1513" spans="1:10">
      <c r="A1513" s="38">
        <v>46128</v>
      </c>
      <c r="B1513" s="37" t="s">
        <v>305</v>
      </c>
      <c r="C1513" s="37" t="s">
        <v>226</v>
      </c>
      <c r="D1513" s="37" t="s">
        <v>680</v>
      </c>
      <c r="E1513" s="37" t="s">
        <v>211</v>
      </c>
      <c r="F1513" s="38">
        <v>46149</v>
      </c>
      <c r="G1513" s="37" t="s">
        <v>215</v>
      </c>
      <c r="H1513" s="39">
        <v>142</v>
      </c>
      <c r="I1513" s="39">
        <f>IF(My_Payment[[#This Row],[Payment_Code]]="S",My_Payment[[#This Row],[Total AMT]]/2,IF(My_Payment[[#This Row],[Payment_Code]]="P",My_Payment[[#This Row],[Total AMT]],0))</f>
        <v>142</v>
      </c>
      <c r="J1513" s="39">
        <f>IF(My_Payment[[#This Row],[Payment_Code]]="S",My_Payment[[#This Row],[Total AMT]]/2,IF(My_Payment[[#This Row],[Payment_Code]]="N",My_Payment[[#This Row],[Total AMT]],0))</f>
        <v>0</v>
      </c>
    </row>
    <row r="1514" spans="1:10">
      <c r="A1514" s="38">
        <v>46129</v>
      </c>
      <c r="B1514" s="37" t="s">
        <v>305</v>
      </c>
      <c r="C1514" s="37" t="s">
        <v>226</v>
      </c>
      <c r="D1514" s="37" t="s">
        <v>680</v>
      </c>
      <c r="E1514" s="37" t="s">
        <v>211</v>
      </c>
      <c r="F1514" s="38">
        <v>46149</v>
      </c>
      <c r="G1514" s="37" t="s">
        <v>215</v>
      </c>
      <c r="H1514" s="39">
        <v>66</v>
      </c>
      <c r="I1514" s="39">
        <f>IF(My_Payment[[#This Row],[Payment_Code]]="S",My_Payment[[#This Row],[Total AMT]]/2,IF(My_Payment[[#This Row],[Payment_Code]]="P",My_Payment[[#This Row],[Total AMT]],0))</f>
        <v>66</v>
      </c>
      <c r="J1514" s="39">
        <f>IF(My_Payment[[#This Row],[Payment_Code]]="S",My_Payment[[#This Row],[Total AMT]]/2,IF(My_Payment[[#This Row],[Payment_Code]]="N",My_Payment[[#This Row],[Total AMT]],0))</f>
        <v>0</v>
      </c>
    </row>
    <row r="1515" spans="1:10">
      <c r="A1515" s="38">
        <v>46129</v>
      </c>
      <c r="B1515" s="37" t="s">
        <v>305</v>
      </c>
      <c r="C1515" s="37" t="s">
        <v>226</v>
      </c>
      <c r="D1515" s="37" t="s">
        <v>680</v>
      </c>
      <c r="E1515" s="37" t="s">
        <v>211</v>
      </c>
      <c r="F1515" s="38">
        <v>46149</v>
      </c>
      <c r="G1515" s="37" t="s">
        <v>215</v>
      </c>
      <c r="H1515" s="39">
        <v>142</v>
      </c>
      <c r="I1515" s="39">
        <f>IF(My_Payment[[#This Row],[Payment_Code]]="S",My_Payment[[#This Row],[Total AMT]]/2,IF(My_Payment[[#This Row],[Payment_Code]]="P",My_Payment[[#This Row],[Total AMT]],0))</f>
        <v>142</v>
      </c>
      <c r="J1515" s="39">
        <f>IF(My_Payment[[#This Row],[Payment_Code]]="S",My_Payment[[#This Row],[Total AMT]]/2,IF(My_Payment[[#This Row],[Payment_Code]]="N",My_Payment[[#This Row],[Total AMT]],0))</f>
        <v>0</v>
      </c>
    </row>
    <row r="1516" spans="1:10">
      <c r="A1516" s="38">
        <v>46129</v>
      </c>
      <c r="B1516" s="37" t="s">
        <v>305</v>
      </c>
      <c r="C1516" s="37" t="s">
        <v>226</v>
      </c>
      <c r="D1516" s="37" t="s">
        <v>680</v>
      </c>
      <c r="E1516" s="37" t="s">
        <v>211</v>
      </c>
      <c r="F1516" s="38">
        <v>46149</v>
      </c>
      <c r="G1516" s="37" t="s">
        <v>215</v>
      </c>
      <c r="H1516" s="39">
        <v>171</v>
      </c>
      <c r="I1516" s="39">
        <f>IF(My_Payment[[#This Row],[Payment_Code]]="S",My_Payment[[#This Row],[Total AMT]]/2,IF(My_Payment[[#This Row],[Payment_Code]]="P",My_Payment[[#This Row],[Total AMT]],0))</f>
        <v>171</v>
      </c>
      <c r="J1516" s="39">
        <f>IF(My_Payment[[#This Row],[Payment_Code]]="S",My_Payment[[#This Row],[Total AMT]]/2,IF(My_Payment[[#This Row],[Payment_Code]]="N",My_Payment[[#This Row],[Total AMT]],0))</f>
        <v>0</v>
      </c>
    </row>
    <row r="1517" spans="1:10">
      <c r="A1517" s="38">
        <v>46101</v>
      </c>
      <c r="B1517" s="37" t="s">
        <v>348</v>
      </c>
      <c r="C1517" s="37" t="s">
        <v>209</v>
      </c>
      <c r="D1517" s="37" t="s">
        <v>48</v>
      </c>
      <c r="E1517" s="37" t="s">
        <v>211</v>
      </c>
      <c r="F1517" s="38">
        <v>46143</v>
      </c>
      <c r="G1517" s="37" t="s">
        <v>215</v>
      </c>
      <c r="H1517" s="40">
        <f>(699+100-100)*1.07</f>
        <v>747.93000000000006</v>
      </c>
      <c r="I1517" s="39">
        <f>IF(My_Payment[[#This Row],[Payment_Code]]="S",My_Payment[[#This Row],[Total AMT]]/2,IF(My_Payment[[#This Row],[Payment_Code]]="P",My_Payment[[#This Row],[Total AMT]],0))</f>
        <v>747.93000000000006</v>
      </c>
      <c r="J1517" s="39">
        <f>IF(My_Payment[[#This Row],[Payment_Code]]="S",My_Payment[[#This Row],[Total AMT]]/2,IF(My_Payment[[#This Row],[Payment_Code]]="N",My_Payment[[#This Row],[Total AMT]],0))</f>
        <v>0</v>
      </c>
    </row>
    <row r="1518" spans="1:10">
      <c r="A1518" s="38">
        <v>46101</v>
      </c>
      <c r="B1518" s="37" t="s">
        <v>348</v>
      </c>
      <c r="C1518" s="37" t="s">
        <v>209</v>
      </c>
      <c r="D1518" s="37" t="s">
        <v>49</v>
      </c>
      <c r="E1518" s="37" t="s">
        <v>211</v>
      </c>
      <c r="F1518" s="38">
        <v>46143</v>
      </c>
      <c r="G1518" s="37" t="s">
        <v>215</v>
      </c>
      <c r="H1518" s="40">
        <f>(1070-171-199)*1.07</f>
        <v>749</v>
      </c>
      <c r="I1518" s="39">
        <f>IF(My_Payment[[#This Row],[Payment_Code]]="S",My_Payment[[#This Row],[Total AMT]]/2,IF(My_Payment[[#This Row],[Payment_Code]]="P",My_Payment[[#This Row],[Total AMT]],0))</f>
        <v>749</v>
      </c>
      <c r="J1518" s="39">
        <f>IF(My_Payment[[#This Row],[Payment_Code]]="S",My_Payment[[#This Row],[Total AMT]]/2,IF(My_Payment[[#This Row],[Payment_Code]]="N",My_Payment[[#This Row],[Total AMT]],0))</f>
        <v>0</v>
      </c>
    </row>
    <row r="1519" spans="1:10">
      <c r="A1519" s="38">
        <v>46099</v>
      </c>
      <c r="B1519" s="37" t="s">
        <v>348</v>
      </c>
      <c r="C1519" s="37" t="s">
        <v>209</v>
      </c>
      <c r="D1519" s="37" t="s">
        <v>81</v>
      </c>
      <c r="E1519" s="37" t="s">
        <v>211</v>
      </c>
      <c r="F1519" s="38">
        <v>46143</v>
      </c>
      <c r="G1519" s="37" t="s">
        <v>215</v>
      </c>
      <c r="H1519" s="40">
        <f>699*1.07</f>
        <v>747.93000000000006</v>
      </c>
      <c r="I1519" s="39">
        <f>IF(My_Payment[[#This Row],[Payment_Code]]="S",My_Payment[[#This Row],[Total AMT]]/2,IF(My_Payment[[#This Row],[Payment_Code]]="P",My_Payment[[#This Row],[Total AMT]],0))</f>
        <v>747.93000000000006</v>
      </c>
      <c r="J1519" s="39">
        <f>IF(My_Payment[[#This Row],[Payment_Code]]="S",My_Payment[[#This Row],[Total AMT]]/2,IF(My_Payment[[#This Row],[Payment_Code]]="N",My_Payment[[#This Row],[Total AMT]],0))</f>
        <v>0</v>
      </c>
    </row>
    <row r="1520" spans="1:10">
      <c r="A1520" s="38">
        <v>46129</v>
      </c>
      <c r="B1520" s="37" t="s">
        <v>348</v>
      </c>
      <c r="C1520" s="37" t="s">
        <v>209</v>
      </c>
      <c r="D1520" s="37" t="s">
        <v>20</v>
      </c>
      <c r="E1520" s="37" t="s">
        <v>211</v>
      </c>
      <c r="F1520" s="38">
        <v>46143</v>
      </c>
      <c r="G1520" s="37" t="s">
        <v>215</v>
      </c>
      <c r="H1520" s="40">
        <f>SUM(H1517:H1519)*-0.25%</f>
        <v>-5.6121500000000006</v>
      </c>
      <c r="I1520" s="39">
        <f>IF(My_Payment[[#This Row],[Payment_Code]]="S",My_Payment[[#This Row],[Total AMT]]/2,IF(My_Payment[[#This Row],[Payment_Code]]="P",My_Payment[[#This Row],[Total AMT]],0))</f>
        <v>-5.6121500000000006</v>
      </c>
      <c r="J1520" s="39">
        <f>IF(My_Payment[[#This Row],[Payment_Code]]="S",My_Payment[[#This Row],[Total AMT]]/2,IF(My_Payment[[#This Row],[Payment_Code]]="N",My_Payment[[#This Row],[Total AMT]],0))</f>
        <v>0</v>
      </c>
    </row>
    <row r="1521" spans="1:10">
      <c r="A1521" s="38">
        <v>46114</v>
      </c>
      <c r="B1521" s="37" t="s">
        <v>345</v>
      </c>
      <c r="C1521" s="37" t="s">
        <v>248</v>
      </c>
      <c r="D1521" s="37" t="s">
        <v>717</v>
      </c>
      <c r="E1521" s="37" t="s">
        <v>211</v>
      </c>
      <c r="F1521" s="38">
        <v>46144</v>
      </c>
      <c r="G1521" s="37" t="s">
        <v>212</v>
      </c>
      <c r="H1521" s="39">
        <v>1850</v>
      </c>
      <c r="I1521" s="39">
        <f>IF(My_Payment[[#This Row],[Payment_Code]]="S",My_Payment[[#This Row],[Total AMT]]/2,IF(My_Payment[[#This Row],[Payment_Code]]="P",My_Payment[[#This Row],[Total AMT]],0))</f>
        <v>925</v>
      </c>
      <c r="J1521" s="39">
        <f>IF(My_Payment[[#This Row],[Payment_Code]]="S",My_Payment[[#This Row],[Total AMT]]/2,IF(My_Payment[[#This Row],[Payment_Code]]="N",My_Payment[[#This Row],[Total AMT]],0))</f>
        <v>925</v>
      </c>
    </row>
    <row r="1522" spans="1:10">
      <c r="A1522" s="38">
        <v>46110</v>
      </c>
      <c r="B1522" s="37" t="s">
        <v>357</v>
      </c>
      <c r="C1522" s="37" t="s">
        <v>248</v>
      </c>
      <c r="D1522" s="37" t="s">
        <v>719</v>
      </c>
      <c r="E1522" s="37" t="s">
        <v>211</v>
      </c>
      <c r="F1522" s="38">
        <v>46147</v>
      </c>
      <c r="G1522" s="37" t="s">
        <v>215</v>
      </c>
      <c r="H1522" s="39">
        <v>385</v>
      </c>
      <c r="I1522" s="39">
        <f>IF(My_Payment[[#This Row],[Payment_Code]]="S",My_Payment[[#This Row],[Total AMT]]/2,IF(My_Payment[[#This Row],[Payment_Code]]="P",My_Payment[[#This Row],[Total AMT]],0))</f>
        <v>385</v>
      </c>
      <c r="J1522" s="39">
        <f>IF(My_Payment[[#This Row],[Payment_Code]]="S",My_Payment[[#This Row],[Total AMT]]/2,IF(My_Payment[[#This Row],[Payment_Code]]="N",My_Payment[[#This Row],[Total AMT]],0))</f>
        <v>0</v>
      </c>
    </row>
    <row r="1523" spans="1:10">
      <c r="A1523" s="38">
        <v>46114</v>
      </c>
      <c r="B1523" s="37" t="s">
        <v>357</v>
      </c>
      <c r="C1523" s="37" t="s">
        <v>248</v>
      </c>
      <c r="D1523" s="37" t="s">
        <v>720</v>
      </c>
      <c r="E1523" s="37" t="s">
        <v>211</v>
      </c>
      <c r="F1523" s="38">
        <v>46147</v>
      </c>
      <c r="G1523" s="37" t="s">
        <v>215</v>
      </c>
      <c r="H1523" s="39">
        <v>372</v>
      </c>
      <c r="I1523" s="39">
        <f>IF(My_Payment[[#This Row],[Payment_Code]]="S",My_Payment[[#This Row],[Total AMT]]/2,IF(My_Payment[[#This Row],[Payment_Code]]="P",My_Payment[[#This Row],[Total AMT]],0))</f>
        <v>372</v>
      </c>
      <c r="J1523" s="39">
        <f>IF(My_Payment[[#This Row],[Payment_Code]]="S",My_Payment[[#This Row],[Total AMT]]/2,IF(My_Payment[[#This Row],[Payment_Code]]="N",My_Payment[[#This Row],[Total AMT]],0))</f>
        <v>0</v>
      </c>
    </row>
    <row r="1524" spans="1:10">
      <c r="A1524" s="38">
        <v>46129</v>
      </c>
      <c r="B1524" s="37" t="s">
        <v>357</v>
      </c>
      <c r="C1524" s="37" t="s">
        <v>248</v>
      </c>
      <c r="D1524" s="37" t="s">
        <v>705</v>
      </c>
      <c r="E1524" s="37" t="s">
        <v>211</v>
      </c>
      <c r="F1524" s="38">
        <v>46147</v>
      </c>
      <c r="G1524" s="37" t="s">
        <v>215</v>
      </c>
      <c r="H1524" s="39">
        <v>49</v>
      </c>
      <c r="I1524" s="39">
        <f>IF(My_Payment[[#This Row],[Payment_Code]]="S",My_Payment[[#This Row],[Total AMT]]/2,IF(My_Payment[[#This Row],[Payment_Code]]="P",My_Payment[[#This Row],[Total AMT]],0))</f>
        <v>49</v>
      </c>
      <c r="J1524" s="39">
        <f>IF(My_Payment[[#This Row],[Payment_Code]]="S",My_Payment[[#This Row],[Total AMT]]/2,IF(My_Payment[[#This Row],[Payment_Code]]="N",My_Payment[[#This Row],[Total AMT]],0))</f>
        <v>0</v>
      </c>
    </row>
    <row r="1525" spans="1:10">
      <c r="A1525" s="38">
        <v>46143</v>
      </c>
      <c r="B1525" s="37" t="s">
        <v>357</v>
      </c>
      <c r="C1525" s="37" t="s">
        <v>248</v>
      </c>
      <c r="D1525" s="37" t="s">
        <v>721</v>
      </c>
      <c r="E1525" s="37" t="s">
        <v>211</v>
      </c>
      <c r="F1525" s="38">
        <v>46178</v>
      </c>
      <c r="G1525" s="37" t="s">
        <v>215</v>
      </c>
      <c r="H1525" s="39">
        <v>196</v>
      </c>
      <c r="I1525" s="39">
        <f>IF(My_Payment[[#This Row],[Payment_Code]]="S",My_Payment[[#This Row],[Total AMT]]/2,IF(My_Payment[[#This Row],[Payment_Code]]="P",My_Payment[[#This Row],[Total AMT]],0))</f>
        <v>196</v>
      </c>
      <c r="J1525" s="39">
        <f>IF(My_Payment[[#This Row],[Payment_Code]]="S",My_Payment[[#This Row],[Total AMT]]/2,IF(My_Payment[[#This Row],[Payment_Code]]="N",My_Payment[[#This Row],[Total AMT]],0))</f>
        <v>0</v>
      </c>
    </row>
    <row r="1526" spans="1:10">
      <c r="A1526" s="38">
        <v>46112</v>
      </c>
      <c r="B1526" s="37" t="s">
        <v>697</v>
      </c>
      <c r="C1526" s="37" t="s">
        <v>299</v>
      </c>
      <c r="D1526" s="37" t="s">
        <v>708</v>
      </c>
      <c r="E1526" s="37" t="s">
        <v>211</v>
      </c>
      <c r="F1526" s="38">
        <v>46145</v>
      </c>
      <c r="G1526" s="37" t="s">
        <v>215</v>
      </c>
      <c r="H1526" s="39">
        <v>-22.5</v>
      </c>
      <c r="I1526" s="39">
        <f>IF(My_Payment[[#This Row],[Payment_Code]]="S",My_Payment[[#This Row],[Total AMT]]/2,IF(My_Payment[[#This Row],[Payment_Code]]="P",My_Payment[[#This Row],[Total AMT]],0))</f>
        <v>-22.5</v>
      </c>
      <c r="J1526" s="39">
        <f>IF(My_Payment[[#This Row],[Payment_Code]]="S",My_Payment[[#This Row],[Total AMT]]/2,IF(My_Payment[[#This Row],[Payment_Code]]="N",My_Payment[[#This Row],[Total AMT]],0))</f>
        <v>0</v>
      </c>
    </row>
    <row r="1527" spans="1:10">
      <c r="A1527" s="38">
        <v>46095</v>
      </c>
      <c r="B1527" s="37" t="s">
        <v>697</v>
      </c>
      <c r="C1527" s="37" t="s">
        <v>299</v>
      </c>
      <c r="D1527" s="37" t="s">
        <v>710</v>
      </c>
      <c r="E1527" s="37" t="s">
        <v>211</v>
      </c>
      <c r="F1527" s="38">
        <v>46145</v>
      </c>
      <c r="G1527" s="37" t="s">
        <v>215</v>
      </c>
      <c r="H1527" s="39">
        <v>70</v>
      </c>
      <c r="I1527" s="39">
        <f>IF(My_Payment[[#This Row],[Payment_Code]]="S",My_Payment[[#This Row],[Total AMT]]/2,IF(My_Payment[[#This Row],[Payment_Code]]="P",My_Payment[[#This Row],[Total AMT]],0))</f>
        <v>70</v>
      </c>
      <c r="J1527" s="39">
        <f>IF(My_Payment[[#This Row],[Payment_Code]]="S",My_Payment[[#This Row],[Total AMT]]/2,IF(My_Payment[[#This Row],[Payment_Code]]="N",My_Payment[[#This Row],[Total AMT]],0))</f>
        <v>0</v>
      </c>
    </row>
    <row r="1528" spans="1:10">
      <c r="A1528" s="38">
        <v>46095</v>
      </c>
      <c r="B1528" s="37" t="s">
        <v>697</v>
      </c>
      <c r="C1528" s="37" t="s">
        <v>299</v>
      </c>
      <c r="D1528" s="37" t="s">
        <v>722</v>
      </c>
      <c r="E1528" s="37" t="s">
        <v>211</v>
      </c>
      <c r="F1528" s="38">
        <v>46145</v>
      </c>
      <c r="G1528" s="37" t="s">
        <v>215</v>
      </c>
      <c r="H1528" s="39">
        <v>285</v>
      </c>
      <c r="I1528" s="39">
        <f>IF(My_Payment[[#This Row],[Payment_Code]]="S",My_Payment[[#This Row],[Total AMT]]/2,IF(My_Payment[[#This Row],[Payment_Code]]="P",My_Payment[[#This Row],[Total AMT]],0))</f>
        <v>285</v>
      </c>
      <c r="J1528" s="39">
        <f>IF(My_Payment[[#This Row],[Payment_Code]]="S",My_Payment[[#This Row],[Total AMT]]/2,IF(My_Payment[[#This Row],[Payment_Code]]="N",My_Payment[[#This Row],[Total AMT]],0))</f>
        <v>0</v>
      </c>
    </row>
    <row r="1529" spans="1:10">
      <c r="A1529" s="38">
        <v>46095</v>
      </c>
      <c r="B1529" s="37" t="s">
        <v>697</v>
      </c>
      <c r="C1529" s="37" t="s">
        <v>299</v>
      </c>
      <c r="D1529" s="37" t="s">
        <v>723</v>
      </c>
      <c r="E1529" s="37" t="s">
        <v>211</v>
      </c>
      <c r="F1529" s="38">
        <v>46145</v>
      </c>
      <c r="G1529" s="37" t="s">
        <v>3</v>
      </c>
      <c r="H1529" s="39">
        <v>2732</v>
      </c>
      <c r="I1529" s="39">
        <f>IF(My_Payment[[#This Row],[Payment_Code]]="S",My_Payment[[#This Row],[Total AMT]]/2,IF(My_Payment[[#This Row],[Payment_Code]]="P",My_Payment[[#This Row],[Total AMT]],0))</f>
        <v>0</v>
      </c>
      <c r="J1529" s="39">
        <f>IF(My_Payment[[#This Row],[Payment_Code]]="S",My_Payment[[#This Row],[Total AMT]]/2,IF(My_Payment[[#This Row],[Payment_Code]]="N",My_Payment[[#This Row],[Total AMT]],0))</f>
        <v>2732</v>
      </c>
    </row>
    <row r="1530" spans="1:10">
      <c r="A1530" s="38">
        <v>46110</v>
      </c>
      <c r="B1530" s="37" t="s">
        <v>697</v>
      </c>
      <c r="C1530" s="37" t="s">
        <v>299</v>
      </c>
      <c r="D1530" s="37" t="s">
        <v>710</v>
      </c>
      <c r="E1530" s="37" t="s">
        <v>211</v>
      </c>
      <c r="F1530" s="38">
        <v>46145</v>
      </c>
      <c r="G1530" s="37" t="s">
        <v>215</v>
      </c>
      <c r="H1530" s="39">
        <v>80</v>
      </c>
      <c r="I1530" s="39">
        <f>IF(My_Payment[[#This Row],[Payment_Code]]="S",My_Payment[[#This Row],[Total AMT]]/2,IF(My_Payment[[#This Row],[Payment_Code]]="P",My_Payment[[#This Row],[Total AMT]],0))</f>
        <v>80</v>
      </c>
      <c r="J1530" s="39">
        <f>IF(My_Payment[[#This Row],[Payment_Code]]="S",My_Payment[[#This Row],[Total AMT]]/2,IF(My_Payment[[#This Row],[Payment_Code]]="N",My_Payment[[#This Row],[Total AMT]],0))</f>
        <v>0</v>
      </c>
    </row>
    <row r="1531" spans="1:10">
      <c r="A1531" s="38">
        <v>46114</v>
      </c>
      <c r="B1531" s="37" t="s">
        <v>697</v>
      </c>
      <c r="C1531" s="37" t="s">
        <v>299</v>
      </c>
      <c r="D1531" s="37" t="s">
        <v>710</v>
      </c>
      <c r="E1531" s="37" t="s">
        <v>211</v>
      </c>
      <c r="F1531" s="38">
        <v>46145</v>
      </c>
      <c r="G1531" s="37" t="s">
        <v>215</v>
      </c>
      <c r="H1531" s="39">
        <v>120</v>
      </c>
      <c r="I1531" s="39">
        <f>IF(My_Payment[[#This Row],[Payment_Code]]="S",My_Payment[[#This Row],[Total AMT]]/2,IF(My_Payment[[#This Row],[Payment_Code]]="P",My_Payment[[#This Row],[Total AMT]],0))</f>
        <v>120</v>
      </c>
      <c r="J1531" s="39">
        <f>IF(My_Payment[[#This Row],[Payment_Code]]="S",My_Payment[[#This Row],[Total AMT]]/2,IF(My_Payment[[#This Row],[Payment_Code]]="N",My_Payment[[#This Row],[Total AMT]],0))</f>
        <v>0</v>
      </c>
    </row>
    <row r="1532" spans="1:10">
      <c r="A1532" s="38">
        <v>46114</v>
      </c>
      <c r="B1532" s="37" t="s">
        <v>697</v>
      </c>
      <c r="C1532" s="37" t="s">
        <v>299</v>
      </c>
      <c r="D1532" s="37" t="s">
        <v>724</v>
      </c>
      <c r="E1532" s="37" t="s">
        <v>211</v>
      </c>
      <c r="F1532" s="38">
        <v>46145</v>
      </c>
      <c r="G1532" s="37" t="s">
        <v>215</v>
      </c>
      <c r="H1532" s="54">
        <v>1082</v>
      </c>
      <c r="I1532" s="39">
        <f>IF(My_Payment[[#This Row],[Payment_Code]]="S",My_Payment[[#This Row],[Total AMT]]/2,IF(My_Payment[[#This Row],[Payment_Code]]="P",My_Payment[[#This Row],[Total AMT]],0))</f>
        <v>1082</v>
      </c>
      <c r="J1532" s="39">
        <f>IF(My_Payment[[#This Row],[Payment_Code]]="S",My_Payment[[#This Row],[Total AMT]]/2,IF(My_Payment[[#This Row],[Payment_Code]]="N",My_Payment[[#This Row],[Total AMT]],0))</f>
        <v>0</v>
      </c>
    </row>
    <row r="1533" spans="1:10">
      <c r="A1533" s="38">
        <v>46116</v>
      </c>
      <c r="B1533" s="37" t="s">
        <v>697</v>
      </c>
      <c r="C1533" s="37" t="s">
        <v>299</v>
      </c>
      <c r="D1533" s="37" t="s">
        <v>710</v>
      </c>
      <c r="E1533" s="37" t="s">
        <v>211</v>
      </c>
      <c r="F1533" s="38">
        <v>46145</v>
      </c>
      <c r="G1533" s="37" t="s">
        <v>215</v>
      </c>
      <c r="H1533" s="39">
        <v>65</v>
      </c>
      <c r="I1533" s="39">
        <f>IF(My_Payment[[#This Row],[Payment_Code]]="S",My_Payment[[#This Row],[Total AMT]]/2,IF(My_Payment[[#This Row],[Payment_Code]]="P",My_Payment[[#This Row],[Total AMT]],0))</f>
        <v>65</v>
      </c>
      <c r="J1533" s="39">
        <f>IF(My_Payment[[#This Row],[Payment_Code]]="S",My_Payment[[#This Row],[Total AMT]]/2,IF(My_Payment[[#This Row],[Payment_Code]]="N",My_Payment[[#This Row],[Total AMT]],0))</f>
        <v>0</v>
      </c>
    </row>
    <row r="1534" spans="1:10">
      <c r="A1534" s="38">
        <v>46117</v>
      </c>
      <c r="B1534" s="37" t="s">
        <v>697</v>
      </c>
      <c r="C1534" s="37" t="s">
        <v>299</v>
      </c>
      <c r="D1534" s="37" t="s">
        <v>710</v>
      </c>
      <c r="E1534" s="37" t="s">
        <v>211</v>
      </c>
      <c r="F1534" s="38">
        <v>46145</v>
      </c>
      <c r="G1534" s="37" t="s">
        <v>215</v>
      </c>
      <c r="H1534" s="39">
        <v>70</v>
      </c>
      <c r="I1534" s="39">
        <f>IF(My_Payment[[#This Row],[Payment_Code]]="S",My_Payment[[#This Row],[Total AMT]]/2,IF(My_Payment[[#This Row],[Payment_Code]]="P",My_Payment[[#This Row],[Total AMT]],0))</f>
        <v>70</v>
      </c>
      <c r="J1534" s="39">
        <f>IF(My_Payment[[#This Row],[Payment_Code]]="S",My_Payment[[#This Row],[Total AMT]]/2,IF(My_Payment[[#This Row],[Payment_Code]]="N",My_Payment[[#This Row],[Total AMT]],0))</f>
        <v>0</v>
      </c>
    </row>
    <row r="1535" spans="1:10">
      <c r="A1535" s="38">
        <v>46122</v>
      </c>
      <c r="B1535" s="37" t="s">
        <v>697</v>
      </c>
      <c r="C1535" s="37" t="s">
        <v>299</v>
      </c>
      <c r="D1535" s="37" t="s">
        <v>699</v>
      </c>
      <c r="E1535" s="37" t="s">
        <v>211</v>
      </c>
      <c r="F1535" s="38">
        <v>46145</v>
      </c>
      <c r="G1535" s="37" t="s">
        <v>215</v>
      </c>
      <c r="H1535" s="39">
        <v>-40.99</v>
      </c>
      <c r="I1535" s="39">
        <f>IF(My_Payment[[#This Row],[Payment_Code]]="S",My_Payment[[#This Row],[Total AMT]]/2,IF(My_Payment[[#This Row],[Payment_Code]]="P",My_Payment[[#This Row],[Total AMT]],0))</f>
        <v>-40.99</v>
      </c>
      <c r="J1535" s="39">
        <f>IF(My_Payment[[#This Row],[Payment_Code]]="S",My_Payment[[#This Row],[Total AMT]]/2,IF(My_Payment[[#This Row],[Payment_Code]]="N",My_Payment[[#This Row],[Total AMT]],0))</f>
        <v>0</v>
      </c>
    </row>
    <row r="1536" spans="1:10">
      <c r="A1536" s="38">
        <v>46161</v>
      </c>
      <c r="B1536" s="37" t="s">
        <v>208</v>
      </c>
      <c r="C1536" s="37" t="s">
        <v>209</v>
      </c>
      <c r="D1536" s="37" t="s">
        <v>217</v>
      </c>
      <c r="E1536" s="37" t="s">
        <v>211</v>
      </c>
      <c r="F1536" s="38">
        <v>46205</v>
      </c>
      <c r="G1536" s="37" t="s">
        <v>212</v>
      </c>
      <c r="H1536" s="39">
        <v>763.88</v>
      </c>
      <c r="I1536" s="39">
        <f>IF(My_Payment[[#This Row],[Payment_Code]]="S",My_Payment[[#This Row],[Total AMT]]/2,IF(My_Payment[[#This Row],[Payment_Code]]="P",My_Payment[[#This Row],[Total AMT]],0))</f>
        <v>381.94</v>
      </c>
      <c r="J1536" s="39">
        <f>IF(My_Payment[[#This Row],[Payment_Code]]="S",My_Payment[[#This Row],[Total AMT]]/2,IF(My_Payment[[#This Row],[Payment_Code]]="N",My_Payment[[#This Row],[Total AMT]],0))</f>
        <v>381.94</v>
      </c>
    </row>
    <row r="1537" spans="1:10">
      <c r="A1537" s="38">
        <v>46204</v>
      </c>
      <c r="B1537" s="37" t="s">
        <v>482</v>
      </c>
      <c r="C1537" s="37" t="s">
        <v>496</v>
      </c>
      <c r="D1537" s="37" t="s">
        <v>483</v>
      </c>
      <c r="E1537" s="37" t="s">
        <v>484</v>
      </c>
      <c r="F1537" s="38">
        <v>46228</v>
      </c>
      <c r="G1537" s="37" t="s">
        <v>212</v>
      </c>
      <c r="H1537" s="40">
        <v>169</v>
      </c>
      <c r="I1537" s="39">
        <v>89</v>
      </c>
      <c r="J1537" s="39">
        <v>80</v>
      </c>
    </row>
    <row r="1538" spans="1:10">
      <c r="A1538" s="38">
        <v>46235</v>
      </c>
      <c r="B1538" s="37" t="s">
        <v>482</v>
      </c>
      <c r="C1538" s="37" t="s">
        <v>496</v>
      </c>
      <c r="D1538" s="37" t="s">
        <v>483</v>
      </c>
      <c r="E1538" s="37" t="s">
        <v>485</v>
      </c>
      <c r="F1538" s="38">
        <v>46259</v>
      </c>
      <c r="G1538" s="37" t="s">
        <v>212</v>
      </c>
      <c r="H1538" s="40">
        <v>169</v>
      </c>
      <c r="I1538" s="39">
        <v>89</v>
      </c>
      <c r="J1538" s="39">
        <v>80</v>
      </c>
    </row>
    <row r="1539" spans="1:10">
      <c r="A1539" s="38">
        <v>46266</v>
      </c>
      <c r="B1539" s="37" t="s">
        <v>482</v>
      </c>
      <c r="C1539" s="37" t="s">
        <v>496</v>
      </c>
      <c r="D1539" s="37" t="s">
        <v>483</v>
      </c>
      <c r="E1539" s="37" t="s">
        <v>486</v>
      </c>
      <c r="F1539" s="38">
        <v>46290</v>
      </c>
      <c r="G1539" s="37" t="s">
        <v>212</v>
      </c>
      <c r="H1539" s="40">
        <v>169</v>
      </c>
      <c r="I1539" s="39">
        <v>89</v>
      </c>
      <c r="J1539" s="39">
        <v>80</v>
      </c>
    </row>
    <row r="1540" spans="1:10">
      <c r="A1540" s="38">
        <v>46296</v>
      </c>
      <c r="B1540" s="37" t="s">
        <v>482</v>
      </c>
      <c r="C1540" s="37" t="s">
        <v>496</v>
      </c>
      <c r="D1540" s="37" t="s">
        <v>483</v>
      </c>
      <c r="E1540" s="37" t="s">
        <v>487</v>
      </c>
      <c r="F1540" s="38">
        <v>46320</v>
      </c>
      <c r="G1540" s="37" t="s">
        <v>212</v>
      </c>
      <c r="H1540" s="40">
        <v>169</v>
      </c>
      <c r="I1540" s="39">
        <v>89</v>
      </c>
      <c r="J1540" s="39">
        <v>80</v>
      </c>
    </row>
    <row r="1541" spans="1:10">
      <c r="A1541" s="38">
        <v>46327</v>
      </c>
      <c r="B1541" s="37" t="s">
        <v>482</v>
      </c>
      <c r="C1541" s="37" t="s">
        <v>496</v>
      </c>
      <c r="D1541" s="37" t="s">
        <v>483</v>
      </c>
      <c r="E1541" s="37" t="s">
        <v>488</v>
      </c>
      <c r="F1541" s="38">
        <v>46351</v>
      </c>
      <c r="G1541" s="37" t="s">
        <v>212</v>
      </c>
      <c r="H1541" s="40">
        <v>169</v>
      </c>
      <c r="I1541" s="39">
        <v>89</v>
      </c>
      <c r="J1541" s="39">
        <v>80</v>
      </c>
    </row>
    <row r="1542" spans="1:10">
      <c r="A1542" s="38">
        <v>46357</v>
      </c>
      <c r="B1542" s="37" t="s">
        <v>482</v>
      </c>
      <c r="C1542" s="37" t="s">
        <v>496</v>
      </c>
      <c r="D1542" s="37" t="s">
        <v>483</v>
      </c>
      <c r="E1542" s="37" t="s">
        <v>489</v>
      </c>
      <c r="F1542" s="38">
        <v>46381</v>
      </c>
      <c r="G1542" s="37" t="s">
        <v>212</v>
      </c>
      <c r="H1542" s="40">
        <v>169</v>
      </c>
      <c r="I1542" s="39">
        <v>89</v>
      </c>
      <c r="J1542" s="39">
        <v>80</v>
      </c>
    </row>
    <row r="1543" spans="1:10">
      <c r="A1543" s="38">
        <v>46388</v>
      </c>
      <c r="B1543" s="37" t="s">
        <v>482</v>
      </c>
      <c r="C1543" s="37" t="s">
        <v>496</v>
      </c>
      <c r="D1543" s="37" t="s">
        <v>483</v>
      </c>
      <c r="E1543" s="37" t="s">
        <v>490</v>
      </c>
      <c r="F1543" s="38">
        <v>46412</v>
      </c>
      <c r="G1543" s="37" t="s">
        <v>212</v>
      </c>
      <c r="H1543" s="40">
        <v>169</v>
      </c>
      <c r="I1543" s="39">
        <v>89</v>
      </c>
      <c r="J1543" s="39">
        <v>80</v>
      </c>
    </row>
    <row r="1544" spans="1:10">
      <c r="A1544" s="38">
        <v>46419</v>
      </c>
      <c r="B1544" s="37" t="s">
        <v>482</v>
      </c>
      <c r="C1544" s="37" t="s">
        <v>496</v>
      </c>
      <c r="D1544" s="37" t="s">
        <v>483</v>
      </c>
      <c r="E1544" s="37" t="s">
        <v>491</v>
      </c>
      <c r="F1544" s="38">
        <v>46443</v>
      </c>
      <c r="G1544" s="37" t="s">
        <v>212</v>
      </c>
      <c r="H1544" s="40">
        <v>169</v>
      </c>
      <c r="I1544" s="39">
        <v>89</v>
      </c>
      <c r="J1544" s="39">
        <v>80</v>
      </c>
    </row>
    <row r="1545" spans="1:10">
      <c r="A1545" s="38">
        <v>46447</v>
      </c>
      <c r="B1545" s="37" t="s">
        <v>482</v>
      </c>
      <c r="C1545" s="37" t="s">
        <v>496</v>
      </c>
      <c r="D1545" s="37" t="s">
        <v>483</v>
      </c>
      <c r="E1545" s="37" t="s">
        <v>492</v>
      </c>
      <c r="F1545" s="38">
        <v>46471</v>
      </c>
      <c r="G1545" s="37" t="s">
        <v>212</v>
      </c>
      <c r="H1545" s="40">
        <v>169</v>
      </c>
      <c r="I1545" s="39">
        <v>89</v>
      </c>
      <c r="J1545" s="39">
        <v>80</v>
      </c>
    </row>
    <row r="1546" spans="1:10">
      <c r="A1546" s="38">
        <v>46478</v>
      </c>
      <c r="B1546" s="37" t="s">
        <v>482</v>
      </c>
      <c r="C1546" s="37" t="s">
        <v>496</v>
      </c>
      <c r="D1546" s="37" t="s">
        <v>483</v>
      </c>
      <c r="E1546" s="37" t="s">
        <v>493</v>
      </c>
      <c r="F1546" s="38">
        <v>46502</v>
      </c>
      <c r="G1546" s="37" t="s">
        <v>212</v>
      </c>
      <c r="H1546" s="40">
        <v>169</v>
      </c>
      <c r="I1546" s="39">
        <v>89</v>
      </c>
      <c r="J1546" s="39">
        <v>80</v>
      </c>
    </row>
    <row r="1547" spans="1:10">
      <c r="A1547" s="38">
        <v>46508</v>
      </c>
      <c r="B1547" s="37" t="s">
        <v>482</v>
      </c>
      <c r="C1547" s="37" t="s">
        <v>496</v>
      </c>
      <c r="D1547" s="37" t="s">
        <v>483</v>
      </c>
      <c r="E1547" s="37" t="s">
        <v>494</v>
      </c>
      <c r="F1547" s="38">
        <v>46532</v>
      </c>
      <c r="G1547" s="37" t="s">
        <v>212</v>
      </c>
      <c r="H1547" s="40">
        <v>169</v>
      </c>
      <c r="I1547" s="39">
        <v>89</v>
      </c>
      <c r="J1547" s="39">
        <v>80</v>
      </c>
    </row>
    <row r="1548" spans="1:10">
      <c r="A1548" s="38">
        <v>46539</v>
      </c>
      <c r="B1548" s="37" t="s">
        <v>482</v>
      </c>
      <c r="C1548" s="37" t="s">
        <v>496</v>
      </c>
      <c r="D1548" s="37" t="s">
        <v>483</v>
      </c>
      <c r="E1548" s="37" t="s">
        <v>495</v>
      </c>
      <c r="F1548" s="38">
        <v>46563</v>
      </c>
      <c r="G1548" s="37" t="s">
        <v>212</v>
      </c>
      <c r="H1548" s="40">
        <v>169</v>
      </c>
      <c r="I1548" s="39">
        <v>89</v>
      </c>
      <c r="J1548" s="39">
        <v>80</v>
      </c>
    </row>
    <row r="1549" spans="1:10">
      <c r="A1549" s="38">
        <v>46131</v>
      </c>
      <c r="B1549" s="37" t="s">
        <v>305</v>
      </c>
      <c r="C1549" s="37" t="s">
        <v>226</v>
      </c>
      <c r="D1549" s="37" t="s">
        <v>680</v>
      </c>
      <c r="E1549" s="37" t="s">
        <v>211</v>
      </c>
      <c r="F1549" s="38">
        <v>46180</v>
      </c>
      <c r="G1549" s="37" t="s">
        <v>215</v>
      </c>
      <c r="H1549" s="39">
        <v>693</v>
      </c>
      <c r="I1549" s="39">
        <f>IF(My_Payment[[#This Row],[Payment_Code]]="S",My_Payment[[#This Row],[Total AMT]]/2,IF(My_Payment[[#This Row],[Payment_Code]]="P",My_Payment[[#This Row],[Total AMT]],0))</f>
        <v>693</v>
      </c>
      <c r="J1549" s="39">
        <f>IF(My_Payment[[#This Row],[Payment_Code]]="S",My_Payment[[#This Row],[Total AMT]]/2,IF(My_Payment[[#This Row],[Payment_Code]]="N",My_Payment[[#This Row],[Total AMT]],0))</f>
        <v>0</v>
      </c>
    </row>
    <row r="1550" spans="1:10">
      <c r="A1550" s="38">
        <v>46138</v>
      </c>
      <c r="B1550" s="37" t="s">
        <v>305</v>
      </c>
      <c r="C1550" s="37" t="s">
        <v>226</v>
      </c>
      <c r="D1550" s="37" t="s">
        <v>726</v>
      </c>
      <c r="E1550" s="37" t="s">
        <v>211</v>
      </c>
      <c r="F1550" s="38">
        <v>46180</v>
      </c>
      <c r="G1550" s="37" t="s">
        <v>215</v>
      </c>
      <c r="H1550" s="39">
        <v>1365</v>
      </c>
      <c r="I1550" s="39">
        <f>IF(My_Payment[[#This Row],[Payment_Code]]="S",My_Payment[[#This Row],[Total AMT]]/2,IF(My_Payment[[#This Row],[Payment_Code]]="P",My_Payment[[#This Row],[Total AMT]],0))</f>
        <v>1365</v>
      </c>
      <c r="J1550" s="39">
        <f>IF(My_Payment[[#This Row],[Payment_Code]]="S",My_Payment[[#This Row],[Total AMT]]/2,IF(My_Payment[[#This Row],[Payment_Code]]="N",My_Payment[[#This Row],[Total AMT]],0))</f>
        <v>0</v>
      </c>
    </row>
    <row r="1551" spans="1:10">
      <c r="A1551" s="38">
        <v>46147</v>
      </c>
      <c r="B1551" s="37" t="s">
        <v>305</v>
      </c>
      <c r="C1551" s="37" t="s">
        <v>226</v>
      </c>
      <c r="D1551" s="37" t="s">
        <v>33</v>
      </c>
      <c r="E1551" s="37" t="s">
        <v>211</v>
      </c>
      <c r="F1551" s="38">
        <v>46180</v>
      </c>
      <c r="G1551" s="37" t="s">
        <v>215</v>
      </c>
      <c r="H1551" s="39">
        <v>297.5</v>
      </c>
      <c r="I1551" s="39">
        <f>IF(My_Payment[[#This Row],[Payment_Code]]="S",My_Payment[[#This Row],[Total AMT]]/2,IF(My_Payment[[#This Row],[Payment_Code]]="P",My_Payment[[#This Row],[Total AMT]],0))</f>
        <v>297.5</v>
      </c>
      <c r="J1551" s="39">
        <f>IF(My_Payment[[#This Row],[Payment_Code]]="S",My_Payment[[#This Row],[Total AMT]]/2,IF(My_Payment[[#This Row],[Payment_Code]]="N",My_Payment[[#This Row],[Total AMT]],0))</f>
        <v>0</v>
      </c>
    </row>
    <row r="1552" spans="1:10">
      <c r="A1552" s="38">
        <v>46147</v>
      </c>
      <c r="B1552" s="37" t="s">
        <v>305</v>
      </c>
      <c r="C1552" s="37" t="s">
        <v>226</v>
      </c>
      <c r="D1552" s="37" t="s">
        <v>680</v>
      </c>
      <c r="E1552" s="37" t="s">
        <v>211</v>
      </c>
      <c r="F1552" s="38">
        <v>46180</v>
      </c>
      <c r="G1552" s="37" t="s">
        <v>215</v>
      </c>
      <c r="H1552" s="39">
        <v>66</v>
      </c>
      <c r="I1552" s="39">
        <f>IF(My_Payment[[#This Row],[Payment_Code]]="S",My_Payment[[#This Row],[Total AMT]]/2,IF(My_Payment[[#This Row],[Payment_Code]]="P",My_Payment[[#This Row],[Total AMT]],0))</f>
        <v>66</v>
      </c>
      <c r="J1552" s="39">
        <f>IF(My_Payment[[#This Row],[Payment_Code]]="S",My_Payment[[#This Row],[Total AMT]]/2,IF(My_Payment[[#This Row],[Payment_Code]]="N",My_Payment[[#This Row],[Total AMT]],0))</f>
        <v>0</v>
      </c>
    </row>
    <row r="1553" spans="1:14">
      <c r="A1553" s="38">
        <v>46147</v>
      </c>
      <c r="B1553" s="37" t="s">
        <v>305</v>
      </c>
      <c r="C1553" s="37" t="s">
        <v>226</v>
      </c>
      <c r="D1553" s="37" t="s">
        <v>680</v>
      </c>
      <c r="E1553" s="37" t="s">
        <v>211</v>
      </c>
      <c r="F1553" s="38">
        <v>46180</v>
      </c>
      <c r="G1553" s="37" t="s">
        <v>215</v>
      </c>
      <c r="H1553" s="39">
        <v>142</v>
      </c>
      <c r="I1553" s="39">
        <f>IF(My_Payment[[#This Row],[Payment_Code]]="S",My_Payment[[#This Row],[Total AMT]]/2,IF(My_Payment[[#This Row],[Payment_Code]]="P",My_Payment[[#This Row],[Total AMT]],0))</f>
        <v>142</v>
      </c>
      <c r="J1553" s="39">
        <f>IF(My_Payment[[#This Row],[Payment_Code]]="S",My_Payment[[#This Row],[Total AMT]]/2,IF(My_Payment[[#This Row],[Payment_Code]]="N",My_Payment[[#This Row],[Total AMT]],0))</f>
        <v>0</v>
      </c>
    </row>
    <row r="1554" spans="1:14">
      <c r="A1554" s="38">
        <v>46147</v>
      </c>
      <c r="B1554" s="37" t="s">
        <v>305</v>
      </c>
      <c r="C1554" s="37" t="s">
        <v>226</v>
      </c>
      <c r="D1554" s="37" t="s">
        <v>680</v>
      </c>
      <c r="E1554" s="37" t="s">
        <v>211</v>
      </c>
      <c r="F1554" s="38">
        <v>46180</v>
      </c>
      <c r="G1554" s="37" t="s">
        <v>215</v>
      </c>
      <c r="H1554" s="39">
        <v>171</v>
      </c>
      <c r="I1554" s="39">
        <f>IF(My_Payment[[#This Row],[Payment_Code]]="S",My_Payment[[#This Row],[Total AMT]]/2,IF(My_Payment[[#This Row],[Payment_Code]]="P",My_Payment[[#This Row],[Total AMT]],0))</f>
        <v>171</v>
      </c>
      <c r="J1554" s="39">
        <f>IF(My_Payment[[#This Row],[Payment_Code]]="S",My_Payment[[#This Row],[Total AMT]]/2,IF(My_Payment[[#This Row],[Payment_Code]]="N",My_Payment[[#This Row],[Total AMT]],0))</f>
        <v>0</v>
      </c>
    </row>
    <row r="1555" spans="1:14">
      <c r="A1555" s="38">
        <v>46156</v>
      </c>
      <c r="B1555" s="37" t="s">
        <v>305</v>
      </c>
      <c r="C1555" s="37" t="s">
        <v>226</v>
      </c>
      <c r="D1555" s="37" t="s">
        <v>680</v>
      </c>
      <c r="E1555" s="37" t="s">
        <v>211</v>
      </c>
      <c r="F1555" s="38">
        <v>46180</v>
      </c>
      <c r="G1555" s="37" t="s">
        <v>215</v>
      </c>
      <c r="H1555" s="39">
        <v>142</v>
      </c>
      <c r="I1555" s="39">
        <f>IF(My_Payment[[#This Row],[Payment_Code]]="S",My_Payment[[#This Row],[Total AMT]]/2,IF(My_Payment[[#This Row],[Payment_Code]]="P",My_Payment[[#This Row],[Total AMT]],0))</f>
        <v>142</v>
      </c>
      <c r="J1555" s="39">
        <f>IF(My_Payment[[#This Row],[Payment_Code]]="S",My_Payment[[#This Row],[Total AMT]]/2,IF(My_Payment[[#This Row],[Payment_Code]]="N",My_Payment[[#This Row],[Total AMT]],0))</f>
        <v>0</v>
      </c>
    </row>
    <row r="1556" spans="1:14">
      <c r="A1556" s="38">
        <v>46156</v>
      </c>
      <c r="B1556" s="37" t="s">
        <v>305</v>
      </c>
      <c r="C1556" s="37" t="s">
        <v>226</v>
      </c>
      <c r="D1556" s="37" t="s">
        <v>680</v>
      </c>
      <c r="E1556" s="37" t="s">
        <v>211</v>
      </c>
      <c r="F1556" s="38">
        <v>46180</v>
      </c>
      <c r="G1556" s="37" t="s">
        <v>215</v>
      </c>
      <c r="H1556" s="39">
        <v>693</v>
      </c>
      <c r="I1556" s="39">
        <f>IF(My_Payment[[#This Row],[Payment_Code]]="S",My_Payment[[#This Row],[Total AMT]]/2,IF(My_Payment[[#This Row],[Payment_Code]]="P",My_Payment[[#This Row],[Total AMT]],0))</f>
        <v>693</v>
      </c>
      <c r="J1556" s="39">
        <f>IF(My_Payment[[#This Row],[Payment_Code]]="S",My_Payment[[#This Row],[Total AMT]]/2,IF(My_Payment[[#This Row],[Payment_Code]]="N",My_Payment[[#This Row],[Total AMT]],0))</f>
        <v>0</v>
      </c>
    </row>
    <row r="1557" spans="1:14">
      <c r="A1557" s="38">
        <v>46159</v>
      </c>
      <c r="B1557" s="37" t="s">
        <v>305</v>
      </c>
      <c r="C1557" s="37" t="s">
        <v>226</v>
      </c>
      <c r="D1557" s="37" t="s">
        <v>725</v>
      </c>
      <c r="E1557" s="37" t="s">
        <v>211</v>
      </c>
      <c r="F1557" s="38">
        <v>46180</v>
      </c>
      <c r="G1557" s="37" t="s">
        <v>212</v>
      </c>
      <c r="H1557" s="39">
        <v>488</v>
      </c>
      <c r="I1557" s="39">
        <f>IF(My_Payment[[#This Row],[Payment_Code]]="S",My_Payment[[#This Row],[Total AMT]]/2,IF(My_Payment[[#This Row],[Payment_Code]]="P",My_Payment[[#This Row],[Total AMT]],0))</f>
        <v>244</v>
      </c>
      <c r="J1557" s="39">
        <f>IF(My_Payment[[#This Row],[Payment_Code]]="S",My_Payment[[#This Row],[Total AMT]]/2,IF(My_Payment[[#This Row],[Payment_Code]]="N",My_Payment[[#This Row],[Total AMT]],0))</f>
        <v>244</v>
      </c>
    </row>
    <row r="1558" spans="1:14">
      <c r="A1558" s="38">
        <v>46167</v>
      </c>
      <c r="B1558" s="37" t="s">
        <v>305</v>
      </c>
      <c r="C1558" s="37" t="s">
        <v>226</v>
      </c>
      <c r="D1558" s="37" t="s">
        <v>680</v>
      </c>
      <c r="E1558" s="37" t="s">
        <v>211</v>
      </c>
      <c r="F1558" s="38">
        <v>46210</v>
      </c>
      <c r="G1558" s="37" t="s">
        <v>215</v>
      </c>
      <c r="H1558" s="39">
        <v>237</v>
      </c>
      <c r="I1558" s="39">
        <f>IF(My_Payment[[#This Row],[Payment_Code]]="S",My_Payment[[#This Row],[Total AMT]]/2,IF(My_Payment[[#This Row],[Payment_Code]]="P",My_Payment[[#This Row],[Total AMT]],0))</f>
        <v>237</v>
      </c>
      <c r="J1558" s="39">
        <f>IF(My_Payment[[#This Row],[Payment_Code]]="S",My_Payment[[#This Row],[Total AMT]]/2,IF(My_Payment[[#This Row],[Payment_Code]]="N",My_Payment[[#This Row],[Total AMT]],0))</f>
        <v>0</v>
      </c>
    </row>
    <row r="1559" spans="1:14">
      <c r="A1559" s="38">
        <v>46167</v>
      </c>
      <c r="B1559" s="37" t="s">
        <v>305</v>
      </c>
      <c r="C1559" s="37" t="s">
        <v>226</v>
      </c>
      <c r="D1559" s="37" t="s">
        <v>680</v>
      </c>
      <c r="E1559" s="37" t="s">
        <v>211</v>
      </c>
      <c r="F1559" s="38">
        <v>46210</v>
      </c>
      <c r="G1559" s="37" t="s">
        <v>215</v>
      </c>
      <c r="H1559" s="39">
        <v>142</v>
      </c>
      <c r="I1559" s="39">
        <f>IF(My_Payment[[#This Row],[Payment_Code]]="S",My_Payment[[#This Row],[Total AMT]]/2,IF(My_Payment[[#This Row],[Payment_Code]]="P",My_Payment[[#This Row],[Total AMT]],0))</f>
        <v>142</v>
      </c>
      <c r="J1559" s="39">
        <f>IF(My_Payment[[#This Row],[Payment_Code]]="S",My_Payment[[#This Row],[Total AMT]]/2,IF(My_Payment[[#This Row],[Payment_Code]]="N",My_Payment[[#This Row],[Total AMT]],0))</f>
        <v>0</v>
      </c>
    </row>
    <row r="1560" spans="1:14">
      <c r="A1560" s="38">
        <v>46167</v>
      </c>
      <c r="B1560" s="37" t="s">
        <v>305</v>
      </c>
      <c r="C1560" s="37" t="s">
        <v>226</v>
      </c>
      <c r="D1560" s="37" t="s">
        <v>680</v>
      </c>
      <c r="E1560" s="37" t="s">
        <v>211</v>
      </c>
      <c r="F1560" s="38">
        <v>46210</v>
      </c>
      <c r="G1560" s="37" t="s">
        <v>215</v>
      </c>
      <c r="H1560" s="39">
        <v>332</v>
      </c>
      <c r="I1560" s="39">
        <f>IF(My_Payment[[#This Row],[Payment_Code]]="S",My_Payment[[#This Row],[Total AMT]]/2,IF(My_Payment[[#This Row],[Payment_Code]]="P",My_Payment[[#This Row],[Total AMT]],0))</f>
        <v>332</v>
      </c>
      <c r="J1560" s="39">
        <f>IF(My_Payment[[#This Row],[Payment_Code]]="S",My_Payment[[#This Row],[Total AMT]]/2,IF(My_Payment[[#This Row],[Payment_Code]]="N",My_Payment[[#This Row],[Total AMT]],0))</f>
        <v>0</v>
      </c>
    </row>
    <row r="1561" spans="1:14">
      <c r="A1561" s="38">
        <v>46171</v>
      </c>
      <c r="B1561" s="37" t="s">
        <v>305</v>
      </c>
      <c r="C1561" s="37" t="s">
        <v>226</v>
      </c>
      <c r="D1561" s="37" t="s">
        <v>680</v>
      </c>
      <c r="E1561" s="37" t="s">
        <v>211</v>
      </c>
      <c r="F1561" s="38">
        <v>46210</v>
      </c>
      <c r="G1561" s="37" t="s">
        <v>215</v>
      </c>
      <c r="H1561" s="39">
        <v>332</v>
      </c>
      <c r="I1561" s="39">
        <f>IF(My_Payment[[#This Row],[Payment_Code]]="S",My_Payment[[#This Row],[Total AMT]]/2,IF(My_Payment[[#This Row],[Payment_Code]]="P",My_Payment[[#This Row],[Total AMT]],0))</f>
        <v>332</v>
      </c>
      <c r="J1561" s="39">
        <f>IF(My_Payment[[#This Row],[Payment_Code]]="S",My_Payment[[#This Row],[Total AMT]]/2,IF(My_Payment[[#This Row],[Payment_Code]]="N",My_Payment[[#This Row],[Total AMT]],0))</f>
        <v>0</v>
      </c>
    </row>
    <row r="1562" spans="1:14">
      <c r="A1562" s="38">
        <v>46172</v>
      </c>
      <c r="B1562" s="37" t="s">
        <v>305</v>
      </c>
      <c r="C1562" s="37" t="s">
        <v>226</v>
      </c>
      <c r="D1562" s="37" t="s">
        <v>727</v>
      </c>
      <c r="E1562" s="37" t="s">
        <v>211</v>
      </c>
      <c r="F1562" s="38">
        <v>46210</v>
      </c>
      <c r="G1562" s="37" t="s">
        <v>212</v>
      </c>
      <c r="H1562" s="39">
        <v>1498</v>
      </c>
      <c r="I1562" s="39">
        <f>IF(My_Payment[[#This Row],[Payment_Code]]="S",My_Payment[[#This Row],[Total AMT]]/2,IF(My_Payment[[#This Row],[Payment_Code]]="P",My_Payment[[#This Row],[Total AMT]],0))</f>
        <v>749</v>
      </c>
      <c r="J1562" s="39">
        <f>IF(My_Payment[[#This Row],[Payment_Code]]="S",My_Payment[[#This Row],[Total AMT]]/2,IF(My_Payment[[#This Row],[Payment_Code]]="N",My_Payment[[#This Row],[Total AMT]],0))</f>
        <v>749</v>
      </c>
    </row>
    <row r="1563" spans="1:14">
      <c r="A1563" s="38">
        <v>46172</v>
      </c>
      <c r="B1563" s="37" t="s">
        <v>305</v>
      </c>
      <c r="C1563" s="37" t="s">
        <v>226</v>
      </c>
      <c r="D1563" s="37" t="s">
        <v>435</v>
      </c>
      <c r="E1563" s="37" t="s">
        <v>211</v>
      </c>
      <c r="F1563" s="38">
        <v>46210</v>
      </c>
      <c r="G1563" s="37" t="s">
        <v>212</v>
      </c>
      <c r="H1563" s="39">
        <v>1160</v>
      </c>
      <c r="I1563" s="39">
        <v>970</v>
      </c>
      <c r="J1563" s="39">
        <v>190</v>
      </c>
    </row>
    <row r="1564" spans="1:14">
      <c r="A1564" s="38">
        <v>46185</v>
      </c>
      <c r="B1564" s="37" t="s">
        <v>305</v>
      </c>
      <c r="C1564" s="37" t="s">
        <v>226</v>
      </c>
      <c r="D1564" s="37" t="s">
        <v>680</v>
      </c>
      <c r="E1564" s="37" t="s">
        <v>211</v>
      </c>
      <c r="F1564" s="38">
        <v>46210</v>
      </c>
      <c r="G1564" s="37" t="s">
        <v>215</v>
      </c>
      <c r="H1564" s="39">
        <v>142</v>
      </c>
      <c r="I1564" s="39">
        <f>IF(My_Payment[[#This Row],[Payment_Code]]="S",My_Payment[[#This Row],[Total AMT]]/2,IF(My_Payment[[#This Row],[Payment_Code]]="P",My_Payment[[#This Row],[Total AMT]],0))</f>
        <v>142</v>
      </c>
      <c r="J1564" s="39">
        <f>IF(My_Payment[[#This Row],[Payment_Code]]="S",My_Payment[[#This Row],[Total AMT]]/2,IF(My_Payment[[#This Row],[Payment_Code]]="N",My_Payment[[#This Row],[Total AMT]],0))</f>
        <v>0</v>
      </c>
    </row>
    <row r="1565" spans="1:14">
      <c r="A1565" s="38">
        <v>46186</v>
      </c>
      <c r="B1565" s="37" t="s">
        <v>305</v>
      </c>
      <c r="C1565" s="37" t="s">
        <v>226</v>
      </c>
      <c r="D1565" s="37" t="s">
        <v>478</v>
      </c>
      <c r="E1565" s="37" t="s">
        <v>211</v>
      </c>
      <c r="F1565" s="38">
        <v>46210</v>
      </c>
      <c r="G1565" s="37" t="s">
        <v>212</v>
      </c>
      <c r="H1565" s="39">
        <v>829.71</v>
      </c>
      <c r="I1565" s="39">
        <v>413.71</v>
      </c>
      <c r="J1565" s="39">
        <v>416</v>
      </c>
      <c r="N1565" s="39"/>
    </row>
    <row r="1566" spans="1:14">
      <c r="A1566" s="38">
        <v>46132</v>
      </c>
      <c r="B1566" s="37" t="s">
        <v>348</v>
      </c>
      <c r="C1566" s="37" t="s">
        <v>209</v>
      </c>
      <c r="D1566" s="37" t="s">
        <v>48</v>
      </c>
      <c r="E1566" s="37" t="s">
        <v>211</v>
      </c>
      <c r="F1566" s="38">
        <v>46174</v>
      </c>
      <c r="G1566" s="37" t="s">
        <v>215</v>
      </c>
      <c r="H1566" s="40">
        <f>(699+100-100+144.87-126.83+425.1-372.17)*1.07</f>
        <v>823.86789999999985</v>
      </c>
      <c r="I1566" s="39">
        <f>IF(My_Payment[[#This Row],[Payment_Code]]="S",My_Payment[[#This Row],[Total AMT]]/2,IF(My_Payment[[#This Row],[Payment_Code]]="P",My_Payment[[#This Row],[Total AMT]],0))</f>
        <v>823.86789999999985</v>
      </c>
      <c r="J1566" s="39">
        <f>IF(My_Payment[[#This Row],[Payment_Code]]="S",My_Payment[[#This Row],[Total AMT]]/2,IF(My_Payment[[#This Row],[Payment_Code]]="N",My_Payment[[#This Row],[Total AMT]],0))</f>
        <v>0</v>
      </c>
    </row>
    <row r="1567" spans="1:14">
      <c r="A1567" s="38">
        <v>46132</v>
      </c>
      <c r="B1567" s="37" t="s">
        <v>348</v>
      </c>
      <c r="C1567" s="37" t="s">
        <v>209</v>
      </c>
      <c r="D1567" s="37" t="s">
        <v>49</v>
      </c>
      <c r="E1567" s="37" t="s">
        <v>211</v>
      </c>
      <c r="F1567" s="38">
        <v>46174</v>
      </c>
      <c r="G1567" s="37" t="s">
        <v>215</v>
      </c>
      <c r="H1567" s="40">
        <f>(1070-171-199)*1.07</f>
        <v>749</v>
      </c>
      <c r="I1567" s="39">
        <f>IF(My_Payment[[#This Row],[Payment_Code]]="S",My_Payment[[#This Row],[Total AMT]]/2,IF(My_Payment[[#This Row],[Payment_Code]]="P",My_Payment[[#This Row],[Total AMT]],0))</f>
        <v>749</v>
      </c>
      <c r="J1567" s="39">
        <f>IF(My_Payment[[#This Row],[Payment_Code]]="S",My_Payment[[#This Row],[Total AMT]]/2,IF(My_Payment[[#This Row],[Payment_Code]]="N",My_Payment[[#This Row],[Total AMT]],0))</f>
        <v>0</v>
      </c>
    </row>
    <row r="1568" spans="1:14">
      <c r="A1568" s="38">
        <v>46130</v>
      </c>
      <c r="B1568" s="37" t="s">
        <v>348</v>
      </c>
      <c r="C1568" s="37" t="s">
        <v>209</v>
      </c>
      <c r="D1568" s="37" t="s">
        <v>81</v>
      </c>
      <c r="E1568" s="37" t="s">
        <v>211</v>
      </c>
      <c r="F1568" s="38">
        <v>46174</v>
      </c>
      <c r="G1568" s="37" t="s">
        <v>215</v>
      </c>
      <c r="H1568" s="40">
        <f>699*1.07</f>
        <v>747.93000000000006</v>
      </c>
      <c r="I1568" s="39">
        <f>IF(My_Payment[[#This Row],[Payment_Code]]="S",My_Payment[[#This Row],[Total AMT]]/2,IF(My_Payment[[#This Row],[Payment_Code]]="P",My_Payment[[#This Row],[Total AMT]],0))</f>
        <v>747.93000000000006</v>
      </c>
      <c r="J1568" s="39">
        <f>IF(My_Payment[[#This Row],[Payment_Code]]="S",My_Payment[[#This Row],[Total AMT]]/2,IF(My_Payment[[#This Row],[Payment_Code]]="N",My_Payment[[#This Row],[Total AMT]],0))</f>
        <v>0</v>
      </c>
    </row>
    <row r="1569" spans="1:10">
      <c r="A1569" s="38">
        <v>46159</v>
      </c>
      <c r="B1569" s="37" t="s">
        <v>348</v>
      </c>
      <c r="C1569" s="37" t="s">
        <v>209</v>
      </c>
      <c r="D1569" s="37" t="s">
        <v>20</v>
      </c>
      <c r="E1569" s="37" t="s">
        <v>211</v>
      </c>
      <c r="F1569" s="38">
        <v>46174</v>
      </c>
      <c r="G1569" s="37" t="s">
        <v>215</v>
      </c>
      <c r="H1569" s="40">
        <f>SUM(H1566:H1568)*-0.25%</f>
        <v>-5.8019947499999986</v>
      </c>
      <c r="I1569" s="39">
        <f>IF(My_Payment[[#This Row],[Payment_Code]]="S",My_Payment[[#This Row],[Total AMT]]/2,IF(My_Payment[[#This Row],[Payment_Code]]="P",My_Payment[[#This Row],[Total AMT]],0))</f>
        <v>-5.8019947499999986</v>
      </c>
      <c r="J1569" s="39">
        <f>IF(My_Payment[[#This Row],[Payment_Code]]="S",My_Payment[[#This Row],[Total AMT]]/2,IF(My_Payment[[#This Row],[Payment_Code]]="N",My_Payment[[#This Row],[Total AMT]],0))</f>
        <v>0</v>
      </c>
    </row>
    <row r="1570" spans="1:10">
      <c r="A1570" s="38">
        <v>46162</v>
      </c>
      <c r="B1570" s="37" t="s">
        <v>348</v>
      </c>
      <c r="C1570" s="37" t="s">
        <v>209</v>
      </c>
      <c r="D1570" s="37" t="s">
        <v>48</v>
      </c>
      <c r="E1570" s="37" t="s">
        <v>211</v>
      </c>
      <c r="F1570" s="38">
        <v>46204</v>
      </c>
      <c r="G1570" s="37" t="s">
        <v>215</v>
      </c>
      <c r="H1570" s="40">
        <f>(699+100-100+599-499)*1.07</f>
        <v>854.93000000000006</v>
      </c>
      <c r="I1570" s="39">
        <f>IF(My_Payment[[#This Row],[Payment_Code]]="S",My_Payment[[#This Row],[Total AMT]]/2,IF(My_Payment[[#This Row],[Payment_Code]]="P",My_Payment[[#This Row],[Total AMT]],0))</f>
        <v>854.93000000000006</v>
      </c>
      <c r="J1570" s="39">
        <f>IF(My_Payment[[#This Row],[Payment_Code]]="S",My_Payment[[#This Row],[Total AMT]]/2,IF(My_Payment[[#This Row],[Payment_Code]]="N",My_Payment[[#This Row],[Total AMT]],0))</f>
        <v>0</v>
      </c>
    </row>
    <row r="1571" spans="1:10">
      <c r="A1571" s="38">
        <v>46162</v>
      </c>
      <c r="B1571" s="37" t="s">
        <v>348</v>
      </c>
      <c r="C1571" s="37" t="s">
        <v>209</v>
      </c>
      <c r="D1571" s="37" t="s">
        <v>49</v>
      </c>
      <c r="E1571" s="37" t="s">
        <v>211</v>
      </c>
      <c r="F1571" s="38">
        <v>46204</v>
      </c>
      <c r="G1571" s="37" t="s">
        <v>215</v>
      </c>
      <c r="H1571" s="40">
        <f>(1070-171-199)*1.07</f>
        <v>749</v>
      </c>
      <c r="I1571" s="39">
        <f>IF(My_Payment[[#This Row],[Payment_Code]]="S",My_Payment[[#This Row],[Total AMT]]/2,IF(My_Payment[[#This Row],[Payment_Code]]="P",My_Payment[[#This Row],[Total AMT]],0))</f>
        <v>749</v>
      </c>
      <c r="J1571" s="39">
        <f>IF(My_Payment[[#This Row],[Payment_Code]]="S",My_Payment[[#This Row],[Total AMT]]/2,IF(My_Payment[[#This Row],[Payment_Code]]="N",My_Payment[[#This Row],[Total AMT]],0))</f>
        <v>0</v>
      </c>
    </row>
    <row r="1572" spans="1:10">
      <c r="A1572" s="38">
        <v>46160</v>
      </c>
      <c r="B1572" s="37" t="s">
        <v>348</v>
      </c>
      <c r="C1572" s="37" t="s">
        <v>209</v>
      </c>
      <c r="D1572" s="37" t="s">
        <v>81</v>
      </c>
      <c r="E1572" s="37" t="s">
        <v>211</v>
      </c>
      <c r="F1572" s="38">
        <v>46204</v>
      </c>
      <c r="G1572" s="37" t="s">
        <v>215</v>
      </c>
      <c r="H1572" s="40">
        <f>699*1.07</f>
        <v>747.93000000000006</v>
      </c>
      <c r="I1572" s="39">
        <f>IF(My_Payment[[#This Row],[Payment_Code]]="S",My_Payment[[#This Row],[Total AMT]]/2,IF(My_Payment[[#This Row],[Payment_Code]]="P",My_Payment[[#This Row],[Total AMT]],0))</f>
        <v>747.93000000000006</v>
      </c>
      <c r="J1572" s="39">
        <f>IF(My_Payment[[#This Row],[Payment_Code]]="S",My_Payment[[#This Row],[Total AMT]]/2,IF(My_Payment[[#This Row],[Payment_Code]]="N",My_Payment[[#This Row],[Total AMT]],0))</f>
        <v>0</v>
      </c>
    </row>
    <row r="1573" spans="1:10">
      <c r="A1573" s="38">
        <v>46190</v>
      </c>
      <c r="B1573" s="37" t="s">
        <v>348</v>
      </c>
      <c r="C1573" s="37" t="s">
        <v>209</v>
      </c>
      <c r="D1573" s="37" t="s">
        <v>20</v>
      </c>
      <c r="E1573" s="37" t="s">
        <v>211</v>
      </c>
      <c r="F1573" s="38">
        <v>46204</v>
      </c>
      <c r="G1573" s="37" t="s">
        <v>215</v>
      </c>
      <c r="H1573" s="40">
        <f>SUM(H1570:H1572)*-0.25%+0.01</f>
        <v>-5.8696500000000009</v>
      </c>
      <c r="I1573" s="39">
        <f>IF(My_Payment[[#This Row],[Payment_Code]]="S",My_Payment[[#This Row],[Total AMT]]/2,IF(My_Payment[[#This Row],[Payment_Code]]="P",My_Payment[[#This Row],[Total AMT]],0))</f>
        <v>-5.8696500000000009</v>
      </c>
      <c r="J1573" s="39">
        <f>IF(My_Payment[[#This Row],[Payment_Code]]="S",My_Payment[[#This Row],[Total AMT]]/2,IF(My_Payment[[#This Row],[Payment_Code]]="N",My_Payment[[#This Row],[Total AMT]],0))</f>
        <v>0</v>
      </c>
    </row>
    <row r="1574" spans="1:10">
      <c r="A1574" s="38">
        <v>46193</v>
      </c>
      <c r="B1574" s="37" t="s">
        <v>348</v>
      </c>
      <c r="C1574" s="37" t="s">
        <v>209</v>
      </c>
      <c r="D1574" s="37" t="s">
        <v>48</v>
      </c>
      <c r="E1574" s="37" t="s">
        <v>211</v>
      </c>
      <c r="F1574" s="38">
        <v>46235</v>
      </c>
      <c r="G1574" s="37" t="s">
        <v>215</v>
      </c>
      <c r="H1574" s="40">
        <f>(699+100-100+599-499)*1.07</f>
        <v>854.93000000000006</v>
      </c>
      <c r="I1574" s="39">
        <f>IF(My_Payment[[#This Row],[Payment_Code]]="S",My_Payment[[#This Row],[Total AMT]]/2,IF(My_Payment[[#This Row],[Payment_Code]]="P",My_Payment[[#This Row],[Total AMT]],0))</f>
        <v>854.93000000000006</v>
      </c>
      <c r="J1574" s="39">
        <f>IF(My_Payment[[#This Row],[Payment_Code]]="S",My_Payment[[#This Row],[Total AMT]]/2,IF(My_Payment[[#This Row],[Payment_Code]]="N",My_Payment[[#This Row],[Total AMT]],0))</f>
        <v>0</v>
      </c>
    </row>
    <row r="1575" spans="1:10">
      <c r="A1575" s="38">
        <v>46193</v>
      </c>
      <c r="B1575" s="37" t="s">
        <v>348</v>
      </c>
      <c r="C1575" s="37" t="s">
        <v>209</v>
      </c>
      <c r="D1575" s="37" t="s">
        <v>49</v>
      </c>
      <c r="E1575" s="37" t="s">
        <v>211</v>
      </c>
      <c r="F1575" s="38">
        <v>46235</v>
      </c>
      <c r="G1575" s="37" t="s">
        <v>215</v>
      </c>
      <c r="H1575" s="40">
        <f>(1070-171-199)*1.07</f>
        <v>749</v>
      </c>
      <c r="I1575" s="39">
        <f>IF(My_Payment[[#This Row],[Payment_Code]]="S",My_Payment[[#This Row],[Total AMT]]/2,IF(My_Payment[[#This Row],[Payment_Code]]="P",My_Payment[[#This Row],[Total AMT]],0))</f>
        <v>749</v>
      </c>
      <c r="J1575" s="39">
        <f>IF(My_Payment[[#This Row],[Payment_Code]]="S",My_Payment[[#This Row],[Total AMT]]/2,IF(My_Payment[[#This Row],[Payment_Code]]="N",My_Payment[[#This Row],[Total AMT]],0))</f>
        <v>0</v>
      </c>
    </row>
    <row r="1576" spans="1:10">
      <c r="A1576" s="38">
        <v>46191</v>
      </c>
      <c r="B1576" s="37" t="s">
        <v>348</v>
      </c>
      <c r="C1576" s="37" t="s">
        <v>209</v>
      </c>
      <c r="D1576" s="37" t="s">
        <v>81</v>
      </c>
      <c r="E1576" s="37" t="s">
        <v>211</v>
      </c>
      <c r="F1576" s="38">
        <v>46235</v>
      </c>
      <c r="G1576" s="37" t="s">
        <v>215</v>
      </c>
      <c r="H1576" s="40">
        <f>699*1.07</f>
        <v>747.93000000000006</v>
      </c>
      <c r="I1576" s="39">
        <f>IF(My_Payment[[#This Row],[Payment_Code]]="S",My_Payment[[#This Row],[Total AMT]]/2,IF(My_Payment[[#This Row],[Payment_Code]]="P",My_Payment[[#This Row],[Total AMT]],0))</f>
        <v>747.93000000000006</v>
      </c>
      <c r="J1576" s="39">
        <f>IF(My_Payment[[#This Row],[Payment_Code]]="S",My_Payment[[#This Row],[Total AMT]]/2,IF(My_Payment[[#This Row],[Payment_Code]]="N",My_Payment[[#This Row],[Total AMT]],0))</f>
        <v>0</v>
      </c>
    </row>
    <row r="1577" spans="1:10">
      <c r="A1577" s="38">
        <v>46220</v>
      </c>
      <c r="B1577" s="37" t="s">
        <v>348</v>
      </c>
      <c r="C1577" s="37" t="s">
        <v>209</v>
      </c>
      <c r="D1577" s="37" t="s">
        <v>20</v>
      </c>
      <c r="E1577" s="37" t="s">
        <v>211</v>
      </c>
      <c r="F1577" s="38">
        <v>46235</v>
      </c>
      <c r="G1577" s="37" t="s">
        <v>215</v>
      </c>
      <c r="H1577" s="40">
        <f>SUM(H1574:H1576)*-0.25%+0.01</f>
        <v>-5.8696500000000009</v>
      </c>
      <c r="I1577" s="39">
        <f>IF(My_Payment[[#This Row],[Payment_Code]]="S",My_Payment[[#This Row],[Total AMT]]/2,IF(My_Payment[[#This Row],[Payment_Code]]="P",My_Payment[[#This Row],[Total AMT]],0))</f>
        <v>-5.8696500000000009</v>
      </c>
      <c r="J1577" s="39">
        <f>IF(My_Payment[[#This Row],[Payment_Code]]="S",My_Payment[[#This Row],[Total AMT]]/2,IF(My_Payment[[#This Row],[Payment_Code]]="N",My_Payment[[#This Row],[Total AMT]],0))</f>
        <v>0</v>
      </c>
    </row>
    <row r="1578" spans="1:10">
      <c r="A1578" s="38">
        <v>46223</v>
      </c>
      <c r="B1578" s="37" t="s">
        <v>348</v>
      </c>
      <c r="C1578" s="37" t="s">
        <v>209</v>
      </c>
      <c r="D1578" s="37" t="s">
        <v>48</v>
      </c>
      <c r="E1578" s="37" t="s">
        <v>211</v>
      </c>
      <c r="F1578" s="38">
        <v>46266</v>
      </c>
      <c r="G1578" s="37" t="s">
        <v>215</v>
      </c>
      <c r="H1578" s="40">
        <f>(699+100-100+599-499)*1.07</f>
        <v>854.93000000000006</v>
      </c>
      <c r="I1578" s="39">
        <f>IF(My_Payment[[#This Row],[Payment_Code]]="S",My_Payment[[#This Row],[Total AMT]]/2,IF(My_Payment[[#This Row],[Payment_Code]]="P",My_Payment[[#This Row],[Total AMT]],0))</f>
        <v>854.93000000000006</v>
      </c>
      <c r="J1578" s="39">
        <f>IF(My_Payment[[#This Row],[Payment_Code]]="S",My_Payment[[#This Row],[Total AMT]]/2,IF(My_Payment[[#This Row],[Payment_Code]]="N",My_Payment[[#This Row],[Total AMT]],0))</f>
        <v>0</v>
      </c>
    </row>
    <row r="1579" spans="1:10">
      <c r="A1579" s="38">
        <v>46223</v>
      </c>
      <c r="B1579" s="37" t="s">
        <v>348</v>
      </c>
      <c r="C1579" s="37" t="s">
        <v>209</v>
      </c>
      <c r="D1579" s="37" t="s">
        <v>49</v>
      </c>
      <c r="E1579" s="37" t="s">
        <v>211</v>
      </c>
      <c r="F1579" s="38">
        <v>46266</v>
      </c>
      <c r="G1579" s="37" t="s">
        <v>215</v>
      </c>
      <c r="H1579" s="40">
        <f>(1070-171-199)*1.07</f>
        <v>749</v>
      </c>
      <c r="I1579" s="39">
        <f>IF(My_Payment[[#This Row],[Payment_Code]]="S",My_Payment[[#This Row],[Total AMT]]/2,IF(My_Payment[[#This Row],[Payment_Code]]="P",My_Payment[[#This Row],[Total AMT]],0))</f>
        <v>749</v>
      </c>
      <c r="J1579" s="39">
        <f>IF(My_Payment[[#This Row],[Payment_Code]]="S",My_Payment[[#This Row],[Total AMT]]/2,IF(My_Payment[[#This Row],[Payment_Code]]="N",My_Payment[[#This Row],[Total AMT]],0))</f>
        <v>0</v>
      </c>
    </row>
    <row r="1580" spans="1:10">
      <c r="A1580" s="38">
        <v>46221</v>
      </c>
      <c r="B1580" s="37" t="s">
        <v>348</v>
      </c>
      <c r="C1580" s="37" t="s">
        <v>209</v>
      </c>
      <c r="D1580" s="37" t="s">
        <v>81</v>
      </c>
      <c r="E1580" s="37" t="s">
        <v>211</v>
      </c>
      <c r="F1580" s="38">
        <v>46266</v>
      </c>
      <c r="G1580" s="37" t="s">
        <v>215</v>
      </c>
      <c r="H1580" s="40">
        <f>699*1.07</f>
        <v>747.93000000000006</v>
      </c>
      <c r="I1580" s="39">
        <f>IF(My_Payment[[#This Row],[Payment_Code]]="S",My_Payment[[#This Row],[Total AMT]]/2,IF(My_Payment[[#This Row],[Payment_Code]]="P",My_Payment[[#This Row],[Total AMT]],0))</f>
        <v>747.93000000000006</v>
      </c>
      <c r="J1580" s="39">
        <f>IF(My_Payment[[#This Row],[Payment_Code]]="S",My_Payment[[#This Row],[Total AMT]]/2,IF(My_Payment[[#This Row],[Payment_Code]]="N",My_Payment[[#This Row],[Total AMT]],0))</f>
        <v>0</v>
      </c>
    </row>
    <row r="1581" spans="1:10">
      <c r="A1581" s="38">
        <v>46251</v>
      </c>
      <c r="B1581" s="37" t="s">
        <v>348</v>
      </c>
      <c r="C1581" s="37" t="s">
        <v>209</v>
      </c>
      <c r="D1581" s="37" t="s">
        <v>20</v>
      </c>
      <c r="E1581" s="37" t="s">
        <v>211</v>
      </c>
      <c r="F1581" s="38">
        <v>46266</v>
      </c>
      <c r="G1581" s="37" t="s">
        <v>215</v>
      </c>
      <c r="H1581" s="40">
        <f>SUM(H1578:H1580)*-0.25%+0.01</f>
        <v>-5.8696500000000009</v>
      </c>
      <c r="I1581" s="39">
        <f>IF(My_Payment[[#This Row],[Payment_Code]]="S",My_Payment[[#This Row],[Total AMT]]/2,IF(My_Payment[[#This Row],[Payment_Code]]="P",My_Payment[[#This Row],[Total AMT]],0))</f>
        <v>-5.8696500000000009</v>
      </c>
      <c r="J1581" s="39">
        <f>IF(My_Payment[[#This Row],[Payment_Code]]="S",My_Payment[[#This Row],[Total AMT]]/2,IF(My_Payment[[#This Row],[Payment_Code]]="N",My_Payment[[#This Row],[Total AMT]],0))</f>
        <v>0</v>
      </c>
    </row>
    <row r="1582" spans="1:10">
      <c r="A1582" s="38">
        <v>46254</v>
      </c>
      <c r="B1582" s="37" t="s">
        <v>348</v>
      </c>
      <c r="C1582" s="37" t="s">
        <v>209</v>
      </c>
      <c r="D1582" s="37" t="s">
        <v>48</v>
      </c>
      <c r="E1582" s="37" t="s">
        <v>211</v>
      </c>
      <c r="F1582" s="38">
        <v>46296</v>
      </c>
      <c r="G1582" s="37" t="s">
        <v>215</v>
      </c>
      <c r="H1582" s="40">
        <f>(699+100-100+599-499)*1.07</f>
        <v>854.93000000000006</v>
      </c>
      <c r="I1582" s="39">
        <f>IF(My_Payment[[#This Row],[Payment_Code]]="S",My_Payment[[#This Row],[Total AMT]]/2,IF(My_Payment[[#This Row],[Payment_Code]]="P",My_Payment[[#This Row],[Total AMT]],0))</f>
        <v>854.93000000000006</v>
      </c>
      <c r="J1582" s="39">
        <f>IF(My_Payment[[#This Row],[Payment_Code]]="S",My_Payment[[#This Row],[Total AMT]]/2,IF(My_Payment[[#This Row],[Payment_Code]]="N",My_Payment[[#This Row],[Total AMT]],0))</f>
        <v>0</v>
      </c>
    </row>
    <row r="1583" spans="1:10">
      <c r="A1583" s="38">
        <v>46254</v>
      </c>
      <c r="B1583" s="37" t="s">
        <v>348</v>
      </c>
      <c r="C1583" s="37" t="s">
        <v>209</v>
      </c>
      <c r="D1583" s="37" t="s">
        <v>49</v>
      </c>
      <c r="E1583" s="37" t="s">
        <v>211</v>
      </c>
      <c r="F1583" s="38">
        <v>46296</v>
      </c>
      <c r="G1583" s="37" t="s">
        <v>215</v>
      </c>
      <c r="H1583" s="40">
        <f>(1070-171-199)*1.07</f>
        <v>749</v>
      </c>
      <c r="I1583" s="39">
        <f>IF(My_Payment[[#This Row],[Payment_Code]]="S",My_Payment[[#This Row],[Total AMT]]/2,IF(My_Payment[[#This Row],[Payment_Code]]="P",My_Payment[[#This Row],[Total AMT]],0))</f>
        <v>749</v>
      </c>
      <c r="J1583" s="39">
        <f>IF(My_Payment[[#This Row],[Payment_Code]]="S",My_Payment[[#This Row],[Total AMT]]/2,IF(My_Payment[[#This Row],[Payment_Code]]="N",My_Payment[[#This Row],[Total AMT]],0))</f>
        <v>0</v>
      </c>
    </row>
    <row r="1584" spans="1:10">
      <c r="A1584" s="38">
        <v>46252</v>
      </c>
      <c r="B1584" s="37" t="s">
        <v>348</v>
      </c>
      <c r="C1584" s="37" t="s">
        <v>209</v>
      </c>
      <c r="D1584" s="37" t="s">
        <v>81</v>
      </c>
      <c r="E1584" s="37" t="s">
        <v>211</v>
      </c>
      <c r="F1584" s="38">
        <v>46296</v>
      </c>
      <c r="G1584" s="37" t="s">
        <v>215</v>
      </c>
      <c r="H1584" s="40">
        <f>699*1.07</f>
        <v>747.93000000000006</v>
      </c>
      <c r="I1584" s="39">
        <f>IF(My_Payment[[#This Row],[Payment_Code]]="S",My_Payment[[#This Row],[Total AMT]]/2,IF(My_Payment[[#This Row],[Payment_Code]]="P",My_Payment[[#This Row],[Total AMT]],0))</f>
        <v>747.93000000000006</v>
      </c>
      <c r="J1584" s="39">
        <f>IF(My_Payment[[#This Row],[Payment_Code]]="S",My_Payment[[#This Row],[Total AMT]]/2,IF(My_Payment[[#This Row],[Payment_Code]]="N",My_Payment[[#This Row],[Total AMT]],0))</f>
        <v>0</v>
      </c>
    </row>
    <row r="1585" spans="1:10">
      <c r="A1585" s="38">
        <v>46282</v>
      </c>
      <c r="B1585" s="37" t="s">
        <v>348</v>
      </c>
      <c r="C1585" s="37" t="s">
        <v>209</v>
      </c>
      <c r="D1585" s="37" t="s">
        <v>20</v>
      </c>
      <c r="E1585" s="37" t="s">
        <v>211</v>
      </c>
      <c r="F1585" s="38">
        <v>46296</v>
      </c>
      <c r="G1585" s="37" t="s">
        <v>215</v>
      </c>
      <c r="H1585" s="40">
        <f>SUM(H1582:H1584)*-0.25%+0.01</f>
        <v>-5.8696500000000009</v>
      </c>
      <c r="I1585" s="39">
        <f>IF(My_Payment[[#This Row],[Payment_Code]]="S",My_Payment[[#This Row],[Total AMT]]/2,IF(My_Payment[[#This Row],[Payment_Code]]="P",My_Payment[[#This Row],[Total AMT]],0))</f>
        <v>-5.8696500000000009</v>
      </c>
      <c r="J1585" s="39">
        <f>IF(My_Payment[[#This Row],[Payment_Code]]="S",My_Payment[[#This Row],[Total AMT]]/2,IF(My_Payment[[#This Row],[Payment_Code]]="N",My_Payment[[#This Row],[Total AMT]],0))</f>
        <v>0</v>
      </c>
    </row>
    <row r="1586" spans="1:10">
      <c r="A1586" s="38">
        <v>46285</v>
      </c>
      <c r="B1586" s="37" t="s">
        <v>348</v>
      </c>
      <c r="C1586" s="37" t="s">
        <v>209</v>
      </c>
      <c r="D1586" s="37" t="s">
        <v>48</v>
      </c>
      <c r="E1586" s="37" t="s">
        <v>211</v>
      </c>
      <c r="F1586" s="38">
        <v>46327</v>
      </c>
      <c r="G1586" s="37" t="s">
        <v>215</v>
      </c>
      <c r="H1586" s="40">
        <f>(699+100-100+599-499)*1.07</f>
        <v>854.93000000000006</v>
      </c>
      <c r="I1586" s="39">
        <f>IF(My_Payment[[#This Row],[Payment_Code]]="S",My_Payment[[#This Row],[Total AMT]]/2,IF(My_Payment[[#This Row],[Payment_Code]]="P",My_Payment[[#This Row],[Total AMT]],0))</f>
        <v>854.93000000000006</v>
      </c>
      <c r="J1586" s="39">
        <f>IF(My_Payment[[#This Row],[Payment_Code]]="S",My_Payment[[#This Row],[Total AMT]]/2,IF(My_Payment[[#This Row],[Payment_Code]]="N",My_Payment[[#This Row],[Total AMT]],0))</f>
        <v>0</v>
      </c>
    </row>
    <row r="1587" spans="1:10">
      <c r="A1587" s="38">
        <v>46285</v>
      </c>
      <c r="B1587" s="37" t="s">
        <v>348</v>
      </c>
      <c r="C1587" s="37" t="s">
        <v>209</v>
      </c>
      <c r="D1587" s="37" t="s">
        <v>49</v>
      </c>
      <c r="E1587" s="37" t="s">
        <v>211</v>
      </c>
      <c r="F1587" s="38">
        <v>46327</v>
      </c>
      <c r="G1587" s="37" t="s">
        <v>215</v>
      </c>
      <c r="H1587" s="40">
        <f>(1070-171-199)*1.07</f>
        <v>749</v>
      </c>
      <c r="I1587" s="39">
        <f>IF(My_Payment[[#This Row],[Payment_Code]]="S",My_Payment[[#This Row],[Total AMT]]/2,IF(My_Payment[[#This Row],[Payment_Code]]="P",My_Payment[[#This Row],[Total AMT]],0))</f>
        <v>749</v>
      </c>
      <c r="J1587" s="39">
        <f>IF(My_Payment[[#This Row],[Payment_Code]]="S",My_Payment[[#This Row],[Total AMT]]/2,IF(My_Payment[[#This Row],[Payment_Code]]="N",My_Payment[[#This Row],[Total AMT]],0))</f>
        <v>0</v>
      </c>
    </row>
    <row r="1588" spans="1:10">
      <c r="A1588" s="38">
        <v>46283</v>
      </c>
      <c r="B1588" s="37" t="s">
        <v>348</v>
      </c>
      <c r="C1588" s="37" t="s">
        <v>209</v>
      </c>
      <c r="D1588" s="37" t="s">
        <v>81</v>
      </c>
      <c r="E1588" s="37" t="s">
        <v>211</v>
      </c>
      <c r="F1588" s="38">
        <v>46327</v>
      </c>
      <c r="G1588" s="37" t="s">
        <v>215</v>
      </c>
      <c r="H1588" s="40">
        <f>699*1.07</f>
        <v>747.93000000000006</v>
      </c>
      <c r="I1588" s="39">
        <f>IF(My_Payment[[#This Row],[Payment_Code]]="S",My_Payment[[#This Row],[Total AMT]]/2,IF(My_Payment[[#This Row],[Payment_Code]]="P",My_Payment[[#This Row],[Total AMT]],0))</f>
        <v>747.93000000000006</v>
      </c>
      <c r="J1588" s="39">
        <f>IF(My_Payment[[#This Row],[Payment_Code]]="S",My_Payment[[#This Row],[Total AMT]]/2,IF(My_Payment[[#This Row],[Payment_Code]]="N",My_Payment[[#This Row],[Total AMT]],0))</f>
        <v>0</v>
      </c>
    </row>
    <row r="1589" spans="1:10">
      <c r="A1589" s="38">
        <v>46312</v>
      </c>
      <c r="B1589" s="37" t="s">
        <v>348</v>
      </c>
      <c r="C1589" s="37" t="s">
        <v>209</v>
      </c>
      <c r="D1589" s="37" t="s">
        <v>20</v>
      </c>
      <c r="E1589" s="37" t="s">
        <v>211</v>
      </c>
      <c r="F1589" s="38">
        <v>46327</v>
      </c>
      <c r="G1589" s="37" t="s">
        <v>215</v>
      </c>
      <c r="H1589" s="40">
        <f>SUM(H1586:H1588)*-0.25%+0.01</f>
        <v>-5.8696500000000009</v>
      </c>
      <c r="I1589" s="39">
        <f>IF(My_Payment[[#This Row],[Payment_Code]]="S",My_Payment[[#This Row],[Total AMT]]/2,IF(My_Payment[[#This Row],[Payment_Code]]="P",My_Payment[[#This Row],[Total AMT]],0))</f>
        <v>-5.8696500000000009</v>
      </c>
      <c r="J1589" s="39">
        <f>IF(My_Payment[[#This Row],[Payment_Code]]="S",My_Payment[[#This Row],[Total AMT]]/2,IF(My_Payment[[#This Row],[Payment_Code]]="N",My_Payment[[#This Row],[Total AMT]],0))</f>
        <v>0</v>
      </c>
    </row>
    <row r="1590" spans="1:10">
      <c r="A1590" s="38">
        <v>46315</v>
      </c>
      <c r="B1590" s="37" t="s">
        <v>348</v>
      </c>
      <c r="C1590" s="37" t="s">
        <v>209</v>
      </c>
      <c r="D1590" s="37" t="s">
        <v>48</v>
      </c>
      <c r="E1590" s="37" t="s">
        <v>211</v>
      </c>
      <c r="F1590" s="38">
        <v>46357</v>
      </c>
      <c r="G1590" s="37" t="s">
        <v>215</v>
      </c>
      <c r="H1590" s="40">
        <f>(699+100-100+599-499)*1.07</f>
        <v>854.93000000000006</v>
      </c>
      <c r="I1590" s="39">
        <f>IF(My_Payment[[#This Row],[Payment_Code]]="S",My_Payment[[#This Row],[Total AMT]]/2,IF(My_Payment[[#This Row],[Payment_Code]]="P",My_Payment[[#This Row],[Total AMT]],0))</f>
        <v>854.93000000000006</v>
      </c>
      <c r="J1590" s="39">
        <f>IF(My_Payment[[#This Row],[Payment_Code]]="S",My_Payment[[#This Row],[Total AMT]]/2,IF(My_Payment[[#This Row],[Payment_Code]]="N",My_Payment[[#This Row],[Total AMT]],0))</f>
        <v>0</v>
      </c>
    </row>
    <row r="1591" spans="1:10">
      <c r="A1591" s="38">
        <v>46315</v>
      </c>
      <c r="B1591" s="37" t="s">
        <v>348</v>
      </c>
      <c r="C1591" s="37" t="s">
        <v>209</v>
      </c>
      <c r="D1591" s="37" t="s">
        <v>49</v>
      </c>
      <c r="E1591" s="37" t="s">
        <v>211</v>
      </c>
      <c r="F1591" s="38">
        <v>46357</v>
      </c>
      <c r="G1591" s="37" t="s">
        <v>215</v>
      </c>
      <c r="H1591" s="40">
        <f>(1070-171-199)*1.07</f>
        <v>749</v>
      </c>
      <c r="I1591" s="39">
        <f>IF(My_Payment[[#This Row],[Payment_Code]]="S",My_Payment[[#This Row],[Total AMT]]/2,IF(My_Payment[[#This Row],[Payment_Code]]="P",My_Payment[[#This Row],[Total AMT]],0))</f>
        <v>749</v>
      </c>
      <c r="J1591" s="39">
        <f>IF(My_Payment[[#This Row],[Payment_Code]]="S",My_Payment[[#This Row],[Total AMT]]/2,IF(My_Payment[[#This Row],[Payment_Code]]="N",My_Payment[[#This Row],[Total AMT]],0))</f>
        <v>0</v>
      </c>
    </row>
    <row r="1592" spans="1:10">
      <c r="A1592" s="38">
        <v>46313</v>
      </c>
      <c r="B1592" s="37" t="s">
        <v>348</v>
      </c>
      <c r="C1592" s="37" t="s">
        <v>209</v>
      </c>
      <c r="D1592" s="37" t="s">
        <v>81</v>
      </c>
      <c r="E1592" s="37" t="s">
        <v>211</v>
      </c>
      <c r="F1592" s="38">
        <v>46357</v>
      </c>
      <c r="G1592" s="37" t="s">
        <v>215</v>
      </c>
      <c r="H1592" s="40">
        <f>699*1.07</f>
        <v>747.93000000000006</v>
      </c>
      <c r="I1592" s="39">
        <f>IF(My_Payment[[#This Row],[Payment_Code]]="S",My_Payment[[#This Row],[Total AMT]]/2,IF(My_Payment[[#This Row],[Payment_Code]]="P",My_Payment[[#This Row],[Total AMT]],0))</f>
        <v>747.93000000000006</v>
      </c>
      <c r="J1592" s="39">
        <f>IF(My_Payment[[#This Row],[Payment_Code]]="S",My_Payment[[#This Row],[Total AMT]]/2,IF(My_Payment[[#This Row],[Payment_Code]]="N",My_Payment[[#This Row],[Total AMT]],0))</f>
        <v>0</v>
      </c>
    </row>
    <row r="1593" spans="1:10">
      <c r="A1593" s="38">
        <v>46343</v>
      </c>
      <c r="B1593" s="37" t="s">
        <v>348</v>
      </c>
      <c r="C1593" s="37" t="s">
        <v>209</v>
      </c>
      <c r="D1593" s="37" t="s">
        <v>20</v>
      </c>
      <c r="E1593" s="37" t="s">
        <v>211</v>
      </c>
      <c r="F1593" s="38">
        <v>46357</v>
      </c>
      <c r="G1593" s="37" t="s">
        <v>215</v>
      </c>
      <c r="H1593" s="40">
        <f>SUM(H1590:H1592)*-0.25%+0.01</f>
        <v>-5.8696500000000009</v>
      </c>
      <c r="I1593" s="39">
        <f>IF(My_Payment[[#This Row],[Payment_Code]]="S",My_Payment[[#This Row],[Total AMT]]/2,IF(My_Payment[[#This Row],[Payment_Code]]="P",My_Payment[[#This Row],[Total AMT]],0))</f>
        <v>-5.8696500000000009</v>
      </c>
      <c r="J1593" s="39">
        <f>IF(My_Payment[[#This Row],[Payment_Code]]="S",My_Payment[[#This Row],[Total AMT]]/2,IF(My_Payment[[#This Row],[Payment_Code]]="N",My_Payment[[#This Row],[Total AMT]],0))</f>
        <v>0</v>
      </c>
    </row>
    <row r="1594" spans="1:10">
      <c r="A1594" s="38">
        <v>46131</v>
      </c>
      <c r="B1594" s="37" t="s">
        <v>345</v>
      </c>
      <c r="C1594" s="37" t="s">
        <v>248</v>
      </c>
      <c r="D1594" s="37" t="s">
        <v>471</v>
      </c>
      <c r="E1594" s="37" t="s">
        <v>211</v>
      </c>
      <c r="F1594" s="38">
        <v>46175</v>
      </c>
      <c r="G1594" s="37" t="s">
        <v>212</v>
      </c>
      <c r="H1594" s="39">
        <v>1323</v>
      </c>
      <c r="I1594" s="39">
        <f>IF(My_Payment[[#This Row],[Payment_Code]]="S",My_Payment[[#This Row],[Total AMT]]/2,IF(My_Payment[[#This Row],[Payment_Code]]="P",My_Payment[[#This Row],[Total AMT]],0))</f>
        <v>661.5</v>
      </c>
      <c r="J1594" s="39">
        <f>IF(My_Payment[[#This Row],[Payment_Code]]="S",My_Payment[[#This Row],[Total AMT]]/2,IF(My_Payment[[#This Row],[Payment_Code]]="N",My_Payment[[#This Row],[Total AMT]],0))</f>
        <v>661.5</v>
      </c>
    </row>
    <row r="1595" spans="1:10">
      <c r="A1595" s="38">
        <v>46159</v>
      </c>
      <c r="B1595" s="37" t="s">
        <v>357</v>
      </c>
      <c r="C1595" s="37" t="s">
        <v>248</v>
      </c>
      <c r="D1595" s="37" t="s">
        <v>705</v>
      </c>
      <c r="E1595" s="37" t="s">
        <v>211</v>
      </c>
      <c r="F1595" s="38">
        <v>46178</v>
      </c>
      <c r="G1595" s="37" t="s">
        <v>215</v>
      </c>
      <c r="H1595" s="39">
        <v>49</v>
      </c>
      <c r="I1595" s="39">
        <f>IF(My_Payment[[#This Row],[Payment_Code]]="S",My_Payment[[#This Row],[Total AMT]]/2,IF(My_Payment[[#This Row],[Payment_Code]]="P",My_Payment[[#This Row],[Total AMT]],0))</f>
        <v>49</v>
      </c>
      <c r="J1595" s="39">
        <f>IF(My_Payment[[#This Row],[Payment_Code]]="S",My_Payment[[#This Row],[Total AMT]]/2,IF(My_Payment[[#This Row],[Payment_Code]]="N",My_Payment[[#This Row],[Total AMT]],0))</f>
        <v>0</v>
      </c>
    </row>
    <row r="1596" spans="1:10">
      <c r="A1596" s="38">
        <v>46148</v>
      </c>
      <c r="B1596" s="37" t="s">
        <v>357</v>
      </c>
      <c r="C1596" s="37" t="s">
        <v>248</v>
      </c>
      <c r="D1596" s="37" t="s">
        <v>728</v>
      </c>
      <c r="E1596" s="37" t="s">
        <v>211</v>
      </c>
      <c r="F1596" s="38">
        <v>46178</v>
      </c>
      <c r="G1596" s="37" t="s">
        <v>215</v>
      </c>
      <c r="H1596" s="39">
        <v>527</v>
      </c>
      <c r="I1596" s="39">
        <f>IF(My_Payment[[#This Row],[Payment_Code]]="S",My_Payment[[#This Row],[Total AMT]]/2,IF(My_Payment[[#This Row],[Payment_Code]]="P",My_Payment[[#This Row],[Total AMT]],0))</f>
        <v>527</v>
      </c>
      <c r="J1596" s="39">
        <f>IF(My_Payment[[#This Row],[Payment_Code]]="S",My_Payment[[#This Row],[Total AMT]]/2,IF(My_Payment[[#This Row],[Payment_Code]]="N",My_Payment[[#This Row],[Total AMT]],0))</f>
        <v>0</v>
      </c>
    </row>
    <row r="1597" spans="1:10">
      <c r="A1597" s="38">
        <v>46166</v>
      </c>
      <c r="B1597" s="37" t="s">
        <v>357</v>
      </c>
      <c r="C1597" s="37" t="s">
        <v>248</v>
      </c>
      <c r="D1597" s="37" t="s">
        <v>513</v>
      </c>
      <c r="E1597" s="37" t="s">
        <v>324</v>
      </c>
      <c r="F1597" s="38">
        <v>46178</v>
      </c>
      <c r="G1597" s="37" t="s">
        <v>215</v>
      </c>
      <c r="H1597" s="39">
        <v>59</v>
      </c>
      <c r="I1597" s="39">
        <f>IF(My_Payment[[#This Row],[Payment_Code]]="S",My_Payment[[#This Row],[Total AMT]]/2,IF(My_Payment[[#This Row],[Payment_Code]]="P",My_Payment[[#This Row],[Total AMT]],0))</f>
        <v>59</v>
      </c>
      <c r="J1597" s="39">
        <f>IF(My_Payment[[#This Row],[Payment_Code]]="S",My_Payment[[#This Row],[Total AMT]]/2,IF(My_Payment[[#This Row],[Payment_Code]]="N",My_Payment[[#This Row],[Total AMT]],0))</f>
        <v>0</v>
      </c>
    </row>
    <row r="1598" spans="1:10">
      <c r="A1598" s="38">
        <v>46197</v>
      </c>
      <c r="B1598" s="37" t="s">
        <v>357</v>
      </c>
      <c r="C1598" s="37" t="s">
        <v>248</v>
      </c>
      <c r="D1598" s="37" t="s">
        <v>513</v>
      </c>
      <c r="E1598" s="37" t="s">
        <v>327</v>
      </c>
      <c r="F1598" s="38">
        <v>46208</v>
      </c>
      <c r="G1598" s="37" t="s">
        <v>215</v>
      </c>
      <c r="H1598" s="39">
        <v>59</v>
      </c>
      <c r="I1598" s="39">
        <f>IF(My_Payment[[#This Row],[Payment_Code]]="S",My_Payment[[#This Row],[Total AMT]]/2,IF(My_Payment[[#This Row],[Payment_Code]]="P",My_Payment[[#This Row],[Total AMT]],0))</f>
        <v>59</v>
      </c>
      <c r="J1598" s="39">
        <f>IF(My_Payment[[#This Row],[Payment_Code]]="S",My_Payment[[#This Row],[Total AMT]]/2,IF(My_Payment[[#This Row],[Payment_Code]]="N",My_Payment[[#This Row],[Total AMT]],0))</f>
        <v>0</v>
      </c>
    </row>
    <row r="1599" spans="1:10">
      <c r="A1599" s="38">
        <v>46227</v>
      </c>
      <c r="B1599" s="37" t="s">
        <v>357</v>
      </c>
      <c r="C1599" s="37" t="s">
        <v>248</v>
      </c>
      <c r="D1599" s="37" t="s">
        <v>513</v>
      </c>
      <c r="E1599" s="37" t="s">
        <v>80</v>
      </c>
      <c r="F1599" s="38">
        <v>46239</v>
      </c>
      <c r="G1599" s="37" t="s">
        <v>215</v>
      </c>
      <c r="H1599" s="39">
        <v>59</v>
      </c>
      <c r="I1599" s="39">
        <f>IF(My_Payment[[#This Row],[Payment_Code]]="S",My_Payment[[#This Row],[Total AMT]]/2,IF(My_Payment[[#This Row],[Payment_Code]]="P",My_Payment[[#This Row],[Total AMT]],0))</f>
        <v>59</v>
      </c>
      <c r="J1599" s="39">
        <f>IF(My_Payment[[#This Row],[Payment_Code]]="S",My_Payment[[#This Row],[Total AMT]]/2,IF(My_Payment[[#This Row],[Payment_Code]]="N",My_Payment[[#This Row],[Total AMT]],0))</f>
        <v>0</v>
      </c>
    </row>
    <row r="1600" spans="1:10">
      <c r="A1600" s="38">
        <v>46190</v>
      </c>
      <c r="B1600" s="37" t="s">
        <v>357</v>
      </c>
      <c r="C1600" s="37" t="s">
        <v>248</v>
      </c>
      <c r="D1600" s="37" t="s">
        <v>705</v>
      </c>
      <c r="E1600" s="37" t="s">
        <v>211</v>
      </c>
      <c r="F1600" s="38">
        <v>46208</v>
      </c>
      <c r="G1600" s="37" t="s">
        <v>215</v>
      </c>
      <c r="H1600" s="39">
        <v>49</v>
      </c>
      <c r="I1600" s="39">
        <f>IF(My_Payment[[#This Row],[Payment_Code]]="S",My_Payment[[#This Row],[Total AMT]]/2,IF(My_Payment[[#This Row],[Payment_Code]]="P",My_Payment[[#This Row],[Total AMT]],0))</f>
        <v>49</v>
      </c>
      <c r="J1600" s="39">
        <f>IF(My_Payment[[#This Row],[Payment_Code]]="S",My_Payment[[#This Row],[Total AMT]]/2,IF(My_Payment[[#This Row],[Payment_Code]]="N",My_Payment[[#This Row],[Total AMT]],0))</f>
        <v>0</v>
      </c>
    </row>
    <row r="1601" spans="1:10">
      <c r="A1601" s="38">
        <v>46185</v>
      </c>
      <c r="B1601" s="37" t="s">
        <v>357</v>
      </c>
      <c r="C1601" s="37" t="s">
        <v>248</v>
      </c>
      <c r="D1601" s="37" t="s">
        <v>729</v>
      </c>
      <c r="E1601" s="37" t="s">
        <v>324</v>
      </c>
      <c r="F1601" s="38">
        <v>46208</v>
      </c>
      <c r="G1601" s="37" t="s">
        <v>215</v>
      </c>
      <c r="H1601" s="39">
        <v>96</v>
      </c>
      <c r="I1601" s="39">
        <f>IF(My_Payment[[#This Row],[Payment_Code]]="S",My_Payment[[#This Row],[Total AMT]]/2,IF(My_Payment[[#This Row],[Payment_Code]]="P",My_Payment[[#This Row],[Total AMT]],0))</f>
        <v>96</v>
      </c>
      <c r="J1601" s="39">
        <f>IF(My_Payment[[#This Row],[Payment_Code]]="S",My_Payment[[#This Row],[Total AMT]]/2,IF(My_Payment[[#This Row],[Payment_Code]]="N",My_Payment[[#This Row],[Total AMT]],0))</f>
        <v>0</v>
      </c>
    </row>
    <row r="1602" spans="1:10">
      <c r="A1602" s="38">
        <v>46215</v>
      </c>
      <c r="B1602" s="37" t="s">
        <v>357</v>
      </c>
      <c r="C1602" s="37" t="s">
        <v>248</v>
      </c>
      <c r="D1602" s="37" t="s">
        <v>729</v>
      </c>
      <c r="E1602" s="37" t="s">
        <v>327</v>
      </c>
      <c r="F1602" s="38">
        <v>46239</v>
      </c>
      <c r="G1602" s="37" t="s">
        <v>215</v>
      </c>
      <c r="H1602" s="39">
        <v>96</v>
      </c>
      <c r="I1602" s="39">
        <f>IF(My_Payment[[#This Row],[Payment_Code]]="S",My_Payment[[#This Row],[Total AMT]]/2,IF(My_Payment[[#This Row],[Payment_Code]]="P",My_Payment[[#This Row],[Total AMT]],0))</f>
        <v>96</v>
      </c>
      <c r="J1602" s="39">
        <f>IF(My_Payment[[#This Row],[Payment_Code]]="S",My_Payment[[#This Row],[Total AMT]]/2,IF(My_Payment[[#This Row],[Payment_Code]]="N",My_Payment[[#This Row],[Total AMT]],0))</f>
        <v>0</v>
      </c>
    </row>
    <row r="1603" spans="1:10">
      <c r="A1603" s="38">
        <v>46246</v>
      </c>
      <c r="B1603" s="37" t="s">
        <v>357</v>
      </c>
      <c r="C1603" s="37" t="s">
        <v>248</v>
      </c>
      <c r="D1603" s="37" t="s">
        <v>729</v>
      </c>
      <c r="E1603" s="37" t="s">
        <v>80</v>
      </c>
      <c r="F1603" s="38">
        <v>46270</v>
      </c>
      <c r="G1603" s="37" t="s">
        <v>215</v>
      </c>
      <c r="H1603" s="39">
        <v>96</v>
      </c>
      <c r="I1603" s="39">
        <f>IF(My_Payment[[#This Row],[Payment_Code]]="S",My_Payment[[#This Row],[Total AMT]]/2,IF(My_Payment[[#This Row],[Payment_Code]]="P",My_Payment[[#This Row],[Total AMT]],0))</f>
        <v>96</v>
      </c>
      <c r="J1603" s="39">
        <f>IF(My_Payment[[#This Row],[Payment_Code]]="S",My_Payment[[#This Row],[Total AMT]]/2,IF(My_Payment[[#This Row],[Payment_Code]]="N",My_Payment[[#This Row],[Total AMT]],0))</f>
        <v>0</v>
      </c>
    </row>
    <row r="1604" spans="1:10">
      <c r="A1604" s="38">
        <v>46185</v>
      </c>
      <c r="B1604" s="37" t="s">
        <v>357</v>
      </c>
      <c r="C1604" s="37" t="s">
        <v>248</v>
      </c>
      <c r="D1604" s="37" t="s">
        <v>730</v>
      </c>
      <c r="E1604" s="37" t="s">
        <v>324</v>
      </c>
      <c r="F1604" s="38">
        <v>46208</v>
      </c>
      <c r="G1604" s="37" t="s">
        <v>215</v>
      </c>
      <c r="H1604" s="39">
        <v>172.33</v>
      </c>
      <c r="I1604" s="39">
        <f>IF(My_Payment[[#This Row],[Payment_Code]]="S",My_Payment[[#This Row],[Total AMT]]/2,IF(My_Payment[[#This Row],[Payment_Code]]="P",My_Payment[[#This Row],[Total AMT]],0))</f>
        <v>172.33</v>
      </c>
      <c r="J1604" s="39">
        <f>IF(My_Payment[[#This Row],[Payment_Code]]="S",My_Payment[[#This Row],[Total AMT]]/2,IF(My_Payment[[#This Row],[Payment_Code]]="N",My_Payment[[#This Row],[Total AMT]],0))</f>
        <v>0</v>
      </c>
    </row>
    <row r="1605" spans="1:10">
      <c r="A1605" s="38">
        <v>46215</v>
      </c>
      <c r="B1605" s="37" t="s">
        <v>357</v>
      </c>
      <c r="C1605" s="37" t="s">
        <v>248</v>
      </c>
      <c r="D1605" s="37" t="s">
        <v>730</v>
      </c>
      <c r="E1605" s="37" t="s">
        <v>327</v>
      </c>
      <c r="F1605" s="38">
        <v>46239</v>
      </c>
      <c r="G1605" s="37" t="s">
        <v>215</v>
      </c>
      <c r="H1605" s="39">
        <v>172.33</v>
      </c>
      <c r="I1605" s="39">
        <f>IF(My_Payment[[#This Row],[Payment_Code]]="S",My_Payment[[#This Row],[Total AMT]]/2,IF(My_Payment[[#This Row],[Payment_Code]]="P",My_Payment[[#This Row],[Total AMT]],0))</f>
        <v>172.33</v>
      </c>
      <c r="J1605" s="39">
        <f>IF(My_Payment[[#This Row],[Payment_Code]]="S",My_Payment[[#This Row],[Total AMT]]/2,IF(My_Payment[[#This Row],[Payment_Code]]="N",My_Payment[[#This Row],[Total AMT]],0))</f>
        <v>0</v>
      </c>
    </row>
    <row r="1606" spans="1:10">
      <c r="A1606" s="38">
        <v>46246</v>
      </c>
      <c r="B1606" s="37" t="s">
        <v>357</v>
      </c>
      <c r="C1606" s="37" t="s">
        <v>248</v>
      </c>
      <c r="D1606" s="37" t="s">
        <v>730</v>
      </c>
      <c r="E1606" s="37" t="s">
        <v>80</v>
      </c>
      <c r="F1606" s="38">
        <v>46270</v>
      </c>
      <c r="G1606" s="37" t="s">
        <v>215</v>
      </c>
      <c r="H1606" s="39">
        <v>172.34</v>
      </c>
      <c r="I1606" s="39">
        <f>IF(My_Payment[[#This Row],[Payment_Code]]="S",My_Payment[[#This Row],[Total AMT]]/2,IF(My_Payment[[#This Row],[Payment_Code]]="P",My_Payment[[#This Row],[Total AMT]],0))</f>
        <v>172.34</v>
      </c>
      <c r="J1606" s="39">
        <f>IF(My_Payment[[#This Row],[Payment_Code]]="S",My_Payment[[#This Row],[Total AMT]]/2,IF(My_Payment[[#This Row],[Payment_Code]]="N",My_Payment[[#This Row],[Total AMT]],0))</f>
        <v>0</v>
      </c>
    </row>
    <row r="1607" spans="1:10">
      <c r="A1607" s="38">
        <v>46203</v>
      </c>
      <c r="B1607" s="37" t="s">
        <v>357</v>
      </c>
      <c r="C1607" s="37" t="s">
        <v>248</v>
      </c>
      <c r="D1607" s="37" t="s">
        <v>716</v>
      </c>
      <c r="E1607" s="37" t="s">
        <v>324</v>
      </c>
      <c r="F1607" s="38">
        <v>46239</v>
      </c>
      <c r="G1607" s="37" t="s">
        <v>215</v>
      </c>
      <c r="H1607" s="39">
        <v>193.67</v>
      </c>
      <c r="I1607" s="39">
        <f>IF(My_Payment[[#This Row],[Payment_Code]]="S",My_Payment[[#This Row],[Total AMT]]/2,IF(My_Payment[[#This Row],[Payment_Code]]="P",My_Payment[[#This Row],[Total AMT]],0))</f>
        <v>193.67</v>
      </c>
      <c r="J1607" s="39">
        <f>IF(My_Payment[[#This Row],[Payment_Code]]="S",My_Payment[[#This Row],[Total AMT]]/2,IF(My_Payment[[#This Row],[Payment_Code]]="N",My_Payment[[#This Row],[Total AMT]],0))</f>
        <v>0</v>
      </c>
    </row>
    <row r="1608" spans="1:10">
      <c r="A1608" s="38">
        <v>46233</v>
      </c>
      <c r="B1608" s="37" t="s">
        <v>357</v>
      </c>
      <c r="C1608" s="37" t="s">
        <v>248</v>
      </c>
      <c r="D1608" s="37" t="s">
        <v>716</v>
      </c>
      <c r="E1608" s="37" t="s">
        <v>327</v>
      </c>
      <c r="F1608" s="38">
        <v>46270</v>
      </c>
      <c r="G1608" s="37" t="s">
        <v>215</v>
      </c>
      <c r="H1608" s="39">
        <v>193.67</v>
      </c>
      <c r="I1608" s="39">
        <f>IF(My_Payment[[#This Row],[Payment_Code]]="S",My_Payment[[#This Row],[Total AMT]]/2,IF(My_Payment[[#This Row],[Payment_Code]]="P",My_Payment[[#This Row],[Total AMT]],0))</f>
        <v>193.67</v>
      </c>
      <c r="J1608" s="39">
        <f>IF(My_Payment[[#This Row],[Payment_Code]]="S",My_Payment[[#This Row],[Total AMT]]/2,IF(My_Payment[[#This Row],[Payment_Code]]="N",My_Payment[[#This Row],[Total AMT]],0))</f>
        <v>0</v>
      </c>
    </row>
    <row r="1609" spans="1:10">
      <c r="A1609" s="38">
        <v>46264</v>
      </c>
      <c r="B1609" s="37" t="s">
        <v>357</v>
      </c>
      <c r="C1609" s="37" t="s">
        <v>248</v>
      </c>
      <c r="D1609" s="37" t="s">
        <v>716</v>
      </c>
      <c r="E1609" s="37" t="s">
        <v>80</v>
      </c>
      <c r="F1609" s="38">
        <v>46300</v>
      </c>
      <c r="G1609" s="37" t="s">
        <v>215</v>
      </c>
      <c r="H1609" s="39">
        <v>193.66</v>
      </c>
      <c r="I1609" s="39">
        <f>IF(My_Payment[[#This Row],[Payment_Code]]="S",My_Payment[[#This Row],[Total AMT]]/2,IF(My_Payment[[#This Row],[Payment_Code]]="P",My_Payment[[#This Row],[Total AMT]],0))</f>
        <v>193.66</v>
      </c>
      <c r="J1609" s="39">
        <f>IF(My_Payment[[#This Row],[Payment_Code]]="S",My_Payment[[#This Row],[Total AMT]]/2,IF(My_Payment[[#This Row],[Payment_Code]]="N",My_Payment[[#This Row],[Total AMT]],0))</f>
        <v>0</v>
      </c>
    </row>
    <row r="1610" spans="1:10">
      <c r="A1610" s="38">
        <v>46186</v>
      </c>
      <c r="B1610" s="37" t="s">
        <v>305</v>
      </c>
      <c r="C1610" s="37" t="s">
        <v>226</v>
      </c>
      <c r="D1610" s="37" t="s">
        <v>731</v>
      </c>
      <c r="E1610" s="37" t="s">
        <v>211</v>
      </c>
      <c r="F1610" s="38">
        <v>46210</v>
      </c>
      <c r="H1610" s="39">
        <v>416</v>
      </c>
      <c r="I1610" s="39">
        <f>IF(My_Payment[[#This Row],[Payment_Code]]="S",My_Payment[[#This Row],[Total AMT]]/2,IF(My_Payment[[#This Row],[Payment_Code]]="P",My_Payment[[#This Row],[Total AMT]],0))</f>
        <v>0</v>
      </c>
      <c r="J1610" s="39">
        <f>IF(My_Payment[[#This Row],[Payment_Code]]="S",My_Payment[[#This Row],[Total AMT]]/2,IF(My_Payment[[#This Row],[Payment_Code]]="N",My_Payment[[#This Row],[Total AMT]],0))</f>
        <v>0</v>
      </c>
    </row>
    <row r="1611" spans="1:10">
      <c r="A1611" s="38">
        <v>46186</v>
      </c>
      <c r="B1611" s="37" t="s">
        <v>305</v>
      </c>
      <c r="C1611" s="37" t="s">
        <v>226</v>
      </c>
      <c r="D1611" s="37" t="s">
        <v>732</v>
      </c>
      <c r="E1611" s="37" t="s">
        <v>211</v>
      </c>
      <c r="F1611" s="38">
        <v>46210</v>
      </c>
      <c r="H1611" s="39">
        <v>416</v>
      </c>
      <c r="I1611" s="39">
        <f>IF(My_Payment[[#This Row],[Payment_Code]]="S",My_Payment[[#This Row],[Total AMT]]/2,IF(My_Payment[[#This Row],[Payment_Code]]="P",My_Payment[[#This Row],[Total AMT]],0))</f>
        <v>0</v>
      </c>
      <c r="J1611" s="39">
        <f>IF(My_Payment[[#This Row],[Payment_Code]]="S",My_Payment[[#This Row],[Total AMT]]/2,IF(My_Payment[[#This Row],[Payment_Code]]="N",My_Payment[[#This Row],[Total AMT]],0))</f>
        <v>0</v>
      </c>
    </row>
    <row r="1612" spans="1:10">
      <c r="A1612" s="55"/>
      <c r="E1612" s="37" t="s">
        <v>211</v>
      </c>
      <c r="F1612" s="38">
        <v>46176</v>
      </c>
      <c r="I1612" s="39">
        <f>IF(My_Payment[[#This Row],[Payment_Code]]="S",My_Payment[[#This Row],[Total AMT]]/2,IF(My_Payment[[#This Row],[Payment_Code]]="P",My_Payment[[#This Row],[Total AMT]],0))</f>
        <v>0</v>
      </c>
      <c r="J1612" s="39">
        <f>IF(My_Payment[[#This Row],[Payment_Code]]="S",My_Payment[[#This Row],[Total AMT]]/2,IF(My_Payment[[#This Row],[Payment_Code]]="N",My_Payment[[#This Row],[Total AMT]],0))</f>
        <v>0</v>
      </c>
    </row>
    <row r="1613" spans="1:10">
      <c r="A1613" s="55"/>
      <c r="E1613" s="37" t="s">
        <v>211</v>
      </c>
      <c r="F1613" s="55"/>
      <c r="I1613" s="39">
        <f>IF(My_Payment[[#This Row],[Payment_Code]]="S",My_Payment[[#This Row],[Total AMT]]/2,IF(My_Payment[[#This Row],[Payment_Code]]="P",My_Payment[[#This Row],[Total AMT]],0))</f>
        <v>0</v>
      </c>
      <c r="J1613" s="39">
        <f>IF(My_Payment[[#This Row],[Payment_Code]]="S",My_Payment[[#This Row],[Total AMT]]/2,IF(My_Payment[[#This Row],[Payment_Code]]="N",My_Payment[[#This Row],[Total AMT]],0))</f>
        <v>0</v>
      </c>
    </row>
    <row r="1614" spans="1:10">
      <c r="A1614" s="38">
        <v>46142</v>
      </c>
      <c r="B1614" s="37" t="s">
        <v>697</v>
      </c>
      <c r="C1614" s="37" t="s">
        <v>299</v>
      </c>
      <c r="D1614" s="37" t="s">
        <v>708</v>
      </c>
      <c r="E1614" s="37" t="s">
        <v>211</v>
      </c>
      <c r="F1614" s="38">
        <v>46176</v>
      </c>
      <c r="G1614" s="37" t="s">
        <v>215</v>
      </c>
      <c r="H1614" s="39">
        <v>-34</v>
      </c>
      <c r="I1614" s="39">
        <f>IF(My_Payment[[#This Row],[Payment_Code]]="S",My_Payment[[#This Row],[Total AMT]]/2,IF(My_Payment[[#This Row],[Payment_Code]]="P",My_Payment[[#This Row],[Total AMT]],0))</f>
        <v>-34</v>
      </c>
      <c r="J1614" s="39">
        <f>IF(My_Payment[[#This Row],[Payment_Code]]="S",My_Payment[[#This Row],[Total AMT]]/2,IF(My_Payment[[#This Row],[Payment_Code]]="N",My_Payment[[#This Row],[Total AMT]],0))</f>
        <v>0</v>
      </c>
    </row>
    <row r="1615" spans="1:10">
      <c r="A1615" s="38">
        <v>46132</v>
      </c>
      <c r="B1615" s="37" t="s">
        <v>697</v>
      </c>
      <c r="C1615" s="37" t="s">
        <v>299</v>
      </c>
      <c r="D1615" s="37" t="s">
        <v>710</v>
      </c>
      <c r="E1615" s="37" t="s">
        <v>211</v>
      </c>
      <c r="F1615" s="38">
        <v>46176</v>
      </c>
      <c r="G1615" s="37" t="s">
        <v>215</v>
      </c>
      <c r="H1615" s="39">
        <v>85</v>
      </c>
      <c r="I1615" s="39">
        <f>IF(My_Payment[[#This Row],[Payment_Code]]="S",My_Payment[[#This Row],[Total AMT]]/2,IF(My_Payment[[#This Row],[Payment_Code]]="P",My_Payment[[#This Row],[Total AMT]],0))</f>
        <v>85</v>
      </c>
      <c r="J1615" s="39">
        <f>IF(My_Payment[[#This Row],[Payment_Code]]="S",My_Payment[[#This Row],[Total AMT]]/2,IF(My_Payment[[#This Row],[Payment_Code]]="N",My_Payment[[#This Row],[Total AMT]],0))</f>
        <v>0</v>
      </c>
    </row>
    <row r="1616" spans="1:10">
      <c r="A1616" s="38">
        <v>46147</v>
      </c>
      <c r="B1616" s="37" t="s">
        <v>697</v>
      </c>
      <c r="C1616" s="37" t="s">
        <v>299</v>
      </c>
      <c r="D1616" s="37" t="s">
        <v>710</v>
      </c>
      <c r="E1616" s="37" t="s">
        <v>211</v>
      </c>
      <c r="F1616" s="38">
        <v>46176</v>
      </c>
      <c r="G1616" s="37" t="s">
        <v>215</v>
      </c>
      <c r="H1616" s="39">
        <v>65</v>
      </c>
      <c r="I1616" s="39">
        <f>IF(My_Payment[[#This Row],[Payment_Code]]="S",My_Payment[[#This Row],[Total AMT]]/2,IF(My_Payment[[#This Row],[Payment_Code]]="P",My_Payment[[#This Row],[Total AMT]],0))</f>
        <v>65</v>
      </c>
      <c r="J1616" s="39">
        <f>IF(My_Payment[[#This Row],[Payment_Code]]="S",My_Payment[[#This Row],[Total AMT]]/2,IF(My_Payment[[#This Row],[Payment_Code]]="N",My_Payment[[#This Row],[Total AMT]],0))</f>
        <v>0</v>
      </c>
    </row>
    <row r="1617" spans="1:10">
      <c r="A1617" s="38">
        <v>46147</v>
      </c>
      <c r="B1617" s="37" t="s">
        <v>697</v>
      </c>
      <c r="C1617" s="37" t="s">
        <v>299</v>
      </c>
      <c r="D1617" s="37" t="s">
        <v>733</v>
      </c>
      <c r="E1617" s="37" t="s">
        <v>211</v>
      </c>
      <c r="F1617" s="38">
        <v>46176</v>
      </c>
      <c r="G1617" s="37" t="s">
        <v>212</v>
      </c>
      <c r="H1617" s="39">
        <v>1350</v>
      </c>
      <c r="I1617" s="39">
        <f>IF(My_Payment[[#This Row],[Payment_Code]]="S",My_Payment[[#This Row],[Total AMT]]/2,IF(My_Payment[[#This Row],[Payment_Code]]="P",My_Payment[[#This Row],[Total AMT]],0))</f>
        <v>675</v>
      </c>
      <c r="J1617" s="39">
        <f>IF(My_Payment[[#This Row],[Payment_Code]]="S",My_Payment[[#This Row],[Total AMT]]/2,IF(My_Payment[[#This Row],[Payment_Code]]="N",My_Payment[[#This Row],[Total AMT]],0))</f>
        <v>675</v>
      </c>
    </row>
    <row r="1618" spans="1:10">
      <c r="A1618" s="38">
        <v>46155</v>
      </c>
      <c r="B1618" s="37" t="s">
        <v>697</v>
      </c>
      <c r="C1618" s="37" t="s">
        <v>299</v>
      </c>
      <c r="D1618" s="37" t="s">
        <v>734</v>
      </c>
      <c r="E1618" s="37" t="s">
        <v>306</v>
      </c>
      <c r="F1618" s="38">
        <v>46176</v>
      </c>
      <c r="G1618" s="37" t="s">
        <v>212</v>
      </c>
      <c r="H1618" s="39">
        <v>2676.3</v>
      </c>
      <c r="I1618" s="39">
        <f>IF(My_Payment[[#This Row],[Payment_Code]]="S",My_Payment[[#This Row],[Total AMT]]/2,IF(My_Payment[[#This Row],[Payment_Code]]="P",My_Payment[[#This Row],[Total AMT]],0))</f>
        <v>1338.15</v>
      </c>
      <c r="J1618" s="39">
        <f>IF(My_Payment[[#This Row],[Payment_Code]]="S",My_Payment[[#This Row],[Total AMT]]/2,IF(My_Payment[[#This Row],[Payment_Code]]="N",My_Payment[[#This Row],[Total AMT]],0))</f>
        <v>1338.15</v>
      </c>
    </row>
    <row r="1619" spans="1:10">
      <c r="A1619" s="38">
        <v>46186</v>
      </c>
      <c r="B1619" s="37" t="s">
        <v>697</v>
      </c>
      <c r="C1619" s="37" t="s">
        <v>299</v>
      </c>
      <c r="D1619" s="37" t="s">
        <v>734</v>
      </c>
      <c r="E1619" s="37" t="s">
        <v>307</v>
      </c>
      <c r="F1619" s="38">
        <v>46206</v>
      </c>
      <c r="G1619" s="37" t="s">
        <v>212</v>
      </c>
      <c r="H1619" s="39">
        <v>2676.3</v>
      </c>
      <c r="I1619" s="39">
        <f>IF(My_Payment[[#This Row],[Payment_Code]]="S",My_Payment[[#This Row],[Total AMT]]/2,IF(My_Payment[[#This Row],[Payment_Code]]="P",My_Payment[[#This Row],[Total AMT]],0))</f>
        <v>1338.15</v>
      </c>
      <c r="J1619" s="39">
        <f>IF(My_Payment[[#This Row],[Payment_Code]]="S",My_Payment[[#This Row],[Total AMT]]/2,IF(My_Payment[[#This Row],[Payment_Code]]="N",My_Payment[[#This Row],[Total AMT]],0))</f>
        <v>1338.15</v>
      </c>
    </row>
    <row r="1620" spans="1:10">
      <c r="A1620" s="38">
        <v>46216</v>
      </c>
      <c r="B1620" s="37" t="s">
        <v>697</v>
      </c>
      <c r="C1620" s="37" t="s">
        <v>299</v>
      </c>
      <c r="D1620" s="37" t="s">
        <v>734</v>
      </c>
      <c r="E1620" s="37" t="s">
        <v>308</v>
      </c>
      <c r="F1620" s="38">
        <v>46237</v>
      </c>
      <c r="G1620" s="37" t="s">
        <v>212</v>
      </c>
      <c r="H1620" s="39">
        <v>2676.3</v>
      </c>
      <c r="I1620" s="39">
        <f>IF(My_Payment[[#This Row],[Payment_Code]]="S",My_Payment[[#This Row],[Total AMT]]/2,IF(My_Payment[[#This Row],[Payment_Code]]="P",My_Payment[[#This Row],[Total AMT]],0))</f>
        <v>1338.15</v>
      </c>
      <c r="J1620" s="39">
        <f>IF(My_Payment[[#This Row],[Payment_Code]]="S",My_Payment[[#This Row],[Total AMT]]/2,IF(My_Payment[[#This Row],[Payment_Code]]="N",My_Payment[[#This Row],[Total AMT]],0))</f>
        <v>1338.15</v>
      </c>
    </row>
    <row r="1621" spans="1:10">
      <c r="A1621" s="38">
        <v>46247</v>
      </c>
      <c r="B1621" s="37" t="s">
        <v>697</v>
      </c>
      <c r="C1621" s="37" t="s">
        <v>299</v>
      </c>
      <c r="D1621" s="37" t="s">
        <v>734</v>
      </c>
      <c r="E1621" s="37" t="s">
        <v>309</v>
      </c>
      <c r="F1621" s="38">
        <v>46268</v>
      </c>
      <c r="G1621" s="37" t="s">
        <v>212</v>
      </c>
      <c r="H1621" s="39">
        <v>2676.3</v>
      </c>
      <c r="I1621" s="39">
        <f>IF(My_Payment[[#This Row],[Payment_Code]]="S",My_Payment[[#This Row],[Total AMT]]/2,IF(My_Payment[[#This Row],[Payment_Code]]="P",My_Payment[[#This Row],[Total AMT]],0))</f>
        <v>1338.15</v>
      </c>
      <c r="J1621" s="39">
        <f>IF(My_Payment[[#This Row],[Payment_Code]]="S",My_Payment[[#This Row],[Total AMT]]/2,IF(My_Payment[[#This Row],[Payment_Code]]="N",My_Payment[[#This Row],[Total AMT]],0))</f>
        <v>1338.15</v>
      </c>
    </row>
    <row r="1622" spans="1:10">
      <c r="A1622" s="38">
        <v>46278</v>
      </c>
      <c r="B1622" s="37" t="s">
        <v>697</v>
      </c>
      <c r="C1622" s="37" t="s">
        <v>299</v>
      </c>
      <c r="D1622" s="37" t="s">
        <v>734</v>
      </c>
      <c r="E1622" s="37" t="s">
        <v>310</v>
      </c>
      <c r="F1622" s="38">
        <v>46298</v>
      </c>
      <c r="G1622" s="37" t="s">
        <v>212</v>
      </c>
      <c r="H1622" s="39">
        <v>2676.3</v>
      </c>
      <c r="I1622" s="39">
        <f>IF(My_Payment[[#This Row],[Payment_Code]]="S",My_Payment[[#This Row],[Total AMT]]/2,IF(My_Payment[[#This Row],[Payment_Code]]="P",My_Payment[[#This Row],[Total AMT]],0))</f>
        <v>1338.15</v>
      </c>
      <c r="J1622" s="39">
        <f>IF(My_Payment[[#This Row],[Payment_Code]]="S",My_Payment[[#This Row],[Total AMT]]/2,IF(My_Payment[[#This Row],[Payment_Code]]="N",My_Payment[[#This Row],[Total AMT]],0))</f>
        <v>1338.15</v>
      </c>
    </row>
    <row r="1623" spans="1:10">
      <c r="A1623" s="38">
        <v>46308</v>
      </c>
      <c r="B1623" s="37" t="s">
        <v>697</v>
      </c>
      <c r="C1623" s="37" t="s">
        <v>299</v>
      </c>
      <c r="D1623" s="37" t="s">
        <v>734</v>
      </c>
      <c r="E1623" s="37" t="s">
        <v>311</v>
      </c>
      <c r="F1623" s="38">
        <v>46329</v>
      </c>
      <c r="G1623" s="37" t="s">
        <v>212</v>
      </c>
      <c r="H1623" s="39">
        <v>2676.3</v>
      </c>
      <c r="I1623" s="39">
        <f>IF(My_Payment[[#This Row],[Payment_Code]]="S",My_Payment[[#This Row],[Total AMT]]/2,IF(My_Payment[[#This Row],[Payment_Code]]="P",My_Payment[[#This Row],[Total AMT]],0))</f>
        <v>1338.15</v>
      </c>
      <c r="J1623" s="39">
        <f>IF(My_Payment[[#This Row],[Payment_Code]]="S",My_Payment[[#This Row],[Total AMT]]/2,IF(My_Payment[[#This Row],[Payment_Code]]="N",My_Payment[[#This Row],[Total AMT]],0))</f>
        <v>1338.15</v>
      </c>
    </row>
    <row r="1624" spans="1:10">
      <c r="A1624" s="38">
        <v>46339</v>
      </c>
      <c r="B1624" s="37" t="s">
        <v>697</v>
      </c>
      <c r="C1624" s="37" t="s">
        <v>299</v>
      </c>
      <c r="D1624" s="37" t="s">
        <v>734</v>
      </c>
      <c r="E1624" s="37" t="s">
        <v>312</v>
      </c>
      <c r="F1624" s="38">
        <v>46359</v>
      </c>
      <c r="G1624" s="37" t="s">
        <v>212</v>
      </c>
      <c r="H1624" s="39">
        <v>2676.3</v>
      </c>
      <c r="I1624" s="39">
        <f>IF(My_Payment[[#This Row],[Payment_Code]]="S",My_Payment[[#This Row],[Total AMT]]/2,IF(My_Payment[[#This Row],[Payment_Code]]="P",My_Payment[[#This Row],[Total AMT]],0))</f>
        <v>1338.15</v>
      </c>
      <c r="J1624" s="39">
        <f>IF(My_Payment[[#This Row],[Payment_Code]]="S",My_Payment[[#This Row],[Total AMT]]/2,IF(My_Payment[[#This Row],[Payment_Code]]="N",My_Payment[[#This Row],[Total AMT]],0))</f>
        <v>1338.15</v>
      </c>
    </row>
    <row r="1625" spans="1:10">
      <c r="A1625" s="38">
        <v>46369</v>
      </c>
      <c r="B1625" s="37" t="s">
        <v>697</v>
      </c>
      <c r="C1625" s="37" t="s">
        <v>299</v>
      </c>
      <c r="D1625" s="37" t="s">
        <v>734</v>
      </c>
      <c r="E1625" s="37" t="s">
        <v>313</v>
      </c>
      <c r="F1625" s="38">
        <v>46390</v>
      </c>
      <c r="G1625" s="37" t="s">
        <v>212</v>
      </c>
      <c r="H1625" s="39">
        <v>2676.3</v>
      </c>
      <c r="I1625" s="39">
        <f>IF(My_Payment[[#This Row],[Payment_Code]]="S",My_Payment[[#This Row],[Total AMT]]/2,IF(My_Payment[[#This Row],[Payment_Code]]="P",My_Payment[[#This Row],[Total AMT]],0))</f>
        <v>1338.15</v>
      </c>
      <c r="J1625" s="39">
        <f>IF(My_Payment[[#This Row],[Payment_Code]]="S",My_Payment[[#This Row],[Total AMT]]/2,IF(My_Payment[[#This Row],[Payment_Code]]="N",My_Payment[[#This Row],[Total AMT]],0))</f>
        <v>1338.15</v>
      </c>
    </row>
    <row r="1626" spans="1:10">
      <c r="A1626" s="38">
        <v>46400</v>
      </c>
      <c r="B1626" s="37" t="s">
        <v>697</v>
      </c>
      <c r="C1626" s="37" t="s">
        <v>299</v>
      </c>
      <c r="D1626" s="37" t="s">
        <v>734</v>
      </c>
      <c r="E1626" s="37" t="s">
        <v>314</v>
      </c>
      <c r="F1626" s="38">
        <v>46421</v>
      </c>
      <c r="G1626" s="37" t="s">
        <v>212</v>
      </c>
      <c r="H1626" s="39">
        <v>2676.3</v>
      </c>
      <c r="I1626" s="39">
        <f>IF(My_Payment[[#This Row],[Payment_Code]]="S",My_Payment[[#This Row],[Total AMT]]/2,IF(My_Payment[[#This Row],[Payment_Code]]="P",My_Payment[[#This Row],[Total AMT]],0))</f>
        <v>1338.15</v>
      </c>
      <c r="J1626" s="39">
        <f>IF(My_Payment[[#This Row],[Payment_Code]]="S",My_Payment[[#This Row],[Total AMT]]/2,IF(My_Payment[[#This Row],[Payment_Code]]="N",My_Payment[[#This Row],[Total AMT]],0))</f>
        <v>1338.15</v>
      </c>
    </row>
    <row r="1627" spans="1:10">
      <c r="A1627" s="38">
        <v>46431</v>
      </c>
      <c r="B1627" s="37" t="s">
        <v>697</v>
      </c>
      <c r="C1627" s="37" t="s">
        <v>299</v>
      </c>
      <c r="D1627" s="37" t="s">
        <v>734</v>
      </c>
      <c r="E1627" s="37" t="s">
        <v>112</v>
      </c>
      <c r="F1627" s="38">
        <v>46449</v>
      </c>
      <c r="G1627" s="37" t="s">
        <v>212</v>
      </c>
      <c r="H1627" s="39">
        <v>2676.3</v>
      </c>
      <c r="I1627" s="39">
        <f>IF(My_Payment[[#This Row],[Payment_Code]]="S",My_Payment[[#This Row],[Total AMT]]/2,IF(My_Payment[[#This Row],[Payment_Code]]="P",My_Payment[[#This Row],[Total AMT]],0))</f>
        <v>1338.15</v>
      </c>
      <c r="J1627" s="39">
        <f>IF(My_Payment[[#This Row],[Payment_Code]]="S",My_Payment[[#This Row],[Total AMT]]/2,IF(My_Payment[[#This Row],[Payment_Code]]="N",My_Payment[[#This Row],[Total AMT]],0))</f>
        <v>1338.15</v>
      </c>
    </row>
    <row r="1628" spans="1:10">
      <c r="A1628" s="38">
        <v>46156</v>
      </c>
      <c r="B1628" s="37" t="s">
        <v>697</v>
      </c>
      <c r="C1628" s="37" t="s">
        <v>299</v>
      </c>
      <c r="D1628" s="37" t="s">
        <v>735</v>
      </c>
      <c r="E1628" s="37" t="s">
        <v>211</v>
      </c>
      <c r="F1628" s="38">
        <v>46206</v>
      </c>
      <c r="G1628" s="37" t="s">
        <v>212</v>
      </c>
      <c r="H1628" s="39">
        <v>-2000</v>
      </c>
      <c r="I1628" s="39">
        <f>IF(My_Payment[[#This Row],[Payment_Code]]="S",My_Payment[[#This Row],[Total AMT]]/2,IF(My_Payment[[#This Row],[Payment_Code]]="P",My_Payment[[#This Row],[Total AMT]],0))</f>
        <v>-1000</v>
      </c>
      <c r="J1628" s="39">
        <f>IF(My_Payment[[#This Row],[Payment_Code]]="S",My_Payment[[#This Row],[Total AMT]]/2,IF(My_Payment[[#This Row],[Payment_Code]]="N",My_Payment[[#This Row],[Total AMT]],0))</f>
        <v>-1000</v>
      </c>
    </row>
    <row r="1629" spans="1:10">
      <c r="A1629" s="38">
        <v>46156</v>
      </c>
      <c r="B1629" s="37" t="s">
        <v>697</v>
      </c>
      <c r="C1629" s="37" t="s">
        <v>299</v>
      </c>
      <c r="D1629" s="37" t="s">
        <v>710</v>
      </c>
      <c r="E1629" s="37" t="s">
        <v>211</v>
      </c>
      <c r="F1629" s="38">
        <v>46206</v>
      </c>
      <c r="G1629" s="37" t="s">
        <v>215</v>
      </c>
      <c r="H1629" s="39">
        <v>70</v>
      </c>
      <c r="I1629" s="39">
        <f>IF(My_Payment[[#This Row],[Payment_Code]]="S",My_Payment[[#This Row],[Total AMT]]/2,IF(My_Payment[[#This Row],[Payment_Code]]="P",My_Payment[[#This Row],[Total AMT]],0))</f>
        <v>70</v>
      </c>
      <c r="J1629" s="39">
        <f>IF(My_Payment[[#This Row],[Payment_Code]]="S",My_Payment[[#This Row],[Total AMT]]/2,IF(My_Payment[[#This Row],[Payment_Code]]="N",My_Payment[[#This Row],[Total AMT]],0))</f>
        <v>0</v>
      </c>
    </row>
    <row r="1630" spans="1:10">
      <c r="A1630" s="38">
        <v>46157</v>
      </c>
      <c r="B1630" s="37" t="s">
        <v>697</v>
      </c>
      <c r="C1630" s="37" t="s">
        <v>299</v>
      </c>
      <c r="D1630" s="37" t="s">
        <v>505</v>
      </c>
      <c r="E1630" s="37" t="s">
        <v>211</v>
      </c>
      <c r="F1630" s="38">
        <v>46206</v>
      </c>
      <c r="G1630" s="37" t="s">
        <v>215</v>
      </c>
      <c r="H1630" s="39">
        <v>50</v>
      </c>
      <c r="I1630" s="39">
        <f>IF(My_Payment[[#This Row],[Payment_Code]]="S",My_Payment[[#This Row],[Total AMT]]/2,IF(My_Payment[[#This Row],[Payment_Code]]="P",My_Payment[[#This Row],[Total AMT]],0))</f>
        <v>50</v>
      </c>
      <c r="J1630" s="39">
        <f>IF(My_Payment[[#This Row],[Payment_Code]]="S",My_Payment[[#This Row],[Total AMT]]/2,IF(My_Payment[[#This Row],[Payment_Code]]="N",My_Payment[[#This Row],[Total AMT]],0))</f>
        <v>0</v>
      </c>
    </row>
    <row r="1631" spans="1:10">
      <c r="A1631" s="38">
        <v>46160</v>
      </c>
      <c r="B1631" s="37" t="s">
        <v>697</v>
      </c>
      <c r="C1631" s="37" t="s">
        <v>299</v>
      </c>
      <c r="D1631" s="37" t="s">
        <v>710</v>
      </c>
      <c r="E1631" s="37" t="s">
        <v>211</v>
      </c>
      <c r="F1631" s="38">
        <v>46206</v>
      </c>
      <c r="G1631" s="37" t="s">
        <v>215</v>
      </c>
      <c r="H1631" s="39">
        <v>55</v>
      </c>
      <c r="I1631" s="39">
        <f>IF(My_Payment[[#This Row],[Payment_Code]]="S",My_Payment[[#This Row],[Total AMT]]/2,IF(My_Payment[[#This Row],[Payment_Code]]="P",My_Payment[[#This Row],[Total AMT]],0))</f>
        <v>55</v>
      </c>
      <c r="J1631" s="39">
        <f>IF(My_Payment[[#This Row],[Payment_Code]]="S",My_Payment[[#This Row],[Total AMT]]/2,IF(My_Payment[[#This Row],[Payment_Code]]="N",My_Payment[[#This Row],[Total AMT]],0))</f>
        <v>0</v>
      </c>
    </row>
    <row r="1632" spans="1:10">
      <c r="A1632" s="38">
        <v>46175</v>
      </c>
      <c r="B1632" s="37" t="s">
        <v>697</v>
      </c>
      <c r="C1632" s="37" t="s">
        <v>299</v>
      </c>
      <c r="D1632" s="37" t="s">
        <v>708</v>
      </c>
      <c r="E1632" s="37" t="s">
        <v>211</v>
      </c>
      <c r="F1632" s="38">
        <v>46206</v>
      </c>
      <c r="G1632" s="37" t="s">
        <v>215</v>
      </c>
      <c r="H1632" s="39">
        <v>-24</v>
      </c>
      <c r="I1632" s="39">
        <f>IF(My_Payment[[#This Row],[Payment_Code]]="S",My_Payment[[#This Row],[Total AMT]]/2,IF(My_Payment[[#This Row],[Payment_Code]]="P",My_Payment[[#This Row],[Total AMT]],0))</f>
        <v>-24</v>
      </c>
      <c r="J1632" s="39">
        <f>IF(My_Payment[[#This Row],[Payment_Code]]="S",My_Payment[[#This Row],[Total AMT]]/2,IF(My_Payment[[#This Row],[Payment_Code]]="N",My_Payment[[#This Row],[Total AMT]],0))</f>
        <v>0</v>
      </c>
    </row>
    <row r="1633" spans="1:10">
      <c r="A1633" s="38">
        <v>46177</v>
      </c>
      <c r="B1633" s="37" t="s">
        <v>697</v>
      </c>
      <c r="C1633" s="37" t="s">
        <v>299</v>
      </c>
      <c r="D1633" s="37" t="s">
        <v>736</v>
      </c>
      <c r="E1633" s="37" t="s">
        <v>211</v>
      </c>
      <c r="F1633" s="38">
        <v>46206</v>
      </c>
      <c r="G1633" s="37" t="s">
        <v>212</v>
      </c>
      <c r="H1633" s="39">
        <v>482</v>
      </c>
      <c r="I1633" s="39">
        <f>IF(My_Payment[[#This Row],[Payment_Code]]="S",My_Payment[[#This Row],[Total AMT]]/2,IF(My_Payment[[#This Row],[Payment_Code]]="P",My_Payment[[#This Row],[Total AMT]],0))</f>
        <v>241</v>
      </c>
      <c r="J1633" s="39">
        <f>IF(My_Payment[[#This Row],[Payment_Code]]="S",My_Payment[[#This Row],[Total AMT]]/2,IF(My_Payment[[#This Row],[Payment_Code]]="N",My_Payment[[#This Row],[Total AMT]],0))</f>
        <v>241</v>
      </c>
    </row>
    <row r="1634" spans="1:10">
      <c r="A1634" s="38">
        <v>46181</v>
      </c>
      <c r="B1634" s="37" t="s">
        <v>697</v>
      </c>
      <c r="C1634" s="37" t="s">
        <v>299</v>
      </c>
      <c r="D1634" s="37" t="s">
        <v>710</v>
      </c>
      <c r="E1634" s="37" t="s">
        <v>211</v>
      </c>
      <c r="F1634" s="38">
        <v>46206</v>
      </c>
      <c r="G1634" s="37" t="s">
        <v>215</v>
      </c>
      <c r="H1634" s="39">
        <v>65</v>
      </c>
      <c r="I1634" s="39">
        <f>IF(My_Payment[[#This Row],[Payment_Code]]="S",My_Payment[[#This Row],[Total AMT]]/2,IF(My_Payment[[#This Row],[Payment_Code]]="P",My_Payment[[#This Row],[Total AMT]],0))</f>
        <v>65</v>
      </c>
      <c r="J1634" s="39">
        <f>IF(My_Payment[[#This Row],[Payment_Code]]="S",My_Payment[[#This Row],[Total AMT]]/2,IF(My_Payment[[#This Row],[Payment_Code]]="N",My_Payment[[#This Row],[Total AMT]],0))</f>
        <v>0</v>
      </c>
    </row>
    <row r="1635" spans="1:10">
      <c r="A1635" s="38">
        <v>46185</v>
      </c>
      <c r="B1635" s="37" t="s">
        <v>697</v>
      </c>
      <c r="C1635" s="37" t="s">
        <v>299</v>
      </c>
      <c r="D1635" s="37" t="s">
        <v>699</v>
      </c>
      <c r="E1635" s="37" t="s">
        <v>211</v>
      </c>
      <c r="F1635" s="38">
        <v>46206</v>
      </c>
      <c r="G1635" s="37" t="s">
        <v>215</v>
      </c>
      <c r="H1635" s="39">
        <v>-31.58</v>
      </c>
      <c r="I1635" s="39">
        <f>IF(My_Payment[[#This Row],[Payment_Code]]="S",My_Payment[[#This Row],[Total AMT]]/2,IF(My_Payment[[#This Row],[Payment_Code]]="P",My_Payment[[#This Row],[Total AMT]],0))</f>
        <v>-31.58</v>
      </c>
      <c r="J1635" s="39">
        <f>IF(My_Payment[[#This Row],[Payment_Code]]="S",My_Payment[[#This Row],[Total AMT]]/2,IF(My_Payment[[#This Row],[Payment_Code]]="N",My_Payment[[#This Row],[Total AMT]],0))</f>
        <v>0</v>
      </c>
    </row>
  </sheetData>
  <phoneticPr fontId="3"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3BB1-CC2E-446C-BF66-B876E94A781B}">
  <dimension ref="A1:J44"/>
  <sheetViews>
    <sheetView workbookViewId="0">
      <selection activeCell="B2" sqref="B2:D34"/>
    </sheetView>
  </sheetViews>
  <sheetFormatPr baseColWidth="10" defaultColWidth="8.83203125" defaultRowHeight="15"/>
  <cols>
    <col min="1" max="1" width="13.5" customWidth="1"/>
    <col min="2" max="6" width="17.33203125" customWidth="1"/>
    <col min="7" max="7" width="20" customWidth="1"/>
    <col min="8" max="8" width="17.1640625" customWidth="1"/>
    <col min="9" max="9" width="16.5" customWidth="1"/>
    <col min="10" max="10" width="14.5" customWidth="1"/>
  </cols>
  <sheetData>
    <row r="1" spans="1:10">
      <c r="B1" s="49" t="s">
        <v>522</v>
      </c>
      <c r="C1" s="49" t="s">
        <v>523</v>
      </c>
      <c r="D1" s="49" t="s">
        <v>524</v>
      </c>
      <c r="E1" s="49" t="s">
        <v>1</v>
      </c>
      <c r="G1" s="49" t="s">
        <v>522</v>
      </c>
      <c r="H1" s="49" t="s">
        <v>523</v>
      </c>
      <c r="I1" s="49" t="s">
        <v>524</v>
      </c>
      <c r="J1" s="49" t="s">
        <v>1</v>
      </c>
    </row>
    <row r="2" spans="1:10">
      <c r="B2" s="7"/>
      <c r="C2" s="7"/>
      <c r="D2" s="7"/>
      <c r="E2" s="51">
        <f>SUM(B2:D2)</f>
        <v>0</v>
      </c>
      <c r="G2" s="7">
        <v>40</v>
      </c>
      <c r="H2" s="7">
        <v>130</v>
      </c>
      <c r="I2" s="7"/>
      <c r="J2" s="51">
        <f>SUM(G2:I2)</f>
        <v>170</v>
      </c>
    </row>
    <row r="3" spans="1:10">
      <c r="A3" s="1"/>
      <c r="B3" s="7"/>
      <c r="C3" s="7"/>
      <c r="D3" s="7"/>
      <c r="E3" s="51">
        <f t="shared" ref="E3:E41" si="0">SUM(B3:D3)</f>
        <v>0</v>
      </c>
      <c r="G3" s="7">
        <v>40</v>
      </c>
      <c r="H3" s="7">
        <v>30</v>
      </c>
      <c r="I3" s="7"/>
      <c r="J3" s="51">
        <f t="shared" ref="J3:J39" si="1">SUM(G3:I3)</f>
        <v>70</v>
      </c>
    </row>
    <row r="4" spans="1:10">
      <c r="B4" s="7"/>
      <c r="C4" s="7"/>
      <c r="D4" s="7"/>
      <c r="E4" s="51">
        <f t="shared" si="0"/>
        <v>0</v>
      </c>
      <c r="G4" s="7">
        <v>224</v>
      </c>
      <c r="H4" s="7">
        <v>74</v>
      </c>
      <c r="I4" s="7"/>
      <c r="J4" s="51">
        <f t="shared" si="1"/>
        <v>298</v>
      </c>
    </row>
    <row r="5" spans="1:10">
      <c r="B5" s="7"/>
      <c r="C5" s="7"/>
      <c r="D5" s="7"/>
      <c r="E5" s="51">
        <f t="shared" si="0"/>
        <v>0</v>
      </c>
      <c r="G5" s="7">
        <v>69</v>
      </c>
      <c r="H5" s="7">
        <v>45</v>
      </c>
      <c r="I5" s="7"/>
      <c r="J5" s="51">
        <f t="shared" si="1"/>
        <v>114</v>
      </c>
    </row>
    <row r="6" spans="1:10">
      <c r="B6" s="7"/>
      <c r="C6" s="7"/>
      <c r="D6" s="7"/>
      <c r="E6" s="51">
        <f t="shared" si="0"/>
        <v>0</v>
      </c>
      <c r="G6" s="7">
        <v>44</v>
      </c>
      <c r="H6" s="7">
        <v>45</v>
      </c>
      <c r="I6" s="7"/>
      <c r="J6" s="51">
        <f t="shared" si="1"/>
        <v>89</v>
      </c>
    </row>
    <row r="7" spans="1:10">
      <c r="B7" s="7"/>
      <c r="C7" s="7"/>
      <c r="D7" s="7"/>
      <c r="E7" s="51">
        <f t="shared" si="0"/>
        <v>0</v>
      </c>
      <c r="G7" s="7">
        <v>44</v>
      </c>
      <c r="H7" s="7">
        <v>74</v>
      </c>
      <c r="I7" s="7"/>
      <c r="J7" s="51">
        <f t="shared" si="1"/>
        <v>118</v>
      </c>
    </row>
    <row r="8" spans="1:10">
      <c r="B8" s="7"/>
      <c r="C8" s="7"/>
      <c r="D8" s="7"/>
      <c r="E8" s="51">
        <f t="shared" si="0"/>
        <v>0</v>
      </c>
      <c r="G8" s="7">
        <v>44</v>
      </c>
      <c r="H8" s="7">
        <v>190</v>
      </c>
      <c r="I8" s="7"/>
      <c r="J8" s="51">
        <f t="shared" si="1"/>
        <v>234</v>
      </c>
    </row>
    <row r="9" spans="1:10">
      <c r="B9" s="7"/>
      <c r="C9" s="7"/>
      <c r="D9" s="7"/>
      <c r="E9" s="51">
        <f t="shared" si="0"/>
        <v>0</v>
      </c>
      <c r="G9" s="7">
        <v>64</v>
      </c>
      <c r="H9" s="7">
        <v>132</v>
      </c>
      <c r="I9" s="7"/>
      <c r="J9" s="51">
        <f t="shared" si="1"/>
        <v>196</v>
      </c>
    </row>
    <row r="10" spans="1:10">
      <c r="B10" s="7"/>
      <c r="C10" s="7"/>
      <c r="D10" s="7"/>
      <c r="E10" s="51">
        <f t="shared" si="0"/>
        <v>0</v>
      </c>
      <c r="G10" s="7">
        <v>56</v>
      </c>
      <c r="H10" s="7">
        <v>-4</v>
      </c>
      <c r="I10" s="7"/>
      <c r="J10" s="51">
        <f t="shared" si="1"/>
        <v>52</v>
      </c>
    </row>
    <row r="11" spans="1:10">
      <c r="B11" s="7"/>
      <c r="C11" s="7"/>
      <c r="D11" s="7"/>
      <c r="E11" s="51">
        <f t="shared" si="0"/>
        <v>0</v>
      </c>
      <c r="G11" s="7">
        <v>-9</v>
      </c>
      <c r="H11" s="7">
        <v>-4</v>
      </c>
      <c r="I11" s="7"/>
      <c r="J11" s="51">
        <f t="shared" si="1"/>
        <v>-13</v>
      </c>
    </row>
    <row r="12" spans="1:10">
      <c r="B12" s="7"/>
      <c r="C12" s="7"/>
      <c r="D12" s="7"/>
      <c r="E12" s="51">
        <f t="shared" si="0"/>
        <v>0</v>
      </c>
      <c r="G12" s="7"/>
      <c r="H12" s="7"/>
      <c r="I12" s="7"/>
      <c r="J12" s="51">
        <f t="shared" si="1"/>
        <v>0</v>
      </c>
    </row>
    <row r="13" spans="1:10">
      <c r="B13" s="7"/>
      <c r="C13" s="7"/>
      <c r="D13" s="7"/>
      <c r="E13" s="51">
        <f t="shared" si="0"/>
        <v>0</v>
      </c>
      <c r="G13" s="7"/>
      <c r="H13" s="7"/>
      <c r="I13" s="7"/>
      <c r="J13" s="51">
        <f t="shared" si="1"/>
        <v>0</v>
      </c>
    </row>
    <row r="14" spans="1:10">
      <c r="B14" s="7"/>
      <c r="C14" s="7"/>
      <c r="D14" s="7"/>
      <c r="E14" s="51">
        <f t="shared" si="0"/>
        <v>0</v>
      </c>
      <c r="G14" s="7"/>
      <c r="H14" s="7"/>
      <c r="I14" s="7"/>
      <c r="J14" s="51">
        <f t="shared" si="1"/>
        <v>0</v>
      </c>
    </row>
    <row r="15" spans="1:10">
      <c r="B15" s="7"/>
      <c r="C15" s="7"/>
      <c r="D15" s="7"/>
      <c r="E15" s="51">
        <f t="shared" si="0"/>
        <v>0</v>
      </c>
      <c r="G15" s="7"/>
      <c r="H15" s="7"/>
      <c r="I15" s="7"/>
      <c r="J15" s="51">
        <f t="shared" si="1"/>
        <v>0</v>
      </c>
    </row>
    <row r="16" spans="1:10">
      <c r="B16" s="7"/>
      <c r="C16" s="7"/>
      <c r="D16" s="7"/>
      <c r="E16" s="51">
        <f t="shared" si="0"/>
        <v>0</v>
      </c>
      <c r="G16" s="7"/>
      <c r="H16" s="7"/>
      <c r="I16" s="7"/>
      <c r="J16" s="51">
        <f t="shared" si="1"/>
        <v>0</v>
      </c>
    </row>
    <row r="17" spans="2:10">
      <c r="B17" s="7"/>
      <c r="C17" s="7"/>
      <c r="D17" s="7"/>
      <c r="E17" s="51">
        <f t="shared" si="0"/>
        <v>0</v>
      </c>
      <c r="G17" s="7"/>
      <c r="H17" s="7"/>
      <c r="I17" s="7"/>
      <c r="J17" s="51">
        <f t="shared" si="1"/>
        <v>0</v>
      </c>
    </row>
    <row r="18" spans="2:10">
      <c r="B18" s="7"/>
      <c r="C18" s="7"/>
      <c r="D18" s="7"/>
      <c r="E18" s="51">
        <f t="shared" si="0"/>
        <v>0</v>
      </c>
      <c r="G18" s="7"/>
      <c r="H18" s="7"/>
      <c r="I18" s="7"/>
      <c r="J18" s="51">
        <f t="shared" si="1"/>
        <v>0</v>
      </c>
    </row>
    <row r="19" spans="2:10">
      <c r="B19" s="7"/>
      <c r="C19" s="7"/>
      <c r="D19" s="7"/>
      <c r="E19" s="51">
        <f t="shared" si="0"/>
        <v>0</v>
      </c>
      <c r="G19" s="7"/>
      <c r="H19" s="7"/>
      <c r="I19" s="7"/>
      <c r="J19" s="51">
        <f t="shared" si="1"/>
        <v>0</v>
      </c>
    </row>
    <row r="20" spans="2:10">
      <c r="B20" s="7"/>
      <c r="C20" s="7"/>
      <c r="D20" s="7"/>
      <c r="E20" s="51">
        <f t="shared" si="0"/>
        <v>0</v>
      </c>
      <c r="G20" s="7"/>
      <c r="H20" s="7"/>
      <c r="I20" s="7"/>
      <c r="J20" s="51">
        <f t="shared" si="1"/>
        <v>0</v>
      </c>
    </row>
    <row r="21" spans="2:10">
      <c r="B21" s="7"/>
      <c r="C21" s="7"/>
      <c r="D21" s="7"/>
      <c r="E21" s="51">
        <f t="shared" si="0"/>
        <v>0</v>
      </c>
      <c r="G21" s="7"/>
      <c r="H21" s="7"/>
      <c r="I21" s="7"/>
      <c r="J21" s="51">
        <f t="shared" si="1"/>
        <v>0</v>
      </c>
    </row>
    <row r="22" spans="2:10">
      <c r="B22" s="7"/>
      <c r="C22" s="7"/>
      <c r="D22" s="7"/>
      <c r="E22" s="51">
        <f t="shared" si="0"/>
        <v>0</v>
      </c>
      <c r="G22" s="7"/>
      <c r="H22" s="7"/>
      <c r="I22" s="7"/>
      <c r="J22" s="51">
        <f t="shared" si="1"/>
        <v>0</v>
      </c>
    </row>
    <row r="23" spans="2:10">
      <c r="B23" s="7"/>
      <c r="C23" s="7"/>
      <c r="D23" s="7"/>
      <c r="E23" s="51">
        <f t="shared" si="0"/>
        <v>0</v>
      </c>
      <c r="G23" s="7"/>
      <c r="H23" s="7"/>
      <c r="I23" s="7"/>
      <c r="J23" s="51">
        <f t="shared" si="1"/>
        <v>0</v>
      </c>
    </row>
    <row r="24" spans="2:10">
      <c r="B24" s="7"/>
      <c r="C24" s="7"/>
      <c r="D24" s="7"/>
      <c r="E24" s="51">
        <f t="shared" si="0"/>
        <v>0</v>
      </c>
      <c r="G24" s="7"/>
      <c r="H24" s="7"/>
      <c r="I24" s="7"/>
      <c r="J24" s="51">
        <f t="shared" si="1"/>
        <v>0</v>
      </c>
    </row>
    <row r="25" spans="2:10">
      <c r="B25" s="7"/>
      <c r="C25" s="7"/>
      <c r="D25" s="7"/>
      <c r="E25" s="51">
        <f t="shared" si="0"/>
        <v>0</v>
      </c>
      <c r="G25" s="7"/>
      <c r="H25" s="7"/>
      <c r="I25" s="7"/>
      <c r="J25" s="51">
        <f t="shared" si="1"/>
        <v>0</v>
      </c>
    </row>
    <row r="26" spans="2:10">
      <c r="B26" s="7"/>
      <c r="C26" s="7"/>
      <c r="D26" s="7"/>
      <c r="E26" s="51">
        <f t="shared" si="0"/>
        <v>0</v>
      </c>
      <c r="G26" s="7"/>
      <c r="H26" s="7"/>
      <c r="I26" s="7"/>
      <c r="J26" s="51">
        <f t="shared" si="1"/>
        <v>0</v>
      </c>
    </row>
    <row r="27" spans="2:10">
      <c r="B27" s="7"/>
      <c r="C27" s="7"/>
      <c r="D27" s="7"/>
      <c r="E27" s="51">
        <f t="shared" si="0"/>
        <v>0</v>
      </c>
      <c r="G27" s="7"/>
      <c r="H27" s="7"/>
      <c r="I27" s="7"/>
      <c r="J27" s="51">
        <f t="shared" si="1"/>
        <v>0</v>
      </c>
    </row>
    <row r="28" spans="2:10">
      <c r="B28" s="7"/>
      <c r="C28" s="7"/>
      <c r="D28" s="7"/>
      <c r="E28" s="51">
        <f t="shared" si="0"/>
        <v>0</v>
      </c>
      <c r="G28" s="7"/>
      <c r="H28" s="7"/>
      <c r="I28" s="7"/>
      <c r="J28" s="51">
        <f t="shared" si="1"/>
        <v>0</v>
      </c>
    </row>
    <row r="29" spans="2:10">
      <c r="B29" s="7"/>
      <c r="C29" s="7"/>
      <c r="D29" s="7"/>
      <c r="E29" s="51">
        <f t="shared" si="0"/>
        <v>0</v>
      </c>
      <c r="G29" s="7"/>
      <c r="H29" s="7"/>
      <c r="I29" s="7"/>
      <c r="J29" s="51">
        <f t="shared" si="1"/>
        <v>0</v>
      </c>
    </row>
    <row r="30" spans="2:10">
      <c r="B30" s="7"/>
      <c r="C30" s="7"/>
      <c r="D30" s="7"/>
      <c r="E30" s="51">
        <f t="shared" si="0"/>
        <v>0</v>
      </c>
      <c r="G30" s="7"/>
      <c r="H30" s="7"/>
      <c r="I30" s="7"/>
      <c r="J30" s="51">
        <f t="shared" si="1"/>
        <v>0</v>
      </c>
    </row>
    <row r="31" spans="2:10">
      <c r="B31" s="7"/>
      <c r="C31" s="7"/>
      <c r="D31" s="7"/>
      <c r="E31" s="51">
        <f t="shared" si="0"/>
        <v>0</v>
      </c>
      <c r="G31" s="7"/>
      <c r="H31" s="7"/>
      <c r="I31" s="7"/>
      <c r="J31" s="51">
        <f t="shared" si="1"/>
        <v>0</v>
      </c>
    </row>
    <row r="32" spans="2:10">
      <c r="B32" s="7"/>
      <c r="C32" s="7"/>
      <c r="D32" s="7"/>
      <c r="E32" s="51">
        <f t="shared" si="0"/>
        <v>0</v>
      </c>
      <c r="G32" s="7"/>
      <c r="H32" s="7"/>
      <c r="I32" s="7"/>
      <c r="J32" s="51">
        <f t="shared" si="1"/>
        <v>0</v>
      </c>
    </row>
    <row r="33" spans="1:10">
      <c r="B33" s="7"/>
      <c r="C33" s="7"/>
      <c r="D33" s="7"/>
      <c r="E33" s="51">
        <f t="shared" si="0"/>
        <v>0</v>
      </c>
      <c r="G33" s="7"/>
      <c r="H33" s="7"/>
      <c r="I33" s="7"/>
      <c r="J33" s="51">
        <f t="shared" si="1"/>
        <v>0</v>
      </c>
    </row>
    <row r="34" spans="1:10">
      <c r="B34" s="7"/>
      <c r="C34" s="7"/>
      <c r="D34" s="7"/>
      <c r="E34" s="51">
        <f t="shared" si="0"/>
        <v>0</v>
      </c>
      <c r="G34" s="7"/>
      <c r="H34" s="7"/>
      <c r="I34" s="7"/>
      <c r="J34" s="51">
        <f t="shared" si="1"/>
        <v>0</v>
      </c>
    </row>
    <row r="35" spans="1:10">
      <c r="B35" s="7"/>
      <c r="C35" s="7"/>
      <c r="D35" s="7"/>
      <c r="E35" s="51">
        <f t="shared" si="0"/>
        <v>0</v>
      </c>
      <c r="G35" s="7"/>
      <c r="H35" s="7"/>
      <c r="I35" s="7"/>
      <c r="J35" s="51">
        <f t="shared" si="1"/>
        <v>0</v>
      </c>
    </row>
    <row r="36" spans="1:10">
      <c r="B36" s="7"/>
      <c r="C36" s="7"/>
      <c r="D36" s="7"/>
      <c r="E36" s="51">
        <f t="shared" si="0"/>
        <v>0</v>
      </c>
      <c r="G36" s="7"/>
      <c r="H36" s="7"/>
      <c r="I36" s="7"/>
      <c r="J36" s="51">
        <f t="shared" si="1"/>
        <v>0</v>
      </c>
    </row>
    <row r="37" spans="1:10">
      <c r="B37" s="7"/>
      <c r="C37" s="7"/>
      <c r="D37" s="7"/>
      <c r="E37" s="51">
        <f t="shared" si="0"/>
        <v>0</v>
      </c>
      <c r="G37" s="7"/>
      <c r="H37" s="7"/>
      <c r="I37" s="7"/>
      <c r="J37" s="51">
        <f t="shared" si="1"/>
        <v>0</v>
      </c>
    </row>
    <row r="38" spans="1:10">
      <c r="B38" s="7"/>
      <c r="C38" s="7"/>
      <c r="D38" s="7"/>
      <c r="E38" s="51">
        <f t="shared" si="0"/>
        <v>0</v>
      </c>
      <c r="G38" s="7"/>
      <c r="H38" s="7"/>
      <c r="I38" s="7"/>
      <c r="J38" s="51">
        <f t="shared" si="1"/>
        <v>0</v>
      </c>
    </row>
    <row r="39" spans="1:10">
      <c r="B39" s="7"/>
      <c r="C39" s="7"/>
      <c r="D39" s="7"/>
      <c r="E39" s="51">
        <f t="shared" si="0"/>
        <v>0</v>
      </c>
      <c r="G39" s="7"/>
      <c r="H39" s="7"/>
      <c r="I39" s="7"/>
      <c r="J39" s="51">
        <f t="shared" si="1"/>
        <v>0</v>
      </c>
    </row>
    <row r="40" spans="1:10">
      <c r="A40" t="s">
        <v>1</v>
      </c>
      <c r="B40" s="48">
        <f>SUM(B2:B39)</f>
        <v>0</v>
      </c>
      <c r="C40" s="48">
        <f>SUM(C2:C39)</f>
        <v>0</v>
      </c>
      <c r="D40" s="48">
        <f>SUM(D2:D39)</f>
        <v>0</v>
      </c>
      <c r="E40" s="48">
        <f>SUM(E2:E39)</f>
        <v>0</v>
      </c>
      <c r="F40" s="3"/>
      <c r="G40" s="48">
        <f>SUM(G2:G39)</f>
        <v>616</v>
      </c>
      <c r="H40" s="48">
        <f>SUM(H2:H39)</f>
        <v>712</v>
      </c>
      <c r="I40" s="48">
        <f>SUM(I2:I39)</f>
        <v>0</v>
      </c>
      <c r="J40" s="48">
        <f>SUM(J2:J39)</f>
        <v>1328</v>
      </c>
    </row>
    <row r="41" spans="1:10">
      <c r="A41" t="s">
        <v>525</v>
      </c>
      <c r="B41" s="52"/>
      <c r="C41" s="5">
        <v>-10</v>
      </c>
      <c r="D41" s="52"/>
      <c r="E41" s="51">
        <f t="shared" si="0"/>
        <v>-10</v>
      </c>
      <c r="G41" s="52"/>
      <c r="H41" s="5">
        <f>-50-38.34</f>
        <v>-88.34</v>
      </c>
      <c r="I41" s="52"/>
      <c r="J41" s="51">
        <f t="shared" ref="J41" si="2">SUM(G41:I41)</f>
        <v>-88.34</v>
      </c>
    </row>
    <row r="42" spans="1:10">
      <c r="A42" t="s">
        <v>1</v>
      </c>
      <c r="B42" s="48">
        <f>SUM(B40:B41)</f>
        <v>0</v>
      </c>
      <c r="C42" s="48">
        <f>SUM(C40:C41)</f>
        <v>-10</v>
      </c>
      <c r="D42" s="48">
        <f>SUM(D40:D41)</f>
        <v>0</v>
      </c>
      <c r="E42" s="48">
        <f>SUM(E40:E41)</f>
        <v>-10</v>
      </c>
      <c r="G42" s="48">
        <f>SUM(G40:G41)</f>
        <v>616</v>
      </c>
      <c r="H42" s="48">
        <f>SUM(H40:H41)</f>
        <v>623.66</v>
      </c>
      <c r="I42" s="48">
        <f>SUM(I40:I41)</f>
        <v>0</v>
      </c>
      <c r="J42" s="48">
        <f>SUM(J40:J41)</f>
        <v>1239.6600000000001</v>
      </c>
    </row>
    <row r="43" spans="1:10">
      <c r="A43" t="s">
        <v>526</v>
      </c>
      <c r="B43" s="51">
        <f>-C43*0.5</f>
        <v>-5</v>
      </c>
      <c r="C43" s="51">
        <f>-C42</f>
        <v>10</v>
      </c>
      <c r="D43" s="51">
        <f>-C43*0.5</f>
        <v>-5</v>
      </c>
      <c r="E43" s="51">
        <f>SUM(B43:D43)</f>
        <v>0</v>
      </c>
      <c r="G43" s="51">
        <f>-H43*0.5</f>
        <v>311.83</v>
      </c>
      <c r="H43" s="51">
        <f>-H42</f>
        <v>-623.66</v>
      </c>
      <c r="I43" s="51">
        <f>-H43*0.5</f>
        <v>311.83</v>
      </c>
      <c r="J43" s="51">
        <f>SUM(G43:I43)</f>
        <v>0</v>
      </c>
    </row>
    <row r="44" spans="1:10">
      <c r="A44" t="s">
        <v>1</v>
      </c>
      <c r="B44" s="50">
        <f>SUM(B42:B43)</f>
        <v>-5</v>
      </c>
      <c r="C44" s="50">
        <f>SUM(C42:C43)</f>
        <v>0</v>
      </c>
      <c r="D44" s="50">
        <f>SUM(D42:D43)</f>
        <v>-5</v>
      </c>
      <c r="E44" s="50">
        <f>SUM(B44:D44)</f>
        <v>-10</v>
      </c>
      <c r="G44" s="50">
        <f>SUM(G42:G43)</f>
        <v>927.82999999999993</v>
      </c>
      <c r="H44" s="50">
        <f>SUM(H42:H43)</f>
        <v>0</v>
      </c>
      <c r="I44" s="50">
        <f>SUM(I42:I43)</f>
        <v>311.83</v>
      </c>
      <c r="J44" s="50">
        <f>SUM(G44:I44)</f>
        <v>1239.6599999999999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AB674-3FD0-437D-A0BB-3506334F028C}">
  <dimension ref="B3:O45"/>
  <sheetViews>
    <sheetView workbookViewId="0">
      <selection activeCell="B13" sqref="B13"/>
    </sheetView>
  </sheetViews>
  <sheetFormatPr baseColWidth="10" defaultColWidth="9.1640625" defaultRowHeight="16"/>
  <cols>
    <col min="1" max="1" width="29.5" style="41" customWidth="1"/>
    <col min="2" max="2" width="35.5" style="41" bestFit="1" customWidth="1"/>
    <col min="3" max="14" width="13.1640625" style="41" bestFit="1" customWidth="1"/>
    <col min="15" max="15" width="14.5" style="41" bestFit="1" customWidth="1"/>
    <col min="16" max="16" width="14.6640625" style="41" bestFit="1" customWidth="1"/>
    <col min="17" max="17" width="16.33203125" style="41" bestFit="1" customWidth="1"/>
    <col min="18" max="18" width="14.6640625" style="41" bestFit="1" customWidth="1"/>
    <col min="19" max="19" width="16.33203125" style="41" bestFit="1" customWidth="1"/>
    <col min="20" max="20" width="14.6640625" style="41" bestFit="1" customWidth="1"/>
    <col min="21" max="21" width="16.33203125" style="41" bestFit="1" customWidth="1"/>
    <col min="22" max="22" width="14.6640625" style="41" bestFit="1" customWidth="1"/>
    <col min="23" max="23" width="16.33203125" style="41" bestFit="1" customWidth="1"/>
    <col min="24" max="24" width="14.6640625" style="41" bestFit="1" customWidth="1"/>
    <col min="25" max="25" width="16.33203125" style="41" bestFit="1" customWidth="1"/>
    <col min="26" max="26" width="14.6640625" style="41" bestFit="1" customWidth="1"/>
    <col min="27" max="27" width="21" style="41" bestFit="1" customWidth="1"/>
    <col min="28" max="28" width="19.5" style="41" bestFit="1" customWidth="1"/>
    <col min="29" max="16384" width="9.1640625" style="41"/>
  </cols>
  <sheetData>
    <row r="3" spans="2:15">
      <c r="B3" s="56" t="s">
        <v>527</v>
      </c>
      <c r="C3" s="56" t="s">
        <v>528</v>
      </c>
    </row>
    <row r="4" spans="2:15">
      <c r="B4" s="56" t="s">
        <v>199</v>
      </c>
      <c r="C4" s="41" t="s">
        <v>529</v>
      </c>
      <c r="D4" s="41" t="s">
        <v>530</v>
      </c>
      <c r="E4" s="41" t="s">
        <v>531</v>
      </c>
      <c r="F4" s="41" t="s">
        <v>532</v>
      </c>
      <c r="G4" s="41" t="s">
        <v>533</v>
      </c>
      <c r="H4" s="41" t="s">
        <v>534</v>
      </c>
      <c r="I4" s="41" t="s">
        <v>535</v>
      </c>
      <c r="J4" s="41" t="s">
        <v>536</v>
      </c>
      <c r="K4" s="41" t="s">
        <v>537</v>
      </c>
      <c r="L4" s="41" t="s">
        <v>538</v>
      </c>
      <c r="M4" s="41" t="s">
        <v>539</v>
      </c>
      <c r="N4" s="41" t="s">
        <v>540</v>
      </c>
      <c r="O4" s="41" t="s">
        <v>541</v>
      </c>
    </row>
    <row r="5" spans="2:15">
      <c r="B5" s="60" t="s">
        <v>208</v>
      </c>
      <c r="C5" s="59">
        <v>3177.7200000000003</v>
      </c>
      <c r="D5" s="59"/>
      <c r="E5" s="59">
        <v>1175.6400000000001</v>
      </c>
      <c r="F5" s="59">
        <v>1407.47</v>
      </c>
      <c r="G5" s="59">
        <v>2690</v>
      </c>
      <c r="H5" s="59">
        <v>1694.16</v>
      </c>
      <c r="I5" s="59">
        <v>763.88</v>
      </c>
      <c r="J5" s="59"/>
      <c r="K5" s="59"/>
      <c r="L5" s="59"/>
      <c r="M5" s="59"/>
      <c r="N5" s="59"/>
      <c r="O5" s="59">
        <v>10908.869999999999</v>
      </c>
    </row>
    <row r="6" spans="2:15">
      <c r="B6" s="60" t="s">
        <v>482</v>
      </c>
      <c r="C6" s="59">
        <v>528</v>
      </c>
      <c r="D6" s="59">
        <v>528</v>
      </c>
      <c r="E6" s="59">
        <v>528</v>
      </c>
      <c r="F6" s="59">
        <v>528</v>
      </c>
      <c r="G6" s="59">
        <v>528</v>
      </c>
      <c r="H6" s="59">
        <v>528</v>
      </c>
      <c r="I6" s="59">
        <v>528</v>
      </c>
      <c r="J6" s="59">
        <v>528</v>
      </c>
      <c r="K6" s="59">
        <v>528</v>
      </c>
      <c r="L6" s="59">
        <v>528</v>
      </c>
      <c r="M6" s="59">
        <v>528</v>
      </c>
      <c r="N6" s="59">
        <v>528</v>
      </c>
      <c r="O6" s="59">
        <v>6336</v>
      </c>
    </row>
    <row r="7" spans="2:15">
      <c r="B7" s="60" t="s">
        <v>225</v>
      </c>
      <c r="C7" s="59">
        <v>1268</v>
      </c>
      <c r="D7" s="59">
        <v>1268</v>
      </c>
      <c r="E7" s="59">
        <v>1268</v>
      </c>
      <c r="F7" s="59">
        <v>1268</v>
      </c>
      <c r="G7" s="59">
        <v>1268</v>
      </c>
      <c r="H7" s="59">
        <v>1268</v>
      </c>
      <c r="I7" s="59">
        <v>1268</v>
      </c>
      <c r="J7" s="59">
        <v>1268</v>
      </c>
      <c r="K7" s="59">
        <v>1268</v>
      </c>
      <c r="L7" s="59">
        <v>1268</v>
      </c>
      <c r="M7" s="59">
        <v>1268</v>
      </c>
      <c r="N7" s="59">
        <v>1268</v>
      </c>
      <c r="O7" s="59">
        <v>15216</v>
      </c>
    </row>
    <row r="8" spans="2:15">
      <c r="B8" s="60" t="s">
        <v>305</v>
      </c>
      <c r="C8" s="59">
        <v>2849</v>
      </c>
      <c r="D8" s="59">
        <v>5681.96</v>
      </c>
      <c r="E8" s="59">
        <v>3683.76</v>
      </c>
      <c r="F8" s="59">
        <v>4838.2299999999996</v>
      </c>
      <c r="G8" s="59">
        <v>7097.19</v>
      </c>
      <c r="H8" s="59">
        <v>4057.5</v>
      </c>
      <c r="I8" s="59">
        <v>5504.71</v>
      </c>
      <c r="J8" s="59"/>
      <c r="K8" s="59"/>
      <c r="L8" s="59"/>
      <c r="M8" s="59"/>
      <c r="N8" s="59"/>
      <c r="O8" s="59">
        <v>33712.35</v>
      </c>
    </row>
    <row r="9" spans="2:15">
      <c r="B9" s="60" t="s">
        <v>348</v>
      </c>
      <c r="C9" s="59">
        <v>2239.2478500000002</v>
      </c>
      <c r="D9" s="59">
        <v>2239.2478500000002</v>
      </c>
      <c r="E9" s="59">
        <v>2239.2478500000002</v>
      </c>
      <c r="F9" s="59">
        <v>2239.2478500000002</v>
      </c>
      <c r="G9" s="59">
        <v>2239.2478500000002</v>
      </c>
      <c r="H9" s="59">
        <v>2314.9959052499994</v>
      </c>
      <c r="I9" s="59">
        <v>2345.99035</v>
      </c>
      <c r="J9" s="59">
        <v>2345.99035</v>
      </c>
      <c r="K9" s="59">
        <v>2345.99035</v>
      </c>
      <c r="L9" s="59">
        <v>2345.99035</v>
      </c>
      <c r="M9" s="59">
        <v>2345.99035</v>
      </c>
      <c r="N9" s="59">
        <v>2345.99035</v>
      </c>
      <c r="O9" s="59">
        <v>27587.177255250001</v>
      </c>
    </row>
    <row r="10" spans="2:15">
      <c r="B10" s="60" t="s">
        <v>373</v>
      </c>
      <c r="C10" s="59">
        <v>2775.6</v>
      </c>
      <c r="D10" s="59">
        <v>2775.6</v>
      </c>
      <c r="E10" s="59">
        <v>2775.6</v>
      </c>
      <c r="F10" s="59">
        <v>2775.6</v>
      </c>
      <c r="G10" s="59">
        <v>2775.6</v>
      </c>
      <c r="H10" s="59">
        <v>378.1</v>
      </c>
      <c r="I10" s="59">
        <v>378.1</v>
      </c>
      <c r="J10" s="59">
        <v>378.1</v>
      </c>
      <c r="K10" s="59">
        <v>378.1</v>
      </c>
      <c r="L10" s="59">
        <v>378.1</v>
      </c>
      <c r="M10" s="59"/>
      <c r="N10" s="59"/>
      <c r="O10" s="59">
        <v>15768.500000000004</v>
      </c>
    </row>
    <row r="11" spans="2:15">
      <c r="B11" s="60" t="s">
        <v>345</v>
      </c>
      <c r="C11" s="59">
        <v>2517.8000000000002</v>
      </c>
      <c r="D11" s="59">
        <v>3240.67</v>
      </c>
      <c r="E11" s="59">
        <v>4771.26</v>
      </c>
      <c r="F11" s="59">
        <v>1243.8</v>
      </c>
      <c r="G11" s="59">
        <v>3093.8</v>
      </c>
      <c r="H11" s="59">
        <v>2566.8000000000002</v>
      </c>
      <c r="I11" s="59">
        <v>1243.8</v>
      </c>
      <c r="J11" s="59">
        <v>1243.8</v>
      </c>
      <c r="K11" s="59">
        <v>1243.8</v>
      </c>
      <c r="L11" s="59">
        <v>1243.8</v>
      </c>
      <c r="M11" s="59">
        <v>1243.8</v>
      </c>
      <c r="N11" s="59">
        <v>1243.8</v>
      </c>
      <c r="O11" s="59">
        <v>24896.929999999997</v>
      </c>
    </row>
    <row r="12" spans="2:15">
      <c r="B12" s="60" t="s">
        <v>357</v>
      </c>
      <c r="C12" s="59">
        <v>3747.67</v>
      </c>
      <c r="D12" s="59">
        <v>938.66</v>
      </c>
      <c r="E12" s="59">
        <v>982</v>
      </c>
      <c r="F12" s="59">
        <v>422</v>
      </c>
      <c r="G12" s="59">
        <v>970</v>
      </c>
      <c r="H12" s="59">
        <v>995</v>
      </c>
      <c r="I12" s="59">
        <v>376.33000000000004</v>
      </c>
      <c r="J12" s="59">
        <v>521</v>
      </c>
      <c r="K12" s="59">
        <v>462.01</v>
      </c>
      <c r="L12" s="59">
        <v>193.66</v>
      </c>
      <c r="M12" s="59"/>
      <c r="N12" s="59"/>
      <c r="O12" s="59">
        <v>9608.33</v>
      </c>
    </row>
    <row r="13" spans="2:15">
      <c r="B13" s="60" t="s">
        <v>298</v>
      </c>
      <c r="C13" s="59">
        <v>1360.83</v>
      </c>
      <c r="D13" s="59">
        <v>1360.83</v>
      </c>
      <c r="E13" s="59">
        <v>2628.41</v>
      </c>
      <c r="F13" s="59">
        <v>2628.41</v>
      </c>
      <c r="G13" s="59">
        <v>2628.41</v>
      </c>
      <c r="H13" s="59">
        <v>2628.41</v>
      </c>
      <c r="I13" s="59">
        <v>2628.42</v>
      </c>
      <c r="J13" s="59">
        <v>2628.42</v>
      </c>
      <c r="K13" s="59">
        <v>2628.42</v>
      </c>
      <c r="L13" s="59">
        <v>2628.42</v>
      </c>
      <c r="M13" s="59">
        <v>2628.42</v>
      </c>
      <c r="N13" s="59">
        <v>2628.42</v>
      </c>
      <c r="O13" s="59">
        <v>29005.820000000007</v>
      </c>
    </row>
    <row r="14" spans="2:15">
      <c r="B14" s="60" t="s">
        <v>697</v>
      </c>
      <c r="C14" s="59"/>
      <c r="D14" s="59"/>
      <c r="E14" s="59">
        <v>817.2</v>
      </c>
      <c r="F14" s="59">
        <v>12633.6</v>
      </c>
      <c r="G14" s="59">
        <v>4440.51</v>
      </c>
      <c r="H14" s="59">
        <v>4142.3</v>
      </c>
      <c r="I14" s="59">
        <v>1342.7200000000003</v>
      </c>
      <c r="J14" s="59">
        <v>2676.3</v>
      </c>
      <c r="K14" s="59">
        <v>2676.3</v>
      </c>
      <c r="L14" s="59">
        <v>2676.3</v>
      </c>
      <c r="M14" s="59">
        <v>2676.3</v>
      </c>
      <c r="N14" s="59">
        <v>2676.3</v>
      </c>
      <c r="O14" s="59">
        <v>36757.829999999994</v>
      </c>
    </row>
    <row r="15" spans="2:15">
      <c r="B15" s="60" t="s">
        <v>541</v>
      </c>
      <c r="C15" s="59">
        <v>20463.867849999999</v>
      </c>
      <c r="D15" s="59">
        <v>18032.967850000001</v>
      </c>
      <c r="E15" s="59">
        <v>20869.117849999999</v>
      </c>
      <c r="F15" s="59">
        <v>29984.35785</v>
      </c>
      <c r="G15" s="59">
        <v>27730.757850000002</v>
      </c>
      <c r="H15" s="59">
        <v>20573.265905250002</v>
      </c>
      <c r="I15" s="59">
        <v>16379.950349999999</v>
      </c>
      <c r="J15" s="59">
        <v>11589.610349999999</v>
      </c>
      <c r="K15" s="59">
        <v>11530.620350000001</v>
      </c>
      <c r="L15" s="59">
        <v>11262.270350000001</v>
      </c>
      <c r="M15" s="59">
        <v>10690.51035</v>
      </c>
      <c r="N15" s="59">
        <v>10690.51035</v>
      </c>
      <c r="O15" s="59">
        <v>209797.80725524982</v>
      </c>
    </row>
    <row r="16" spans="2:15">
      <c r="B16"/>
      <c r="C16"/>
      <c r="D16"/>
      <c r="E16"/>
      <c r="F16"/>
      <c r="G16"/>
      <c r="H16"/>
      <c r="I16"/>
      <c r="J16"/>
      <c r="K16"/>
      <c r="L16"/>
      <c r="M16"/>
      <c r="N16"/>
      <c r="O16"/>
    </row>
    <row r="17" spans="2:15">
      <c r="B17"/>
      <c r="C17"/>
      <c r="D17"/>
      <c r="E17"/>
      <c r="F17"/>
      <c r="G17"/>
      <c r="H17"/>
      <c r="I17"/>
      <c r="J17"/>
      <c r="K17"/>
      <c r="L17"/>
      <c r="M17"/>
      <c r="N17"/>
      <c r="O17"/>
    </row>
    <row r="18" spans="2:15">
      <c r="B18"/>
      <c r="C18"/>
      <c r="D18"/>
      <c r="E18"/>
      <c r="F18"/>
      <c r="G18"/>
      <c r="H18"/>
      <c r="I18"/>
      <c r="J18"/>
      <c r="K18"/>
      <c r="L18"/>
      <c r="M18"/>
      <c r="N18"/>
      <c r="O18"/>
    </row>
    <row r="19" spans="2:15">
      <c r="B19"/>
      <c r="C19"/>
      <c r="D19"/>
      <c r="E19"/>
      <c r="F19"/>
      <c r="G19"/>
      <c r="H19"/>
      <c r="I19"/>
      <c r="J19"/>
      <c r="K19"/>
      <c r="L19"/>
      <c r="M19"/>
      <c r="N19"/>
      <c r="O19"/>
    </row>
    <row r="20" spans="2:15">
      <c r="B20"/>
      <c r="C20"/>
      <c r="D20"/>
      <c r="E20"/>
      <c r="F20"/>
      <c r="G20"/>
      <c r="H20"/>
      <c r="I20"/>
      <c r="J20"/>
      <c r="K20"/>
      <c r="L20"/>
      <c r="M20"/>
      <c r="N20"/>
      <c r="O20"/>
    </row>
    <row r="21" spans="2:15">
      <c r="B21"/>
      <c r="C21"/>
      <c r="D21"/>
      <c r="E21"/>
      <c r="F21"/>
      <c r="G21"/>
      <c r="H21"/>
      <c r="I21"/>
      <c r="J21"/>
      <c r="K21"/>
      <c r="L21"/>
      <c r="M21"/>
      <c r="N21"/>
      <c r="O21"/>
    </row>
    <row r="22" spans="2:15">
      <c r="B22"/>
      <c r="C22"/>
      <c r="D22"/>
      <c r="E22"/>
      <c r="F22"/>
      <c r="G22"/>
      <c r="H22"/>
      <c r="I22"/>
      <c r="J22"/>
      <c r="K22"/>
      <c r="L22"/>
      <c r="M22"/>
      <c r="N22"/>
      <c r="O22"/>
    </row>
    <row r="23" spans="2:15">
      <c r="B23"/>
      <c r="C23"/>
      <c r="D23"/>
      <c r="E23"/>
      <c r="F23"/>
      <c r="G23"/>
      <c r="H23"/>
      <c r="I23"/>
      <c r="J23"/>
      <c r="K23"/>
      <c r="L23"/>
      <c r="M23"/>
      <c r="N23"/>
      <c r="O23"/>
    </row>
    <row r="24" spans="2:15">
      <c r="B24"/>
      <c r="C24"/>
      <c r="D24"/>
      <c r="E24"/>
      <c r="F24"/>
      <c r="G24"/>
      <c r="H24"/>
      <c r="I24"/>
      <c r="J24"/>
      <c r="K24"/>
      <c r="L24"/>
      <c r="M24"/>
      <c r="N24"/>
      <c r="O24"/>
    </row>
    <row r="25" spans="2:15">
      <c r="B25"/>
      <c r="C25"/>
      <c r="D25"/>
      <c r="E25"/>
      <c r="F25"/>
      <c r="G25"/>
      <c r="H25"/>
      <c r="I25"/>
      <c r="J25"/>
      <c r="K25"/>
      <c r="L25"/>
      <c r="M25"/>
      <c r="N25"/>
      <c r="O25"/>
    </row>
    <row r="26" spans="2:15">
      <c r="B26"/>
      <c r="C26"/>
      <c r="D26"/>
      <c r="E26"/>
      <c r="F26"/>
      <c r="G26"/>
      <c r="H26"/>
      <c r="I26"/>
      <c r="J26"/>
      <c r="K26"/>
      <c r="L26"/>
      <c r="M26"/>
      <c r="N26"/>
      <c r="O26"/>
    </row>
    <row r="27" spans="2:15">
      <c r="B27"/>
      <c r="C27"/>
      <c r="D27"/>
      <c r="E27"/>
      <c r="F27"/>
      <c r="G27"/>
      <c r="H27"/>
      <c r="I27"/>
      <c r="J27"/>
      <c r="K27"/>
      <c r="L27"/>
      <c r="M27"/>
      <c r="N27"/>
      <c r="O27"/>
    </row>
    <row r="28" spans="2:15">
      <c r="B28"/>
      <c r="C28"/>
      <c r="D28"/>
      <c r="E28"/>
      <c r="F28"/>
      <c r="G28"/>
      <c r="H28"/>
      <c r="I28"/>
      <c r="J28"/>
      <c r="K28"/>
      <c r="L28"/>
      <c r="M28"/>
      <c r="N28"/>
      <c r="O28"/>
    </row>
    <row r="29" spans="2:15">
      <c r="B29"/>
      <c r="C29"/>
      <c r="D29"/>
      <c r="E29"/>
      <c r="F29"/>
      <c r="G29"/>
      <c r="H29"/>
      <c r="I29"/>
      <c r="J29"/>
      <c r="K29"/>
      <c r="L29"/>
      <c r="M29"/>
      <c r="N29"/>
      <c r="O29"/>
    </row>
    <row r="30" spans="2:15">
      <c r="B30"/>
      <c r="C30"/>
      <c r="D30"/>
      <c r="E30"/>
      <c r="F30"/>
      <c r="G30"/>
      <c r="H30"/>
      <c r="I30"/>
      <c r="J30"/>
      <c r="K30"/>
      <c r="L30"/>
      <c r="M30"/>
      <c r="N30"/>
      <c r="O30"/>
    </row>
    <row r="31" spans="2:15">
      <c r="B31"/>
      <c r="C31"/>
      <c r="D31"/>
      <c r="E31"/>
      <c r="F31"/>
      <c r="G31"/>
      <c r="H31"/>
      <c r="I31"/>
      <c r="J31"/>
      <c r="K31"/>
      <c r="L31"/>
      <c r="M31"/>
      <c r="N31"/>
      <c r="O31"/>
    </row>
    <row r="32" spans="2:15">
      <c r="B32"/>
      <c r="C32"/>
      <c r="D32"/>
      <c r="E32"/>
      <c r="F32"/>
      <c r="G32"/>
      <c r="H32"/>
      <c r="I32"/>
      <c r="J32"/>
      <c r="K32"/>
      <c r="L32"/>
      <c r="M32"/>
      <c r="N32"/>
      <c r="O32"/>
    </row>
    <row r="33" spans="2:15">
      <c r="B33"/>
      <c r="C33"/>
      <c r="D33"/>
      <c r="E33"/>
      <c r="F33"/>
      <c r="G33"/>
      <c r="H33"/>
      <c r="I33"/>
      <c r="J33"/>
      <c r="K33"/>
      <c r="L33"/>
      <c r="M33"/>
      <c r="N33"/>
      <c r="O33"/>
    </row>
    <row r="34" spans="2:15">
      <c r="B34"/>
      <c r="C34"/>
      <c r="D34"/>
      <c r="E34"/>
      <c r="F34"/>
      <c r="G34"/>
      <c r="H34"/>
      <c r="I34"/>
      <c r="J34"/>
      <c r="K34"/>
      <c r="L34"/>
      <c r="M34"/>
      <c r="N34"/>
      <c r="O34"/>
    </row>
    <row r="35" spans="2:15">
      <c r="B35"/>
      <c r="C35"/>
      <c r="D35"/>
      <c r="E35"/>
      <c r="F35"/>
      <c r="G35"/>
      <c r="H35"/>
      <c r="I35"/>
      <c r="J35"/>
      <c r="K35"/>
      <c r="L35"/>
      <c r="M35"/>
      <c r="N35"/>
      <c r="O35"/>
    </row>
    <row r="36" spans="2:15">
      <c r="B36"/>
      <c r="C36"/>
      <c r="D36"/>
      <c r="E36"/>
      <c r="F36"/>
      <c r="G36"/>
      <c r="H36"/>
      <c r="I36"/>
      <c r="J36"/>
      <c r="K36"/>
      <c r="L36"/>
      <c r="M36"/>
      <c r="N36"/>
      <c r="O36"/>
    </row>
    <row r="37" spans="2:15">
      <c r="B37"/>
      <c r="C37"/>
      <c r="D37"/>
      <c r="E37"/>
      <c r="F37"/>
      <c r="G37"/>
      <c r="H37"/>
      <c r="I37"/>
      <c r="J37"/>
      <c r="K37"/>
      <c r="L37"/>
      <c r="M37"/>
      <c r="N37"/>
      <c r="O37"/>
    </row>
    <row r="38" spans="2:15">
      <c r="B38"/>
      <c r="C38"/>
      <c r="D38"/>
      <c r="E38"/>
      <c r="F38"/>
      <c r="G38"/>
      <c r="H38"/>
      <c r="I38"/>
      <c r="J38"/>
      <c r="K38"/>
      <c r="L38"/>
      <c r="M38"/>
      <c r="N38"/>
      <c r="O38"/>
    </row>
    <row r="39" spans="2:15">
      <c r="B39"/>
      <c r="C39"/>
      <c r="D39"/>
      <c r="E39"/>
      <c r="F39"/>
      <c r="G39"/>
      <c r="H39"/>
      <c r="I39"/>
      <c r="J39"/>
      <c r="K39"/>
      <c r="L39"/>
      <c r="M39"/>
      <c r="N39"/>
      <c r="O39"/>
    </row>
    <row r="40" spans="2:15">
      <c r="B40"/>
      <c r="C40"/>
      <c r="D40"/>
      <c r="E40"/>
      <c r="F40"/>
      <c r="G40"/>
      <c r="H40"/>
      <c r="I40"/>
      <c r="J40"/>
      <c r="K40"/>
      <c r="L40"/>
      <c r="M40"/>
      <c r="N40"/>
      <c r="O40"/>
    </row>
    <row r="41" spans="2:15">
      <c r="B41"/>
      <c r="C41"/>
      <c r="D41"/>
      <c r="E41"/>
      <c r="F41"/>
      <c r="G41"/>
      <c r="H41"/>
      <c r="I41"/>
      <c r="J41"/>
      <c r="K41"/>
      <c r="L41"/>
      <c r="M41"/>
      <c r="N41"/>
      <c r="O41"/>
    </row>
    <row r="42" spans="2:15">
      <c r="B42"/>
      <c r="C42"/>
      <c r="D42"/>
      <c r="E42"/>
      <c r="F42"/>
      <c r="G42"/>
      <c r="H42"/>
      <c r="I42"/>
      <c r="J42"/>
      <c r="K42"/>
      <c r="L42"/>
      <c r="M42"/>
      <c r="N42"/>
      <c r="O42"/>
    </row>
    <row r="43" spans="2:15">
      <c r="B43"/>
      <c r="C43"/>
      <c r="D43"/>
      <c r="E43"/>
      <c r="F43"/>
      <c r="G43"/>
      <c r="H43"/>
      <c r="I43"/>
      <c r="J43"/>
      <c r="K43"/>
      <c r="L43"/>
      <c r="M43"/>
      <c r="N43"/>
      <c r="O43"/>
    </row>
    <row r="44" spans="2:15">
      <c r="B44"/>
      <c r="C44"/>
      <c r="D44"/>
      <c r="E44"/>
      <c r="F44"/>
      <c r="G44"/>
      <c r="H44"/>
      <c r="I44"/>
      <c r="J44"/>
      <c r="K44"/>
      <c r="L44"/>
      <c r="M44"/>
      <c r="N44"/>
      <c r="O44"/>
    </row>
    <row r="45" spans="2:15">
      <c r="B45"/>
      <c r="C45"/>
      <c r="D45"/>
      <c r="E45"/>
      <c r="F45"/>
      <c r="G45"/>
      <c r="H45"/>
      <c r="I45"/>
      <c r="J45"/>
      <c r="K45"/>
      <c r="L45"/>
      <c r="M45"/>
      <c r="N45"/>
      <c r="O45"/>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7A1B-6EBE-45F2-9908-FD48DF02E22D}">
  <dimension ref="B4:O46"/>
  <sheetViews>
    <sheetView workbookViewId="0">
      <selection activeCell="B16" sqref="B16"/>
    </sheetView>
  </sheetViews>
  <sheetFormatPr baseColWidth="10" defaultColWidth="9.1640625" defaultRowHeight="16"/>
  <cols>
    <col min="1" max="1" width="28.5" style="41" customWidth="1"/>
    <col min="2" max="2" width="35.5" style="41" bestFit="1" customWidth="1"/>
    <col min="3" max="9" width="13.1640625" style="41" bestFit="1" customWidth="1"/>
    <col min="10" max="14" width="11.83203125" style="41" bestFit="1" customWidth="1"/>
    <col min="15" max="15" width="14.5" style="41" bestFit="1" customWidth="1"/>
    <col min="16" max="20" width="4" style="41" bestFit="1" customWidth="1"/>
    <col min="21" max="22" width="8" style="41" bestFit="1" customWidth="1"/>
    <col min="23" max="24" width="5" style="41" bestFit="1" customWidth="1"/>
    <col min="25" max="26" width="8" style="41" bestFit="1" customWidth="1"/>
    <col min="27" max="27" width="6.5" style="41" bestFit="1" customWidth="1"/>
    <col min="28" max="28" width="7" style="41" bestFit="1" customWidth="1"/>
    <col min="29" max="32" width="4" style="41" bestFit="1" customWidth="1"/>
    <col min="33" max="33" width="6" style="41" bestFit="1" customWidth="1"/>
    <col min="34" max="35" width="8" style="41" bestFit="1" customWidth="1"/>
    <col min="36" max="38" width="5" style="41" bestFit="1" customWidth="1"/>
    <col min="39" max="40" width="8" style="41" bestFit="1" customWidth="1"/>
    <col min="41" max="41" width="6" style="41" bestFit="1" customWidth="1"/>
    <col min="42" max="42" width="4" style="41" bestFit="1" customWidth="1"/>
    <col min="43" max="44" width="7" style="41" bestFit="1" customWidth="1"/>
    <col min="45" max="45" width="6" style="41" bestFit="1" customWidth="1"/>
    <col min="46" max="49" width="4" style="41" bestFit="1" customWidth="1"/>
    <col min="50" max="51" width="7" style="41" bestFit="1" customWidth="1"/>
    <col min="52" max="52" width="6" style="41" bestFit="1" customWidth="1"/>
    <col min="53" max="53" width="7" style="41" bestFit="1" customWidth="1"/>
    <col min="54" max="54" width="6" style="41" bestFit="1" customWidth="1"/>
    <col min="55" max="55" width="7" style="41" bestFit="1" customWidth="1"/>
    <col min="56" max="58" width="8" style="41" bestFit="1" customWidth="1"/>
    <col min="59" max="59" width="5" style="41" bestFit="1" customWidth="1"/>
    <col min="60" max="61" width="8" style="41" bestFit="1" customWidth="1"/>
    <col min="62" max="62" width="5" style="41" bestFit="1" customWidth="1"/>
    <col min="63" max="64" width="8" style="41" bestFit="1" customWidth="1"/>
    <col min="65" max="65" width="6.6640625" style="41" bestFit="1" customWidth="1"/>
    <col min="66" max="70" width="4" style="41" bestFit="1" customWidth="1"/>
    <col min="71" max="71" width="7" style="41" bestFit="1" customWidth="1"/>
    <col min="72" max="72" width="4" style="41" bestFit="1" customWidth="1"/>
    <col min="73" max="73" width="6" style="41" bestFit="1" customWidth="1"/>
    <col min="74" max="74" width="7" style="41" bestFit="1" customWidth="1"/>
    <col min="75" max="75" width="4" style="41" bestFit="1" customWidth="1"/>
    <col min="76" max="76" width="7" style="41" bestFit="1" customWidth="1"/>
    <col min="77" max="77" width="6" style="41" bestFit="1" customWidth="1"/>
    <col min="78" max="78" width="5" style="41" bestFit="1" customWidth="1"/>
    <col min="79" max="79" width="8" style="41" bestFit="1" customWidth="1"/>
    <col min="80" max="80" width="5" style="41" bestFit="1" customWidth="1"/>
    <col min="81" max="81" width="6" style="41" bestFit="1" customWidth="1"/>
    <col min="82" max="82" width="5" style="41" bestFit="1" customWidth="1"/>
    <col min="83" max="84" width="8" style="41" bestFit="1" customWidth="1"/>
    <col min="85" max="86" width="5" style="41" bestFit="1" customWidth="1"/>
    <col min="87" max="87" width="8" style="41" bestFit="1" customWidth="1"/>
    <col min="88" max="88" width="5" style="41" bestFit="1" customWidth="1"/>
    <col min="89" max="90" width="8" style="41" bestFit="1" customWidth="1"/>
    <col min="91" max="91" width="5.83203125" style="41" bestFit="1" customWidth="1"/>
    <col min="92" max="92" width="3" style="41" bestFit="1" customWidth="1"/>
    <col min="93" max="93" width="6" style="41" bestFit="1" customWidth="1"/>
    <col min="94" max="94" width="3" style="41" bestFit="1" customWidth="1"/>
    <col min="95" max="104" width="4" style="41" bestFit="1" customWidth="1"/>
    <col min="105" max="105" width="6" style="41" bestFit="1" customWidth="1"/>
    <col min="106" max="106" width="7" style="41" bestFit="1" customWidth="1"/>
    <col min="107" max="107" width="6" style="41" bestFit="1" customWidth="1"/>
    <col min="108" max="108" width="4" style="41" bestFit="1" customWidth="1"/>
    <col min="109" max="109" width="8" style="41" bestFit="1" customWidth="1"/>
    <col min="110" max="112" width="7" style="41" bestFit="1" customWidth="1"/>
    <col min="113" max="114" width="8" style="41" bestFit="1" customWidth="1"/>
    <col min="115" max="115" width="5" style="41" bestFit="1" customWidth="1"/>
    <col min="116" max="116" width="6" style="41" bestFit="1" customWidth="1"/>
    <col min="117" max="117" width="5" style="41" bestFit="1" customWidth="1"/>
    <col min="118" max="118" width="8" style="41" bestFit="1" customWidth="1"/>
    <col min="119" max="119" width="5" style="41" bestFit="1" customWidth="1"/>
    <col min="120" max="120" width="7" style="41" bestFit="1" customWidth="1"/>
    <col min="121" max="122" width="5" style="41" bestFit="1" customWidth="1"/>
    <col min="123" max="123" width="8" style="41" bestFit="1" customWidth="1"/>
    <col min="124" max="124" width="5" style="41" bestFit="1" customWidth="1"/>
    <col min="125" max="125" width="8" style="41" bestFit="1" customWidth="1"/>
    <col min="126" max="126" width="5" style="41" bestFit="1" customWidth="1"/>
    <col min="127" max="127" width="8" style="41" bestFit="1" customWidth="1"/>
    <col min="128" max="128" width="7.6640625" style="41" bestFit="1" customWidth="1"/>
    <col min="129" max="129" width="5.6640625" style="41" bestFit="1" customWidth="1"/>
    <col min="130" max="132" width="4" style="41" bestFit="1" customWidth="1"/>
    <col min="133" max="133" width="7" style="41" bestFit="1" customWidth="1"/>
    <col min="134" max="134" width="4" style="41" bestFit="1" customWidth="1"/>
    <col min="135" max="135" width="6" style="41" bestFit="1" customWidth="1"/>
    <col min="136" max="140" width="4" style="41" bestFit="1" customWidth="1"/>
    <col min="141" max="141" width="8" style="41" bestFit="1" customWidth="1"/>
    <col min="142" max="142" width="6" style="41" bestFit="1" customWidth="1"/>
    <col min="143" max="144" width="4" style="41" bestFit="1" customWidth="1"/>
    <col min="145" max="145" width="7" style="41" bestFit="1" customWidth="1"/>
    <col min="146" max="146" width="6" style="41" bestFit="1" customWidth="1"/>
    <col min="147" max="147" width="4" style="41" bestFit="1" customWidth="1"/>
    <col min="148" max="148" width="6" style="41" bestFit="1" customWidth="1"/>
    <col min="149" max="149" width="7" style="41" bestFit="1" customWidth="1"/>
    <col min="150" max="150" width="6" style="41" bestFit="1" customWidth="1"/>
    <col min="151" max="151" width="4" style="41" bestFit="1" customWidth="1"/>
    <col min="152" max="152" width="5" style="41" bestFit="1" customWidth="1"/>
    <col min="153" max="154" width="8" style="41" bestFit="1" customWidth="1"/>
    <col min="155" max="155" width="5" style="41" bestFit="1" customWidth="1"/>
    <col min="156" max="157" width="8" style="41" bestFit="1" customWidth="1"/>
    <col min="158" max="158" width="7" style="41" bestFit="1" customWidth="1"/>
    <col min="159" max="159" width="5" style="41" bestFit="1" customWidth="1"/>
    <col min="160" max="161" width="8" style="41" bestFit="1" customWidth="1"/>
    <col min="162" max="162" width="6.33203125" style="41" bestFit="1" customWidth="1"/>
    <col min="163" max="163" width="3" style="41" bestFit="1" customWidth="1"/>
    <col min="164" max="164" width="5" style="41" bestFit="1" customWidth="1"/>
    <col min="165" max="165" width="7" style="41" bestFit="1" customWidth="1"/>
    <col min="166" max="169" width="4" style="41" bestFit="1" customWidth="1"/>
    <col min="170" max="170" width="7" style="41" bestFit="1" customWidth="1"/>
    <col min="171" max="172" width="6" style="41" bestFit="1" customWidth="1"/>
    <col min="173" max="175" width="4" style="41" bestFit="1" customWidth="1"/>
    <col min="176" max="176" width="7" style="41" bestFit="1" customWidth="1"/>
    <col min="177" max="177" width="8" style="41" bestFit="1" customWidth="1"/>
    <col min="178" max="178" width="7" style="41" bestFit="1" customWidth="1"/>
    <col min="179" max="179" width="5" style="41" bestFit="1" customWidth="1"/>
    <col min="180" max="184" width="8" style="41" bestFit="1" customWidth="1"/>
    <col min="185" max="185" width="7" style="41" bestFit="1" customWidth="1"/>
    <col min="186" max="186" width="5" style="41" bestFit="1" customWidth="1"/>
    <col min="187" max="188" width="8" style="41" bestFit="1" customWidth="1"/>
    <col min="189" max="189" width="6.1640625" style="41" bestFit="1" customWidth="1"/>
    <col min="190" max="190" width="4" style="41" bestFit="1" customWidth="1"/>
    <col min="191" max="191" width="7" style="41" bestFit="1" customWidth="1"/>
    <col min="192" max="192" width="6" style="41" bestFit="1" customWidth="1"/>
    <col min="193" max="193" width="7" style="41" bestFit="1" customWidth="1"/>
    <col min="194" max="194" width="4" style="41" bestFit="1" customWidth="1"/>
    <col min="195" max="195" width="7" style="41" bestFit="1" customWidth="1"/>
    <col min="196" max="196" width="4" style="41" bestFit="1" customWidth="1"/>
    <col min="197" max="198" width="7" style="41" bestFit="1" customWidth="1"/>
    <col min="199" max="199" width="6" style="41" bestFit="1" customWidth="1"/>
    <col min="200" max="201" width="4" style="41" bestFit="1" customWidth="1"/>
    <col min="202" max="202" width="6" style="41" bestFit="1" customWidth="1"/>
    <col min="203" max="203" width="4" style="41" bestFit="1" customWidth="1"/>
    <col min="204" max="204" width="7" style="41" bestFit="1" customWidth="1"/>
    <col min="205" max="205" width="4" style="41" bestFit="1" customWidth="1"/>
    <col min="206" max="206" width="7" style="41" bestFit="1" customWidth="1"/>
    <col min="207" max="209" width="8" style="41" bestFit="1" customWidth="1"/>
    <col min="210" max="210" width="5" style="41" bestFit="1" customWidth="1"/>
    <col min="211" max="211" width="8" style="41" bestFit="1" customWidth="1"/>
    <col min="212" max="212" width="7" style="41" bestFit="1" customWidth="1"/>
    <col min="213" max="214" width="5" style="41" bestFit="1" customWidth="1"/>
    <col min="215" max="216" width="8" style="41" bestFit="1" customWidth="1"/>
    <col min="217" max="218" width="6.6640625" style="41" bestFit="1" customWidth="1"/>
    <col min="219" max="219" width="4" style="41" bestFit="1" customWidth="1"/>
    <col min="220" max="222" width="7" style="41" bestFit="1" customWidth="1"/>
    <col min="223" max="223" width="4" style="41" bestFit="1" customWidth="1"/>
    <col min="224" max="224" width="6" style="41" bestFit="1" customWidth="1"/>
    <col min="225" max="225" width="4" style="41" bestFit="1" customWidth="1"/>
    <col min="226" max="227" width="7" style="41" bestFit="1" customWidth="1"/>
    <col min="228" max="228" width="6" style="41" bestFit="1" customWidth="1"/>
    <col min="229" max="230" width="4" style="41" bestFit="1" customWidth="1"/>
    <col min="231" max="231" width="7" style="41" bestFit="1" customWidth="1"/>
    <col min="232" max="232" width="4" style="41" bestFit="1" customWidth="1"/>
    <col min="233" max="233" width="8" style="41" bestFit="1" customWidth="1"/>
    <col min="234" max="234" width="6" style="41" bestFit="1" customWidth="1"/>
    <col min="235" max="238" width="8" style="41" bestFit="1" customWidth="1"/>
    <col min="239" max="239" width="7" style="41" bestFit="1" customWidth="1"/>
    <col min="240" max="241" width="8" style="41" bestFit="1" customWidth="1"/>
    <col min="242" max="242" width="5" style="41" bestFit="1" customWidth="1"/>
    <col min="243" max="244" width="8" style="41" bestFit="1" customWidth="1"/>
    <col min="245" max="245" width="5" style="41" bestFit="1" customWidth="1"/>
    <col min="246" max="246" width="6.5" style="41" bestFit="1" customWidth="1"/>
    <col min="247" max="247" width="7" style="41" bestFit="1" customWidth="1"/>
    <col min="248" max="248" width="4" style="41" bestFit="1" customWidth="1"/>
    <col min="249" max="249" width="6" style="41" bestFit="1" customWidth="1"/>
    <col min="250" max="251" width="4" style="41" bestFit="1" customWidth="1"/>
    <col min="252" max="252" width="6" style="41" bestFit="1" customWidth="1"/>
    <col min="253" max="253" width="7" style="41" bestFit="1" customWidth="1"/>
    <col min="254" max="256" width="4" style="41" bestFit="1" customWidth="1"/>
    <col min="257" max="257" width="7" style="41" bestFit="1" customWidth="1"/>
    <col min="258" max="258" width="6" style="41" bestFit="1" customWidth="1"/>
    <col min="259" max="261" width="4" style="41" bestFit="1" customWidth="1"/>
    <col min="262" max="262" width="7" style="41" bestFit="1" customWidth="1"/>
    <col min="263" max="263" width="4" style="41" bestFit="1" customWidth="1"/>
    <col min="264" max="267" width="8" style="41" bestFit="1" customWidth="1"/>
    <col min="268" max="268" width="7" style="41" bestFit="1" customWidth="1"/>
    <col min="269" max="269" width="5" style="41" bestFit="1" customWidth="1"/>
    <col min="270" max="270" width="8" style="41" bestFit="1" customWidth="1"/>
    <col min="271" max="271" width="7" style="41" bestFit="1" customWidth="1"/>
    <col min="272" max="272" width="5" style="41" bestFit="1" customWidth="1"/>
    <col min="273" max="273" width="7" style="41" bestFit="1" customWidth="1"/>
    <col min="274" max="274" width="6.1640625" style="41" bestFit="1" customWidth="1"/>
    <col min="275" max="275" width="7" style="41" bestFit="1" customWidth="1"/>
    <col min="276" max="276" width="6" style="41" bestFit="1" customWidth="1"/>
    <col min="277" max="277" width="4" style="41" bestFit="1" customWidth="1"/>
    <col min="278" max="278" width="7" style="41" bestFit="1" customWidth="1"/>
    <col min="279" max="279" width="4" style="41" bestFit="1" customWidth="1"/>
    <col min="280" max="280" width="7" style="41" bestFit="1" customWidth="1"/>
    <col min="281" max="282" width="4" style="41" bestFit="1" customWidth="1"/>
    <col min="283" max="283" width="7" style="41" bestFit="1" customWidth="1"/>
    <col min="284" max="284" width="6" style="41" bestFit="1" customWidth="1"/>
    <col min="285" max="285" width="4" style="41" bestFit="1" customWidth="1"/>
    <col min="286" max="286" width="8" style="41" bestFit="1" customWidth="1"/>
    <col min="287" max="287" width="7" style="41" bestFit="1" customWidth="1"/>
    <col min="288" max="288" width="4" style="41" bestFit="1" customWidth="1"/>
    <col min="289" max="289" width="7" style="41" bestFit="1" customWidth="1"/>
    <col min="290" max="290" width="4" style="41" bestFit="1" customWidth="1"/>
    <col min="291" max="293" width="8" style="41" bestFit="1" customWidth="1"/>
    <col min="294" max="294" width="5" style="41" bestFit="1" customWidth="1"/>
    <col min="295" max="296" width="8" style="41" bestFit="1" customWidth="1"/>
    <col min="297" max="297" width="7" style="41" bestFit="1" customWidth="1"/>
    <col min="298" max="298" width="5" style="41" bestFit="1" customWidth="1"/>
    <col min="299" max="300" width="8" style="41" bestFit="1" customWidth="1"/>
    <col min="301" max="301" width="7" style="41" bestFit="1" customWidth="1"/>
    <col min="302" max="302" width="11" style="41" bestFit="1" customWidth="1"/>
    <col min="303" max="16384" width="9.1640625" style="41"/>
  </cols>
  <sheetData>
    <row r="4" spans="2:15">
      <c r="B4" s="56" t="s">
        <v>542</v>
      </c>
      <c r="C4" s="56" t="s">
        <v>528</v>
      </c>
    </row>
    <row r="5" spans="2:15">
      <c r="B5" s="56" t="s">
        <v>544</v>
      </c>
      <c r="C5" s="41" t="s">
        <v>529</v>
      </c>
      <c r="D5" s="41" t="s">
        <v>530</v>
      </c>
      <c r="E5" s="41" t="s">
        <v>531</v>
      </c>
      <c r="F5" s="41" t="s">
        <v>532</v>
      </c>
      <c r="G5" s="41" t="s">
        <v>533</v>
      </c>
      <c r="H5" s="41" t="s">
        <v>534</v>
      </c>
      <c r="I5" s="41" t="s">
        <v>535</v>
      </c>
      <c r="J5" s="41" t="s">
        <v>536</v>
      </c>
      <c r="K5" s="41" t="s">
        <v>537</v>
      </c>
      <c r="L5" s="41" t="s">
        <v>538</v>
      </c>
      <c r="M5" s="41" t="s">
        <v>539</v>
      </c>
      <c r="N5" s="41" t="s">
        <v>540</v>
      </c>
      <c r="O5" s="41" t="s">
        <v>541</v>
      </c>
    </row>
    <row r="6" spans="2:15">
      <c r="B6" s="60" t="s">
        <v>737</v>
      </c>
      <c r="C6" s="59"/>
      <c r="D6" s="59"/>
      <c r="E6" s="59"/>
      <c r="F6" s="59"/>
      <c r="G6" s="59"/>
      <c r="H6" s="59">
        <v>0</v>
      </c>
      <c r="I6" s="59"/>
      <c r="J6" s="59"/>
      <c r="K6" s="59"/>
      <c r="L6" s="59"/>
      <c r="M6" s="59"/>
      <c r="N6" s="59"/>
      <c r="O6" s="59">
        <v>0</v>
      </c>
    </row>
    <row r="7" spans="2:15">
      <c r="B7" s="60" t="s">
        <v>208</v>
      </c>
      <c r="C7" s="59">
        <v>1920.3600000000001</v>
      </c>
      <c r="D7" s="59"/>
      <c r="E7" s="59">
        <v>587.82000000000005</v>
      </c>
      <c r="F7" s="59">
        <v>1111.74</v>
      </c>
      <c r="G7" s="59">
        <v>2690</v>
      </c>
      <c r="H7" s="59">
        <v>1215.83</v>
      </c>
      <c r="I7" s="59">
        <v>381.94</v>
      </c>
      <c r="J7" s="59"/>
      <c r="K7" s="59"/>
      <c r="L7" s="59"/>
      <c r="M7" s="59"/>
      <c r="N7" s="59"/>
      <c r="O7" s="59">
        <v>7907.69</v>
      </c>
    </row>
    <row r="8" spans="2:15">
      <c r="B8" s="60" t="s">
        <v>482</v>
      </c>
      <c r="C8" s="59">
        <v>269</v>
      </c>
      <c r="D8" s="59">
        <v>269</v>
      </c>
      <c r="E8" s="59">
        <v>269</v>
      </c>
      <c r="F8" s="59">
        <v>269</v>
      </c>
      <c r="G8" s="59">
        <v>269</v>
      </c>
      <c r="H8" s="59">
        <v>269</v>
      </c>
      <c r="I8" s="59">
        <v>268.5</v>
      </c>
      <c r="J8" s="59">
        <v>268.5</v>
      </c>
      <c r="K8" s="59">
        <v>268.5</v>
      </c>
      <c r="L8" s="59">
        <v>268.5</v>
      </c>
      <c r="M8" s="59">
        <v>268.5</v>
      </c>
      <c r="N8" s="59">
        <v>268.5</v>
      </c>
      <c r="O8" s="59">
        <v>3225</v>
      </c>
    </row>
    <row r="9" spans="2:15">
      <c r="B9" s="60" t="s">
        <v>225</v>
      </c>
      <c r="C9" s="59">
        <v>969</v>
      </c>
      <c r="D9" s="59">
        <v>969</v>
      </c>
      <c r="E9" s="59">
        <v>969</v>
      </c>
      <c r="F9" s="59">
        <v>969</v>
      </c>
      <c r="G9" s="59">
        <v>969</v>
      </c>
      <c r="H9" s="59">
        <v>969</v>
      </c>
      <c r="I9" s="59">
        <v>969</v>
      </c>
      <c r="J9" s="59">
        <v>969</v>
      </c>
      <c r="K9" s="59">
        <v>969</v>
      </c>
      <c r="L9" s="59">
        <v>969</v>
      </c>
      <c r="M9" s="59">
        <v>969</v>
      </c>
      <c r="N9" s="59">
        <v>969</v>
      </c>
      <c r="O9" s="59">
        <v>11628</v>
      </c>
    </row>
    <row r="10" spans="2:15">
      <c r="B10" s="60" t="s">
        <v>305</v>
      </c>
      <c r="C10" s="59">
        <v>2849</v>
      </c>
      <c r="D10" s="59">
        <v>4983.96</v>
      </c>
      <c r="E10" s="59">
        <v>3683.76</v>
      </c>
      <c r="F10" s="59">
        <v>4838.2299999999996</v>
      </c>
      <c r="G10" s="59">
        <v>6569.19</v>
      </c>
      <c r="H10" s="59">
        <v>3813.5</v>
      </c>
      <c r="I10" s="59">
        <v>3317.71</v>
      </c>
      <c r="J10" s="59"/>
      <c r="K10" s="59"/>
      <c r="L10" s="59"/>
      <c r="M10" s="59"/>
      <c r="N10" s="59"/>
      <c r="O10" s="59">
        <v>30055.35</v>
      </c>
    </row>
    <row r="11" spans="2:15">
      <c r="B11" s="60" t="s">
        <v>348</v>
      </c>
      <c r="C11" s="59">
        <v>2239.2478500000002</v>
      </c>
      <c r="D11" s="59">
        <v>2239.2478500000002</v>
      </c>
      <c r="E11" s="59">
        <v>2239.2478500000002</v>
      </c>
      <c r="F11" s="59">
        <v>2239.2478500000002</v>
      </c>
      <c r="G11" s="59">
        <v>2239.2478500000002</v>
      </c>
      <c r="H11" s="59">
        <v>2314.9959052499994</v>
      </c>
      <c r="I11" s="59">
        <v>2345.99035</v>
      </c>
      <c r="J11" s="59">
        <v>2345.99035</v>
      </c>
      <c r="K11" s="59">
        <v>2345.99035</v>
      </c>
      <c r="L11" s="59">
        <v>2345.99035</v>
      </c>
      <c r="M11" s="59">
        <v>2345.99035</v>
      </c>
      <c r="N11" s="59">
        <v>2345.99035</v>
      </c>
      <c r="O11" s="59">
        <v>27587.177255250001</v>
      </c>
    </row>
    <row r="12" spans="2:15">
      <c r="B12" s="60" t="s">
        <v>373</v>
      </c>
      <c r="C12" s="59">
        <v>2775.6</v>
      </c>
      <c r="D12" s="59">
        <v>2775.6</v>
      </c>
      <c r="E12" s="59">
        <v>2775.6</v>
      </c>
      <c r="F12" s="59">
        <v>2775.6</v>
      </c>
      <c r="G12" s="59">
        <v>2775.6</v>
      </c>
      <c r="H12" s="59">
        <v>378.1</v>
      </c>
      <c r="I12" s="59">
        <v>378.1</v>
      </c>
      <c r="J12" s="59">
        <v>378.1</v>
      </c>
      <c r="K12" s="59">
        <v>378.1</v>
      </c>
      <c r="L12" s="59">
        <v>378.1</v>
      </c>
      <c r="M12" s="59"/>
      <c r="N12" s="59"/>
      <c r="O12" s="59">
        <v>15768.500000000004</v>
      </c>
    </row>
    <row r="13" spans="2:15">
      <c r="B13" s="60" t="s">
        <v>345</v>
      </c>
      <c r="C13" s="59">
        <v>1880.8</v>
      </c>
      <c r="D13" s="59">
        <v>2391.7350000000001</v>
      </c>
      <c r="E13" s="59">
        <v>3007.5299999999997</v>
      </c>
      <c r="F13" s="59">
        <v>1243.8</v>
      </c>
      <c r="G13" s="59">
        <v>2168.8000000000002</v>
      </c>
      <c r="H13" s="59">
        <v>1905.3</v>
      </c>
      <c r="I13" s="59">
        <v>1243.8</v>
      </c>
      <c r="J13" s="59">
        <v>1243.8</v>
      </c>
      <c r="K13" s="59">
        <v>1243.8</v>
      </c>
      <c r="L13" s="59">
        <v>1243.8</v>
      </c>
      <c r="M13" s="59">
        <v>1243.8</v>
      </c>
      <c r="N13" s="59">
        <v>1243.8</v>
      </c>
      <c r="O13" s="59">
        <v>20060.764999999999</v>
      </c>
    </row>
    <row r="14" spans="2:15">
      <c r="B14" s="60" t="s">
        <v>357</v>
      </c>
      <c r="C14" s="59">
        <v>3747.67</v>
      </c>
      <c r="D14" s="59">
        <v>938.66</v>
      </c>
      <c r="E14" s="59">
        <v>982</v>
      </c>
      <c r="F14" s="59">
        <v>422</v>
      </c>
      <c r="G14" s="59">
        <v>970</v>
      </c>
      <c r="H14" s="59">
        <v>995</v>
      </c>
      <c r="I14" s="59">
        <v>376.33000000000004</v>
      </c>
      <c r="J14" s="59">
        <v>521</v>
      </c>
      <c r="K14" s="59">
        <v>462.01</v>
      </c>
      <c r="L14" s="59">
        <v>193.66</v>
      </c>
      <c r="M14" s="59"/>
      <c r="N14" s="59"/>
      <c r="O14" s="59">
        <v>9608.33</v>
      </c>
    </row>
    <row r="15" spans="2:15">
      <c r="B15" s="60" t="s">
        <v>298</v>
      </c>
      <c r="C15" s="59">
        <v>1360.83</v>
      </c>
      <c r="D15" s="59">
        <v>1360.83</v>
      </c>
      <c r="E15" s="59">
        <v>2628.41</v>
      </c>
      <c r="F15" s="59">
        <v>2628.41</v>
      </c>
      <c r="G15" s="59">
        <v>2628.41</v>
      </c>
      <c r="H15" s="59">
        <v>2628.41</v>
      </c>
      <c r="I15" s="59">
        <v>2628.42</v>
      </c>
      <c r="J15" s="59">
        <v>2628.42</v>
      </c>
      <c r="K15" s="59">
        <v>2628.42</v>
      </c>
      <c r="L15" s="59">
        <v>2628.42</v>
      </c>
      <c r="M15" s="59">
        <v>2628.42</v>
      </c>
      <c r="N15" s="59">
        <v>2628.42</v>
      </c>
      <c r="O15" s="59">
        <v>29005.820000000007</v>
      </c>
    </row>
    <row r="16" spans="2:15">
      <c r="B16" s="60" t="s">
        <v>697</v>
      </c>
      <c r="C16" s="59"/>
      <c r="D16" s="59"/>
      <c r="E16" s="59">
        <v>817.2</v>
      </c>
      <c r="F16" s="59">
        <v>12238.6</v>
      </c>
      <c r="G16" s="59">
        <v>1708.51</v>
      </c>
      <c r="H16" s="59">
        <v>-3820.8500000000004</v>
      </c>
      <c r="I16" s="59">
        <v>763.57000000000016</v>
      </c>
      <c r="J16" s="59">
        <v>1338.15</v>
      </c>
      <c r="K16" s="59">
        <v>1338.15</v>
      </c>
      <c r="L16" s="59">
        <v>1338.15</v>
      </c>
      <c r="M16" s="59">
        <v>1338.15</v>
      </c>
      <c r="N16" s="59">
        <v>1338.15</v>
      </c>
      <c r="O16" s="59">
        <v>18397.780000000006</v>
      </c>
    </row>
    <row r="17" spans="2:15">
      <c r="B17" s="60" t="s">
        <v>541</v>
      </c>
      <c r="C17" s="59">
        <v>18011.507850000002</v>
      </c>
      <c r="D17" s="59">
        <v>15928.032850000001</v>
      </c>
      <c r="E17" s="59">
        <v>17959.567850000003</v>
      </c>
      <c r="F17" s="59">
        <v>28735.627850000001</v>
      </c>
      <c r="G17" s="59">
        <v>22987.757850000002</v>
      </c>
      <c r="H17" s="59">
        <v>10668.285905250001</v>
      </c>
      <c r="I17" s="59">
        <v>12673.360350000001</v>
      </c>
      <c r="J17" s="59">
        <v>9692.9603500000012</v>
      </c>
      <c r="K17" s="59">
        <v>9633.9703500000014</v>
      </c>
      <c r="L17" s="59">
        <v>9365.6203500000011</v>
      </c>
      <c r="M17" s="59">
        <v>8793.8603500000008</v>
      </c>
      <c r="N17" s="59">
        <v>8793.8603500000008</v>
      </c>
      <c r="O17" s="59">
        <v>173244.41225524992</v>
      </c>
    </row>
    <row r="18" spans="2:15">
      <c r="B18"/>
      <c r="C18"/>
      <c r="D18"/>
      <c r="E18"/>
      <c r="F18"/>
      <c r="G18"/>
      <c r="H18"/>
      <c r="I18"/>
      <c r="J18"/>
      <c r="K18"/>
      <c r="L18"/>
      <c r="M18"/>
      <c r="N18"/>
      <c r="O18"/>
    </row>
    <row r="19" spans="2:15">
      <c r="B19"/>
      <c r="C19"/>
      <c r="D19"/>
      <c r="E19"/>
      <c r="F19"/>
      <c r="G19"/>
      <c r="H19"/>
      <c r="I19"/>
      <c r="J19"/>
      <c r="K19"/>
      <c r="L19"/>
      <c r="M19"/>
      <c r="N19"/>
      <c r="O19"/>
    </row>
    <row r="20" spans="2:15">
      <c r="B20"/>
      <c r="C20"/>
      <c r="D20"/>
      <c r="E20"/>
      <c r="F20"/>
      <c r="G20"/>
      <c r="H20"/>
      <c r="I20"/>
      <c r="J20"/>
      <c r="K20"/>
      <c r="L20"/>
      <c r="M20"/>
      <c r="N20"/>
      <c r="O20"/>
    </row>
    <row r="21" spans="2:15">
      <c r="B21"/>
      <c r="C21"/>
      <c r="D21"/>
      <c r="E21"/>
      <c r="F21"/>
      <c r="G21"/>
      <c r="H21"/>
      <c r="I21"/>
      <c r="J21"/>
      <c r="K21"/>
      <c r="L21"/>
      <c r="M21"/>
      <c r="N21"/>
      <c r="O21"/>
    </row>
    <row r="22" spans="2:15">
      <c r="B22"/>
      <c r="C22"/>
      <c r="D22"/>
      <c r="E22"/>
      <c r="F22"/>
      <c r="G22"/>
      <c r="H22"/>
      <c r="I22"/>
      <c r="J22"/>
      <c r="K22"/>
      <c r="L22"/>
      <c r="M22"/>
      <c r="N22"/>
      <c r="O22"/>
    </row>
    <row r="23" spans="2:15">
      <c r="B23"/>
      <c r="C23"/>
      <c r="D23"/>
      <c r="E23"/>
      <c r="F23"/>
      <c r="G23"/>
      <c r="H23"/>
      <c r="I23"/>
      <c r="J23"/>
      <c r="K23"/>
      <c r="L23"/>
      <c r="M23"/>
      <c r="N23"/>
      <c r="O23"/>
    </row>
    <row r="24" spans="2:15">
      <c r="B24"/>
      <c r="C24"/>
      <c r="D24"/>
      <c r="E24"/>
      <c r="F24"/>
      <c r="G24"/>
      <c r="H24"/>
      <c r="I24"/>
      <c r="J24"/>
      <c r="K24"/>
      <c r="L24"/>
      <c r="M24"/>
      <c r="N24"/>
      <c r="O24"/>
    </row>
    <row r="25" spans="2:15">
      <c r="B25"/>
      <c r="C25"/>
      <c r="D25"/>
      <c r="E25"/>
      <c r="F25"/>
      <c r="G25"/>
      <c r="H25"/>
      <c r="I25"/>
      <c r="J25"/>
      <c r="K25"/>
      <c r="L25"/>
      <c r="M25"/>
      <c r="N25"/>
      <c r="O25"/>
    </row>
    <row r="26" spans="2:15">
      <c r="B26"/>
      <c r="C26"/>
      <c r="D26"/>
      <c r="E26"/>
      <c r="F26"/>
      <c r="G26"/>
      <c r="H26"/>
      <c r="I26"/>
      <c r="J26"/>
      <c r="K26"/>
      <c r="L26"/>
      <c r="M26"/>
      <c r="N26"/>
      <c r="O26"/>
    </row>
    <row r="27" spans="2:15">
      <c r="B27"/>
      <c r="C27"/>
      <c r="D27"/>
      <c r="E27"/>
      <c r="F27"/>
      <c r="G27"/>
      <c r="H27"/>
      <c r="I27"/>
      <c r="J27"/>
      <c r="K27"/>
      <c r="L27"/>
      <c r="M27"/>
      <c r="N27"/>
      <c r="O27"/>
    </row>
    <row r="28" spans="2:15">
      <c r="B28"/>
      <c r="C28"/>
      <c r="D28"/>
      <c r="E28"/>
      <c r="F28"/>
      <c r="G28"/>
      <c r="H28"/>
      <c r="I28"/>
      <c r="J28"/>
      <c r="K28"/>
      <c r="L28"/>
      <c r="M28"/>
      <c r="N28"/>
      <c r="O28"/>
    </row>
    <row r="29" spans="2:15">
      <c r="B29"/>
      <c r="C29"/>
      <c r="D29"/>
      <c r="E29"/>
      <c r="F29"/>
      <c r="G29"/>
      <c r="H29"/>
      <c r="I29"/>
      <c r="J29"/>
      <c r="K29"/>
      <c r="L29"/>
      <c r="M29"/>
      <c r="N29"/>
      <c r="O29"/>
    </row>
    <row r="30" spans="2:15">
      <c r="B30"/>
      <c r="C30"/>
      <c r="D30"/>
      <c r="E30"/>
      <c r="F30"/>
      <c r="G30"/>
      <c r="H30"/>
      <c r="I30"/>
      <c r="J30"/>
      <c r="K30"/>
      <c r="L30"/>
      <c r="M30"/>
      <c r="N30"/>
      <c r="O30"/>
    </row>
    <row r="31" spans="2:15">
      <c r="B31"/>
      <c r="C31"/>
      <c r="D31"/>
      <c r="E31"/>
      <c r="F31"/>
      <c r="G31"/>
      <c r="H31"/>
      <c r="I31"/>
      <c r="J31"/>
      <c r="K31"/>
      <c r="L31"/>
      <c r="M31"/>
      <c r="N31"/>
      <c r="O31"/>
    </row>
    <row r="32" spans="2:15">
      <c r="B32"/>
      <c r="C32"/>
      <c r="D32"/>
      <c r="E32"/>
      <c r="F32"/>
      <c r="G32"/>
      <c r="H32"/>
      <c r="I32"/>
      <c r="J32"/>
      <c r="K32"/>
      <c r="L32"/>
      <c r="M32"/>
      <c r="N32"/>
      <c r="O32"/>
    </row>
    <row r="33" spans="2:15">
      <c r="B33"/>
      <c r="C33"/>
      <c r="D33"/>
      <c r="E33"/>
      <c r="F33"/>
      <c r="G33"/>
      <c r="H33"/>
      <c r="I33"/>
      <c r="J33"/>
      <c r="K33"/>
      <c r="L33"/>
      <c r="M33"/>
      <c r="N33"/>
      <c r="O33"/>
    </row>
    <row r="34" spans="2:15">
      <c r="B34"/>
      <c r="C34"/>
      <c r="D34"/>
      <c r="E34"/>
      <c r="F34"/>
      <c r="G34"/>
      <c r="H34"/>
      <c r="I34"/>
      <c r="J34"/>
      <c r="K34"/>
      <c r="L34"/>
      <c r="M34"/>
      <c r="N34"/>
      <c r="O34"/>
    </row>
    <row r="35" spans="2:15">
      <c r="B35"/>
      <c r="C35"/>
      <c r="D35"/>
      <c r="E35"/>
      <c r="F35"/>
      <c r="G35"/>
      <c r="H35"/>
      <c r="I35"/>
      <c r="J35"/>
      <c r="K35"/>
      <c r="L35"/>
      <c r="M35"/>
      <c r="N35"/>
      <c r="O35"/>
    </row>
    <row r="36" spans="2:15">
      <c r="B36"/>
      <c r="C36"/>
      <c r="D36"/>
      <c r="E36"/>
      <c r="F36"/>
      <c r="G36"/>
      <c r="H36"/>
      <c r="I36"/>
      <c r="J36"/>
      <c r="K36"/>
      <c r="L36"/>
      <c r="M36"/>
      <c r="N36"/>
      <c r="O36"/>
    </row>
    <row r="37" spans="2:15">
      <c r="B37"/>
      <c r="C37"/>
      <c r="D37"/>
      <c r="E37"/>
      <c r="F37"/>
      <c r="G37"/>
      <c r="H37"/>
      <c r="I37"/>
      <c r="J37"/>
      <c r="K37"/>
      <c r="L37"/>
      <c r="M37"/>
      <c r="N37"/>
      <c r="O37"/>
    </row>
    <row r="38" spans="2:15">
      <c r="B38"/>
      <c r="C38"/>
      <c r="D38"/>
      <c r="E38"/>
      <c r="F38"/>
      <c r="G38"/>
      <c r="H38"/>
      <c r="I38"/>
      <c r="J38"/>
      <c r="K38"/>
      <c r="L38"/>
      <c r="M38"/>
      <c r="N38"/>
      <c r="O38"/>
    </row>
    <row r="39" spans="2:15">
      <c r="B39"/>
      <c r="C39"/>
      <c r="D39"/>
      <c r="E39"/>
      <c r="F39"/>
      <c r="G39"/>
      <c r="H39"/>
      <c r="I39"/>
      <c r="J39"/>
      <c r="K39"/>
      <c r="L39"/>
      <c r="M39"/>
      <c r="N39"/>
      <c r="O39"/>
    </row>
    <row r="40" spans="2:15">
      <c r="B40"/>
      <c r="C40"/>
      <c r="D40"/>
      <c r="E40"/>
      <c r="F40"/>
      <c r="G40"/>
      <c r="H40"/>
      <c r="I40"/>
      <c r="J40"/>
      <c r="K40"/>
      <c r="L40"/>
      <c r="M40"/>
      <c r="N40"/>
      <c r="O40"/>
    </row>
    <row r="41" spans="2:15">
      <c r="B41"/>
      <c r="C41"/>
      <c r="D41"/>
      <c r="E41"/>
      <c r="F41"/>
      <c r="G41"/>
      <c r="H41"/>
      <c r="I41"/>
      <c r="J41"/>
      <c r="K41"/>
      <c r="L41"/>
      <c r="M41"/>
      <c r="N41"/>
      <c r="O41"/>
    </row>
    <row r="42" spans="2:15">
      <c r="B42"/>
      <c r="C42"/>
      <c r="D42"/>
      <c r="E42"/>
      <c r="F42"/>
      <c r="G42"/>
      <c r="H42"/>
      <c r="I42"/>
      <c r="J42"/>
      <c r="K42"/>
      <c r="L42"/>
      <c r="M42"/>
      <c r="N42"/>
      <c r="O42"/>
    </row>
    <row r="43" spans="2:15">
      <c r="B43"/>
      <c r="C43"/>
      <c r="D43"/>
      <c r="E43"/>
      <c r="F43"/>
      <c r="G43"/>
      <c r="H43"/>
      <c r="I43"/>
      <c r="J43"/>
      <c r="K43"/>
      <c r="L43"/>
      <c r="M43"/>
      <c r="N43"/>
      <c r="O43"/>
    </row>
    <row r="44" spans="2:15">
      <c r="B44"/>
      <c r="C44"/>
      <c r="D44"/>
      <c r="E44"/>
      <c r="F44"/>
      <c r="G44"/>
      <c r="H44"/>
      <c r="I44"/>
      <c r="J44"/>
      <c r="K44"/>
      <c r="L44"/>
      <c r="M44"/>
      <c r="N44"/>
      <c r="O44"/>
    </row>
    <row r="45" spans="2:15">
      <c r="B45"/>
      <c r="C45"/>
      <c r="D45"/>
      <c r="E45"/>
      <c r="F45"/>
      <c r="G45"/>
      <c r="H45"/>
      <c r="I45"/>
      <c r="J45"/>
      <c r="K45"/>
      <c r="L45"/>
      <c r="M45"/>
      <c r="N45"/>
      <c r="O45"/>
    </row>
    <row r="46" spans="2:15">
      <c r="B46"/>
      <c r="C46"/>
      <c r="D46"/>
      <c r="E46"/>
      <c r="F46"/>
      <c r="G46"/>
      <c r="H46"/>
      <c r="I46"/>
      <c r="J46"/>
      <c r="K46"/>
      <c r="L46"/>
      <c r="M46"/>
      <c r="N46"/>
      <c r="O46"/>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8A21-D19F-43CB-932F-D2A85E6E6D08}">
  <dimension ref="B4:O41"/>
  <sheetViews>
    <sheetView workbookViewId="0">
      <selection activeCell="G12" sqref="G12"/>
    </sheetView>
  </sheetViews>
  <sheetFormatPr baseColWidth="10" defaultColWidth="9.1640625" defaultRowHeight="16"/>
  <cols>
    <col min="1" max="1" width="28.5" style="41" customWidth="1"/>
    <col min="2" max="2" width="35.5" style="41" bestFit="1" customWidth="1"/>
    <col min="3" max="14" width="11.83203125" style="41" bestFit="1" customWidth="1"/>
    <col min="15" max="15" width="13.1640625" style="41" bestFit="1" customWidth="1"/>
    <col min="16" max="16" width="15" style="41" bestFit="1" customWidth="1"/>
    <col min="17" max="17" width="14.6640625" style="41" bestFit="1" customWidth="1"/>
    <col min="18" max="18" width="15" style="41" bestFit="1" customWidth="1"/>
    <col min="19" max="19" width="14.6640625" style="41" bestFit="1" customWidth="1"/>
    <col min="20" max="20" width="15" style="41" bestFit="1" customWidth="1"/>
    <col min="21" max="21" width="14.6640625" style="41" bestFit="1" customWidth="1"/>
    <col min="22" max="22" width="15" style="41" bestFit="1" customWidth="1"/>
    <col min="23" max="23" width="14.6640625" style="41" bestFit="1" customWidth="1"/>
    <col min="24" max="24" width="15" style="41" bestFit="1" customWidth="1"/>
    <col min="25" max="25" width="14.6640625" style="41" bestFit="1" customWidth="1"/>
    <col min="26" max="26" width="15" style="41" bestFit="1" customWidth="1"/>
    <col min="27" max="27" width="19.5" style="41" bestFit="1" customWidth="1"/>
    <col min="28" max="28" width="19.6640625" style="41" bestFit="1" customWidth="1"/>
    <col min="29" max="32" width="4" style="41" bestFit="1" customWidth="1"/>
    <col min="33" max="33" width="6" style="41" bestFit="1" customWidth="1"/>
    <col min="34" max="35" width="8" style="41" bestFit="1" customWidth="1"/>
    <col min="36" max="38" width="5" style="41" bestFit="1" customWidth="1"/>
    <col min="39" max="40" width="8" style="41" bestFit="1" customWidth="1"/>
    <col min="41" max="41" width="6" style="41" bestFit="1" customWidth="1"/>
    <col min="42" max="42" width="4" style="41" bestFit="1" customWidth="1"/>
    <col min="43" max="44" width="7" style="41" bestFit="1" customWidth="1"/>
    <col min="45" max="45" width="6" style="41" bestFit="1" customWidth="1"/>
    <col min="46" max="49" width="4" style="41" bestFit="1" customWidth="1"/>
    <col min="50" max="51" width="7" style="41" bestFit="1" customWidth="1"/>
    <col min="52" max="52" width="6" style="41" bestFit="1" customWidth="1"/>
    <col min="53" max="53" width="7" style="41" bestFit="1" customWidth="1"/>
    <col min="54" max="54" width="6" style="41" bestFit="1" customWidth="1"/>
    <col min="55" max="55" width="7" style="41" bestFit="1" customWidth="1"/>
    <col min="56" max="58" width="8" style="41" bestFit="1" customWidth="1"/>
    <col min="59" max="59" width="5" style="41" bestFit="1" customWidth="1"/>
    <col min="60" max="61" width="8" style="41" bestFit="1" customWidth="1"/>
    <col min="62" max="62" width="5" style="41" bestFit="1" customWidth="1"/>
    <col min="63" max="64" width="8" style="41" bestFit="1" customWidth="1"/>
    <col min="65" max="65" width="6.6640625" style="41" bestFit="1" customWidth="1"/>
    <col min="66" max="70" width="4" style="41" bestFit="1" customWidth="1"/>
    <col min="71" max="71" width="7" style="41" bestFit="1" customWidth="1"/>
    <col min="72" max="72" width="4" style="41" bestFit="1" customWidth="1"/>
    <col min="73" max="73" width="6" style="41" bestFit="1" customWidth="1"/>
    <col min="74" max="74" width="7" style="41" bestFit="1" customWidth="1"/>
    <col min="75" max="75" width="4" style="41" bestFit="1" customWidth="1"/>
    <col min="76" max="76" width="7" style="41" bestFit="1" customWidth="1"/>
    <col min="77" max="77" width="6" style="41" bestFit="1" customWidth="1"/>
    <col min="78" max="78" width="5" style="41" bestFit="1" customWidth="1"/>
    <col min="79" max="79" width="8" style="41" bestFit="1" customWidth="1"/>
    <col min="80" max="80" width="5" style="41" bestFit="1" customWidth="1"/>
    <col min="81" max="81" width="6" style="41" bestFit="1" customWidth="1"/>
    <col min="82" max="82" width="5" style="41" bestFit="1" customWidth="1"/>
    <col min="83" max="84" width="8" style="41" bestFit="1" customWidth="1"/>
    <col min="85" max="86" width="5" style="41" bestFit="1" customWidth="1"/>
    <col min="87" max="87" width="8" style="41" bestFit="1" customWidth="1"/>
    <col min="88" max="88" width="5" style="41" bestFit="1" customWidth="1"/>
    <col min="89" max="90" width="8" style="41" bestFit="1" customWidth="1"/>
    <col min="91" max="91" width="5.83203125" style="41" bestFit="1" customWidth="1"/>
    <col min="92" max="92" width="3" style="41" bestFit="1" customWidth="1"/>
    <col min="93" max="93" width="6" style="41" bestFit="1" customWidth="1"/>
    <col min="94" max="94" width="3" style="41" bestFit="1" customWidth="1"/>
    <col min="95" max="104" width="4" style="41" bestFit="1" customWidth="1"/>
    <col min="105" max="105" width="6" style="41" bestFit="1" customWidth="1"/>
    <col min="106" max="106" width="7" style="41" bestFit="1" customWidth="1"/>
    <col min="107" max="107" width="6" style="41" bestFit="1" customWidth="1"/>
    <col min="108" max="108" width="4" style="41" bestFit="1" customWidth="1"/>
    <col min="109" max="109" width="8" style="41" bestFit="1" customWidth="1"/>
    <col min="110" max="112" width="7" style="41" bestFit="1" customWidth="1"/>
    <col min="113" max="114" width="8" style="41" bestFit="1" customWidth="1"/>
    <col min="115" max="115" width="5" style="41" bestFit="1" customWidth="1"/>
    <col min="116" max="116" width="6" style="41" bestFit="1" customWidth="1"/>
    <col min="117" max="117" width="5" style="41" bestFit="1" customWidth="1"/>
    <col min="118" max="118" width="8" style="41" bestFit="1" customWidth="1"/>
    <col min="119" max="119" width="5" style="41" bestFit="1" customWidth="1"/>
    <col min="120" max="120" width="7" style="41" bestFit="1" customWidth="1"/>
    <col min="121" max="122" width="5" style="41" bestFit="1" customWidth="1"/>
    <col min="123" max="123" width="8" style="41" bestFit="1" customWidth="1"/>
    <col min="124" max="124" width="5" style="41" bestFit="1" customWidth="1"/>
    <col min="125" max="125" width="8" style="41" bestFit="1" customWidth="1"/>
    <col min="126" max="126" width="5" style="41" bestFit="1" customWidth="1"/>
    <col min="127" max="127" width="8" style="41" bestFit="1" customWidth="1"/>
    <col min="128" max="128" width="7.6640625" style="41" bestFit="1" customWidth="1"/>
    <col min="129" max="129" width="5.6640625" style="41" bestFit="1" customWidth="1"/>
    <col min="130" max="132" width="4" style="41" bestFit="1" customWidth="1"/>
    <col min="133" max="133" width="7" style="41" bestFit="1" customWidth="1"/>
    <col min="134" max="134" width="4" style="41" bestFit="1" customWidth="1"/>
    <col min="135" max="135" width="6" style="41" bestFit="1" customWidth="1"/>
    <col min="136" max="140" width="4" style="41" bestFit="1" customWidth="1"/>
    <col min="141" max="141" width="8" style="41" bestFit="1" customWidth="1"/>
    <col min="142" max="142" width="6" style="41" bestFit="1" customWidth="1"/>
    <col min="143" max="144" width="4" style="41" bestFit="1" customWidth="1"/>
    <col min="145" max="145" width="7" style="41" bestFit="1" customWidth="1"/>
    <col min="146" max="146" width="6" style="41" bestFit="1" customWidth="1"/>
    <col min="147" max="147" width="4" style="41" bestFit="1" customWidth="1"/>
    <col min="148" max="148" width="6" style="41" bestFit="1" customWidth="1"/>
    <col min="149" max="149" width="7" style="41" bestFit="1" customWidth="1"/>
    <col min="150" max="150" width="6" style="41" bestFit="1" customWidth="1"/>
    <col min="151" max="151" width="4" style="41" bestFit="1" customWidth="1"/>
    <col min="152" max="152" width="5" style="41" bestFit="1" customWidth="1"/>
    <col min="153" max="154" width="8" style="41" bestFit="1" customWidth="1"/>
    <col min="155" max="155" width="5" style="41" bestFit="1" customWidth="1"/>
    <col min="156" max="157" width="8" style="41" bestFit="1" customWidth="1"/>
    <col min="158" max="158" width="7" style="41" bestFit="1" customWidth="1"/>
    <col min="159" max="159" width="5" style="41" bestFit="1" customWidth="1"/>
    <col min="160" max="161" width="8" style="41" bestFit="1" customWidth="1"/>
    <col min="162" max="162" width="6.33203125" style="41" bestFit="1" customWidth="1"/>
    <col min="163" max="163" width="3" style="41" bestFit="1" customWidth="1"/>
    <col min="164" max="164" width="5" style="41" bestFit="1" customWidth="1"/>
    <col min="165" max="165" width="7" style="41" bestFit="1" customWidth="1"/>
    <col min="166" max="169" width="4" style="41" bestFit="1" customWidth="1"/>
    <col min="170" max="170" width="7" style="41" bestFit="1" customWidth="1"/>
    <col min="171" max="172" width="6" style="41" bestFit="1" customWidth="1"/>
    <col min="173" max="175" width="4" style="41" bestFit="1" customWidth="1"/>
    <col min="176" max="176" width="7" style="41" bestFit="1" customWidth="1"/>
    <col min="177" max="177" width="8" style="41" bestFit="1" customWidth="1"/>
    <col min="178" max="178" width="7" style="41" bestFit="1" customWidth="1"/>
    <col min="179" max="179" width="5" style="41" bestFit="1" customWidth="1"/>
    <col min="180" max="184" width="8" style="41" bestFit="1" customWidth="1"/>
    <col min="185" max="185" width="7" style="41" bestFit="1" customWidth="1"/>
    <col min="186" max="186" width="5" style="41" bestFit="1" customWidth="1"/>
    <col min="187" max="188" width="8" style="41" bestFit="1" customWidth="1"/>
    <col min="189" max="189" width="6.1640625" style="41" bestFit="1" customWidth="1"/>
    <col min="190" max="190" width="4" style="41" bestFit="1" customWidth="1"/>
    <col min="191" max="191" width="7" style="41" bestFit="1" customWidth="1"/>
    <col min="192" max="192" width="6" style="41" bestFit="1" customWidth="1"/>
    <col min="193" max="193" width="7" style="41" bestFit="1" customWidth="1"/>
    <col min="194" max="194" width="4" style="41" bestFit="1" customWidth="1"/>
    <col min="195" max="195" width="7" style="41" bestFit="1" customWidth="1"/>
    <col min="196" max="196" width="4" style="41" bestFit="1" customWidth="1"/>
    <col min="197" max="198" width="7" style="41" bestFit="1" customWidth="1"/>
    <col min="199" max="199" width="6" style="41" bestFit="1" customWidth="1"/>
    <col min="200" max="201" width="4" style="41" bestFit="1" customWidth="1"/>
    <col min="202" max="202" width="6" style="41" bestFit="1" customWidth="1"/>
    <col min="203" max="203" width="4" style="41" bestFit="1" customWidth="1"/>
    <col min="204" max="204" width="7" style="41" bestFit="1" customWidth="1"/>
    <col min="205" max="205" width="4" style="41" bestFit="1" customWidth="1"/>
    <col min="206" max="206" width="7" style="41" bestFit="1" customWidth="1"/>
    <col min="207" max="209" width="8" style="41" bestFit="1" customWidth="1"/>
    <col min="210" max="210" width="5" style="41" bestFit="1" customWidth="1"/>
    <col min="211" max="211" width="8" style="41" bestFit="1" customWidth="1"/>
    <col min="212" max="212" width="7" style="41" bestFit="1" customWidth="1"/>
    <col min="213" max="214" width="5" style="41" bestFit="1" customWidth="1"/>
    <col min="215" max="216" width="8" style="41" bestFit="1" customWidth="1"/>
    <col min="217" max="218" width="6.6640625" style="41" bestFit="1" customWidth="1"/>
    <col min="219" max="219" width="4" style="41" bestFit="1" customWidth="1"/>
    <col min="220" max="222" width="7" style="41" bestFit="1" customWidth="1"/>
    <col min="223" max="223" width="4" style="41" bestFit="1" customWidth="1"/>
    <col min="224" max="224" width="6" style="41" bestFit="1" customWidth="1"/>
    <col min="225" max="225" width="4" style="41" bestFit="1" customWidth="1"/>
    <col min="226" max="227" width="7" style="41" bestFit="1" customWidth="1"/>
    <col min="228" max="228" width="6" style="41" bestFit="1" customWidth="1"/>
    <col min="229" max="230" width="4" style="41" bestFit="1" customWidth="1"/>
    <col min="231" max="231" width="7" style="41" bestFit="1" customWidth="1"/>
    <col min="232" max="232" width="4" style="41" bestFit="1" customWidth="1"/>
    <col min="233" max="233" width="8" style="41" bestFit="1" customWidth="1"/>
    <col min="234" max="234" width="6" style="41" bestFit="1" customWidth="1"/>
    <col min="235" max="238" width="8" style="41" bestFit="1" customWidth="1"/>
    <col min="239" max="239" width="7" style="41" bestFit="1" customWidth="1"/>
    <col min="240" max="241" width="8" style="41" bestFit="1" customWidth="1"/>
    <col min="242" max="242" width="5" style="41" bestFit="1" customWidth="1"/>
    <col min="243" max="244" width="8" style="41" bestFit="1" customWidth="1"/>
    <col min="245" max="245" width="5" style="41" bestFit="1" customWidth="1"/>
    <col min="246" max="246" width="6.5" style="41" bestFit="1" customWidth="1"/>
    <col min="247" max="247" width="7" style="41" bestFit="1" customWidth="1"/>
    <col min="248" max="248" width="4" style="41" bestFit="1" customWidth="1"/>
    <col min="249" max="249" width="6" style="41" bestFit="1" customWidth="1"/>
    <col min="250" max="251" width="4" style="41" bestFit="1" customWidth="1"/>
    <col min="252" max="252" width="6" style="41" bestFit="1" customWidth="1"/>
    <col min="253" max="253" width="7" style="41" bestFit="1" customWidth="1"/>
    <col min="254" max="256" width="4" style="41" bestFit="1" customWidth="1"/>
    <col min="257" max="257" width="7" style="41" bestFit="1" customWidth="1"/>
    <col min="258" max="258" width="6" style="41" bestFit="1" customWidth="1"/>
    <col min="259" max="261" width="4" style="41" bestFit="1" customWidth="1"/>
    <col min="262" max="262" width="7" style="41" bestFit="1" customWidth="1"/>
    <col min="263" max="263" width="4" style="41" bestFit="1" customWidth="1"/>
    <col min="264" max="267" width="8" style="41" bestFit="1" customWidth="1"/>
    <col min="268" max="268" width="7" style="41" bestFit="1" customWidth="1"/>
    <col min="269" max="269" width="5" style="41" bestFit="1" customWidth="1"/>
    <col min="270" max="270" width="8" style="41" bestFit="1" customWidth="1"/>
    <col min="271" max="271" width="7" style="41" bestFit="1" customWidth="1"/>
    <col min="272" max="272" width="5" style="41" bestFit="1" customWidth="1"/>
    <col min="273" max="273" width="7" style="41" bestFit="1" customWidth="1"/>
    <col min="274" max="274" width="6.1640625" style="41" bestFit="1" customWidth="1"/>
    <col min="275" max="275" width="7" style="41" bestFit="1" customWidth="1"/>
    <col min="276" max="276" width="6" style="41" bestFit="1" customWidth="1"/>
    <col min="277" max="277" width="4" style="41" bestFit="1" customWidth="1"/>
    <col min="278" max="278" width="7" style="41" bestFit="1" customWidth="1"/>
    <col min="279" max="279" width="4" style="41" bestFit="1" customWidth="1"/>
    <col min="280" max="280" width="7" style="41" bestFit="1" customWidth="1"/>
    <col min="281" max="282" width="4" style="41" bestFit="1" customWidth="1"/>
    <col min="283" max="283" width="7" style="41" bestFit="1" customWidth="1"/>
    <col min="284" max="284" width="6" style="41" bestFit="1" customWidth="1"/>
    <col min="285" max="285" width="4" style="41" bestFit="1" customWidth="1"/>
    <col min="286" max="286" width="8" style="41" bestFit="1" customWidth="1"/>
    <col min="287" max="287" width="7" style="41" bestFit="1" customWidth="1"/>
    <col min="288" max="288" width="4" style="41" bestFit="1" customWidth="1"/>
    <col min="289" max="289" width="7" style="41" bestFit="1" customWidth="1"/>
    <col min="290" max="290" width="4" style="41" bestFit="1" customWidth="1"/>
    <col min="291" max="293" width="8" style="41" bestFit="1" customWidth="1"/>
    <col min="294" max="294" width="5" style="41" bestFit="1" customWidth="1"/>
    <col min="295" max="296" width="8" style="41" bestFit="1" customWidth="1"/>
    <col min="297" max="297" width="7" style="41" bestFit="1" customWidth="1"/>
    <col min="298" max="298" width="5" style="41" bestFit="1" customWidth="1"/>
    <col min="299" max="300" width="8" style="41" bestFit="1" customWidth="1"/>
    <col min="301" max="301" width="7" style="41" bestFit="1" customWidth="1"/>
    <col min="302" max="302" width="11" style="41" bestFit="1" customWidth="1"/>
    <col min="303" max="16384" width="9.1640625" style="41"/>
  </cols>
  <sheetData>
    <row r="4" spans="2:15">
      <c r="B4" s="56" t="s">
        <v>543</v>
      </c>
      <c r="C4" s="56" t="s">
        <v>528</v>
      </c>
    </row>
    <row r="5" spans="2:15">
      <c r="B5" s="56" t="s">
        <v>544</v>
      </c>
      <c r="C5" s="41" t="s">
        <v>529</v>
      </c>
      <c r="D5" s="41" t="s">
        <v>530</v>
      </c>
      <c r="E5" s="41" t="s">
        <v>531</v>
      </c>
      <c r="F5" s="41" t="s">
        <v>532</v>
      </c>
      <c r="G5" s="41" t="s">
        <v>533</v>
      </c>
      <c r="H5" s="41" t="s">
        <v>534</v>
      </c>
      <c r="I5" s="41" t="s">
        <v>535</v>
      </c>
      <c r="J5" s="41" t="s">
        <v>536</v>
      </c>
      <c r="K5" s="41" t="s">
        <v>537</v>
      </c>
      <c r="L5" s="41" t="s">
        <v>538</v>
      </c>
      <c r="M5" s="41" t="s">
        <v>539</v>
      </c>
      <c r="N5" s="41" t="s">
        <v>540</v>
      </c>
      <c r="O5" s="41" t="s">
        <v>541</v>
      </c>
    </row>
    <row r="6" spans="2:15">
      <c r="B6" s="60" t="s">
        <v>737</v>
      </c>
      <c r="C6" s="59"/>
      <c r="D6" s="59"/>
      <c r="E6" s="59"/>
      <c r="F6" s="59"/>
      <c r="G6" s="59"/>
      <c r="H6" s="59">
        <v>0</v>
      </c>
      <c r="I6" s="59"/>
      <c r="J6" s="59"/>
      <c r="K6" s="59"/>
      <c r="L6" s="59"/>
      <c r="M6" s="59"/>
      <c r="N6" s="59"/>
      <c r="O6" s="59">
        <v>0</v>
      </c>
    </row>
    <row r="7" spans="2:15">
      <c r="B7" s="60" t="s">
        <v>208</v>
      </c>
      <c r="C7" s="59">
        <v>1257.3600000000001</v>
      </c>
      <c r="D7" s="59"/>
      <c r="E7" s="59">
        <v>587.82000000000005</v>
      </c>
      <c r="F7" s="59">
        <v>295.74</v>
      </c>
      <c r="G7" s="59">
        <v>0</v>
      </c>
      <c r="H7" s="59">
        <v>478.33</v>
      </c>
      <c r="I7" s="59">
        <v>381.94</v>
      </c>
      <c r="J7" s="59"/>
      <c r="K7" s="59"/>
      <c r="L7" s="59"/>
      <c r="M7" s="59"/>
      <c r="N7" s="59"/>
      <c r="O7" s="59">
        <v>3001.19</v>
      </c>
    </row>
    <row r="8" spans="2:15">
      <c r="B8" s="60" t="s">
        <v>482</v>
      </c>
      <c r="C8" s="59">
        <v>259</v>
      </c>
      <c r="D8" s="59">
        <v>259</v>
      </c>
      <c r="E8" s="59">
        <v>259</v>
      </c>
      <c r="F8" s="59">
        <v>259</v>
      </c>
      <c r="G8" s="59">
        <v>259</v>
      </c>
      <c r="H8" s="59">
        <v>259</v>
      </c>
      <c r="I8" s="59">
        <v>259.5</v>
      </c>
      <c r="J8" s="59">
        <v>259.5</v>
      </c>
      <c r="K8" s="59">
        <v>259.5</v>
      </c>
      <c r="L8" s="59">
        <v>259.5</v>
      </c>
      <c r="M8" s="59">
        <v>259.5</v>
      </c>
      <c r="N8" s="59">
        <v>259.5</v>
      </c>
      <c r="O8" s="59">
        <v>3111</v>
      </c>
    </row>
    <row r="9" spans="2:15">
      <c r="B9" s="60" t="s">
        <v>225</v>
      </c>
      <c r="C9" s="59">
        <v>299</v>
      </c>
      <c r="D9" s="59">
        <v>299</v>
      </c>
      <c r="E9" s="59">
        <v>299</v>
      </c>
      <c r="F9" s="59">
        <v>299</v>
      </c>
      <c r="G9" s="59">
        <v>299</v>
      </c>
      <c r="H9" s="59">
        <v>299</v>
      </c>
      <c r="I9" s="59">
        <v>299</v>
      </c>
      <c r="J9" s="59">
        <v>299</v>
      </c>
      <c r="K9" s="59">
        <v>299</v>
      </c>
      <c r="L9" s="59">
        <v>299</v>
      </c>
      <c r="M9" s="59">
        <v>299</v>
      </c>
      <c r="N9" s="59">
        <v>299</v>
      </c>
      <c r="O9" s="59">
        <v>3588</v>
      </c>
    </row>
    <row r="10" spans="2:15">
      <c r="B10" s="60" t="s">
        <v>305</v>
      </c>
      <c r="C10" s="59">
        <v>0</v>
      </c>
      <c r="D10" s="59">
        <v>698</v>
      </c>
      <c r="E10" s="59">
        <v>0</v>
      </c>
      <c r="F10" s="59">
        <v>0</v>
      </c>
      <c r="G10" s="59">
        <v>528</v>
      </c>
      <c r="H10" s="59">
        <v>244</v>
      </c>
      <c r="I10" s="59">
        <v>1355</v>
      </c>
      <c r="J10" s="59"/>
      <c r="K10" s="59"/>
      <c r="L10" s="59"/>
      <c r="M10" s="59"/>
      <c r="N10" s="59"/>
      <c r="O10" s="59">
        <v>2825</v>
      </c>
    </row>
    <row r="11" spans="2:15">
      <c r="B11" s="60" t="s">
        <v>348</v>
      </c>
      <c r="C11" s="59">
        <v>0</v>
      </c>
      <c r="D11" s="59">
        <v>0</v>
      </c>
      <c r="E11" s="59">
        <v>0</v>
      </c>
      <c r="F11" s="59">
        <v>0</v>
      </c>
      <c r="G11" s="59">
        <v>0</v>
      </c>
      <c r="H11" s="59">
        <v>0</v>
      </c>
      <c r="I11" s="59">
        <v>0</v>
      </c>
      <c r="J11" s="59">
        <v>0</v>
      </c>
      <c r="K11" s="59">
        <v>0</v>
      </c>
      <c r="L11" s="59">
        <v>0</v>
      </c>
      <c r="M11" s="59">
        <v>0</v>
      </c>
      <c r="N11" s="59">
        <v>0</v>
      </c>
      <c r="O11" s="59">
        <v>0</v>
      </c>
    </row>
    <row r="12" spans="2:15">
      <c r="B12" s="60" t="s">
        <v>373</v>
      </c>
      <c r="C12" s="59">
        <v>0</v>
      </c>
      <c r="D12" s="59">
        <v>0</v>
      </c>
      <c r="E12" s="59">
        <v>0</v>
      </c>
      <c r="F12" s="59">
        <v>0</v>
      </c>
      <c r="G12" s="59">
        <v>0</v>
      </c>
      <c r="H12" s="59">
        <v>0</v>
      </c>
      <c r="I12" s="59">
        <v>0</v>
      </c>
      <c r="J12" s="59">
        <v>0</v>
      </c>
      <c r="K12" s="59">
        <v>0</v>
      </c>
      <c r="L12" s="59">
        <v>0</v>
      </c>
      <c r="M12" s="59"/>
      <c r="N12" s="59"/>
      <c r="O12" s="59">
        <v>0</v>
      </c>
    </row>
    <row r="13" spans="2:15">
      <c r="B13" s="60" t="s">
        <v>345</v>
      </c>
      <c r="C13" s="59">
        <v>637</v>
      </c>
      <c r="D13" s="59">
        <v>848.93499999999995</v>
      </c>
      <c r="E13" s="59">
        <v>1763.73</v>
      </c>
      <c r="F13" s="59">
        <v>0</v>
      </c>
      <c r="G13" s="59">
        <v>925</v>
      </c>
      <c r="H13" s="59">
        <v>661.5</v>
      </c>
      <c r="I13" s="59">
        <v>0</v>
      </c>
      <c r="J13" s="59">
        <v>0</v>
      </c>
      <c r="K13" s="59">
        <v>0</v>
      </c>
      <c r="L13" s="59">
        <v>0</v>
      </c>
      <c r="M13" s="59">
        <v>0</v>
      </c>
      <c r="N13" s="59">
        <v>0</v>
      </c>
      <c r="O13" s="59">
        <v>4836.165</v>
      </c>
    </row>
    <row r="14" spans="2:15">
      <c r="B14" s="60" t="s">
        <v>357</v>
      </c>
      <c r="C14" s="59">
        <v>0</v>
      </c>
      <c r="D14" s="59">
        <v>0</v>
      </c>
      <c r="E14" s="59">
        <v>0</v>
      </c>
      <c r="F14" s="59">
        <v>0</v>
      </c>
      <c r="G14" s="59">
        <v>0</v>
      </c>
      <c r="H14" s="59">
        <v>0</v>
      </c>
      <c r="I14" s="59">
        <v>0</v>
      </c>
      <c r="J14" s="59">
        <v>0</v>
      </c>
      <c r="K14" s="59">
        <v>0</v>
      </c>
      <c r="L14" s="59">
        <v>0</v>
      </c>
      <c r="M14" s="59"/>
      <c r="N14" s="59"/>
      <c r="O14" s="59">
        <v>0</v>
      </c>
    </row>
    <row r="15" spans="2:15">
      <c r="B15" s="60" t="s">
        <v>298</v>
      </c>
      <c r="C15" s="59">
        <v>0</v>
      </c>
      <c r="D15" s="59">
        <v>0</v>
      </c>
      <c r="E15" s="59">
        <v>0</v>
      </c>
      <c r="F15" s="59">
        <v>0</v>
      </c>
      <c r="G15" s="59">
        <v>0</v>
      </c>
      <c r="H15" s="59">
        <v>0</v>
      </c>
      <c r="I15" s="59">
        <v>0</v>
      </c>
      <c r="J15" s="59">
        <v>0</v>
      </c>
      <c r="K15" s="59">
        <v>0</v>
      </c>
      <c r="L15" s="59">
        <v>0</v>
      </c>
      <c r="M15" s="59">
        <v>0</v>
      </c>
      <c r="N15" s="59">
        <v>0</v>
      </c>
      <c r="O15" s="59">
        <v>0</v>
      </c>
    </row>
    <row r="16" spans="2:15">
      <c r="B16" s="60" t="s">
        <v>697</v>
      </c>
      <c r="C16" s="59"/>
      <c r="D16" s="59"/>
      <c r="E16" s="59">
        <v>0</v>
      </c>
      <c r="F16" s="59">
        <v>395</v>
      </c>
      <c r="G16" s="59">
        <v>2732</v>
      </c>
      <c r="H16" s="59">
        <v>7963.15</v>
      </c>
      <c r="I16" s="59">
        <v>579.15000000000009</v>
      </c>
      <c r="J16" s="59">
        <v>1338.15</v>
      </c>
      <c r="K16" s="59">
        <v>1338.15</v>
      </c>
      <c r="L16" s="59">
        <v>1338.15</v>
      </c>
      <c r="M16" s="59">
        <v>1338.15</v>
      </c>
      <c r="N16" s="59">
        <v>1338.15</v>
      </c>
      <c r="O16" s="59">
        <v>18360.05</v>
      </c>
    </row>
    <row r="17" spans="2:15">
      <c r="B17" s="60" t="s">
        <v>541</v>
      </c>
      <c r="C17" s="59">
        <v>2452.36</v>
      </c>
      <c r="D17" s="59">
        <v>2104.9349999999999</v>
      </c>
      <c r="E17" s="59">
        <v>2909.55</v>
      </c>
      <c r="F17" s="59">
        <v>1248.74</v>
      </c>
      <c r="G17" s="59">
        <v>4743</v>
      </c>
      <c r="H17" s="59">
        <v>9904.98</v>
      </c>
      <c r="I17" s="59">
        <v>2874.59</v>
      </c>
      <c r="J17" s="59">
        <v>1896.65</v>
      </c>
      <c r="K17" s="59">
        <v>1896.65</v>
      </c>
      <c r="L17" s="59">
        <v>1896.65</v>
      </c>
      <c r="M17" s="59">
        <v>1896.65</v>
      </c>
      <c r="N17" s="59">
        <v>1896.65</v>
      </c>
      <c r="O17" s="59">
        <v>35721.404999999999</v>
      </c>
    </row>
    <row r="18" spans="2:15">
      <c r="B18"/>
      <c r="C18"/>
      <c r="D18"/>
      <c r="E18"/>
      <c r="F18"/>
      <c r="G18"/>
      <c r="H18"/>
      <c r="I18"/>
      <c r="J18"/>
      <c r="K18"/>
      <c r="L18"/>
      <c r="M18"/>
      <c r="N18"/>
      <c r="O18"/>
    </row>
    <row r="19" spans="2:15">
      <c r="B19"/>
      <c r="C19"/>
      <c r="D19"/>
      <c r="E19"/>
      <c r="F19"/>
      <c r="G19"/>
      <c r="H19"/>
      <c r="I19"/>
      <c r="J19"/>
      <c r="K19"/>
      <c r="L19"/>
      <c r="M19"/>
      <c r="N19"/>
      <c r="O19"/>
    </row>
    <row r="20" spans="2:15">
      <c r="B20"/>
      <c r="C20"/>
      <c r="D20"/>
      <c r="E20"/>
      <c r="F20"/>
      <c r="G20"/>
      <c r="H20"/>
      <c r="I20"/>
      <c r="J20"/>
      <c r="K20"/>
      <c r="L20"/>
      <c r="M20"/>
      <c r="N20"/>
      <c r="O20"/>
    </row>
    <row r="21" spans="2:15">
      <c r="B21"/>
      <c r="C21"/>
      <c r="D21"/>
      <c r="E21"/>
      <c r="F21"/>
      <c r="G21"/>
      <c r="H21"/>
      <c r="I21"/>
      <c r="J21"/>
      <c r="K21"/>
      <c r="L21"/>
      <c r="M21"/>
      <c r="N21"/>
      <c r="O21"/>
    </row>
    <row r="22" spans="2:15">
      <c r="B22"/>
      <c r="C22"/>
      <c r="D22"/>
      <c r="E22"/>
      <c r="F22"/>
      <c r="G22"/>
      <c r="H22"/>
      <c r="I22"/>
      <c r="J22"/>
      <c r="K22"/>
      <c r="L22"/>
      <c r="M22"/>
      <c r="N22"/>
      <c r="O22"/>
    </row>
    <row r="23" spans="2:15">
      <c r="B23"/>
      <c r="C23"/>
      <c r="D23"/>
      <c r="E23"/>
      <c r="F23"/>
      <c r="G23"/>
      <c r="H23"/>
      <c r="I23"/>
      <c r="J23"/>
      <c r="K23"/>
      <c r="L23"/>
      <c r="M23"/>
      <c r="N23"/>
      <c r="O23"/>
    </row>
    <row r="24" spans="2:15">
      <c r="B24"/>
      <c r="C24"/>
      <c r="D24"/>
      <c r="E24"/>
      <c r="F24"/>
      <c r="G24"/>
      <c r="H24"/>
      <c r="I24"/>
      <c r="J24"/>
      <c r="K24"/>
      <c r="L24"/>
      <c r="M24"/>
      <c r="N24"/>
      <c r="O24"/>
    </row>
    <row r="25" spans="2:15">
      <c r="B25"/>
      <c r="C25"/>
      <c r="D25"/>
      <c r="E25"/>
      <c r="F25"/>
      <c r="G25"/>
      <c r="H25"/>
      <c r="I25"/>
      <c r="J25"/>
      <c r="K25"/>
      <c r="L25"/>
      <c r="M25"/>
      <c r="N25"/>
      <c r="O25"/>
    </row>
    <row r="26" spans="2:15">
      <c r="B26"/>
      <c r="C26"/>
      <c r="D26"/>
      <c r="E26"/>
      <c r="F26"/>
      <c r="G26"/>
      <c r="H26"/>
      <c r="I26"/>
      <c r="J26"/>
      <c r="K26"/>
      <c r="L26"/>
      <c r="M26"/>
      <c r="N26"/>
      <c r="O26"/>
    </row>
    <row r="27" spans="2:15">
      <c r="B27"/>
      <c r="C27"/>
      <c r="D27"/>
      <c r="E27"/>
      <c r="F27"/>
      <c r="G27"/>
      <c r="H27"/>
      <c r="I27"/>
      <c r="J27"/>
      <c r="K27"/>
      <c r="L27"/>
      <c r="M27"/>
      <c r="N27"/>
      <c r="O27"/>
    </row>
    <row r="28" spans="2:15">
      <c r="B28"/>
      <c r="C28"/>
      <c r="D28"/>
      <c r="E28"/>
      <c r="F28"/>
      <c r="G28"/>
      <c r="H28"/>
      <c r="I28"/>
      <c r="J28"/>
      <c r="K28"/>
      <c r="L28"/>
      <c r="M28"/>
      <c r="N28"/>
      <c r="O28"/>
    </row>
    <row r="29" spans="2:15">
      <c r="B29"/>
      <c r="C29"/>
      <c r="D29"/>
      <c r="E29"/>
      <c r="F29"/>
      <c r="G29"/>
      <c r="H29"/>
      <c r="I29"/>
      <c r="J29"/>
      <c r="K29"/>
      <c r="L29"/>
      <c r="M29"/>
      <c r="N29"/>
      <c r="O29"/>
    </row>
    <row r="30" spans="2:15">
      <c r="B30"/>
      <c r="C30"/>
      <c r="D30"/>
      <c r="E30"/>
      <c r="F30"/>
      <c r="G30"/>
      <c r="H30"/>
      <c r="I30"/>
      <c r="J30"/>
      <c r="K30"/>
      <c r="L30"/>
      <c r="M30"/>
      <c r="N30"/>
      <c r="O30"/>
    </row>
    <row r="31" spans="2:15">
      <c r="B31"/>
      <c r="C31"/>
      <c r="D31"/>
      <c r="E31"/>
      <c r="F31"/>
      <c r="G31"/>
      <c r="H31"/>
      <c r="I31"/>
      <c r="J31"/>
      <c r="K31"/>
      <c r="L31"/>
      <c r="M31"/>
      <c r="N31"/>
      <c r="O31"/>
    </row>
    <row r="32" spans="2:15">
      <c r="B32"/>
      <c r="C32"/>
      <c r="D32"/>
      <c r="E32"/>
      <c r="F32"/>
      <c r="G32"/>
      <c r="H32"/>
      <c r="I32"/>
      <c r="J32"/>
      <c r="K32"/>
      <c r="L32"/>
      <c r="M32"/>
      <c r="N32"/>
      <c r="O32"/>
    </row>
    <row r="33" spans="2:15">
      <c r="B33"/>
      <c r="C33"/>
      <c r="D33"/>
      <c r="E33"/>
      <c r="F33"/>
      <c r="G33"/>
      <c r="H33"/>
      <c r="I33"/>
      <c r="J33"/>
      <c r="K33"/>
      <c r="L33"/>
      <c r="M33"/>
      <c r="N33"/>
      <c r="O33"/>
    </row>
    <row r="34" spans="2:15">
      <c r="B34"/>
      <c r="C34"/>
      <c r="D34"/>
      <c r="E34"/>
      <c r="F34"/>
      <c r="G34"/>
      <c r="H34"/>
      <c r="I34"/>
      <c r="J34"/>
      <c r="K34"/>
      <c r="L34"/>
      <c r="M34"/>
      <c r="N34"/>
      <c r="O34"/>
    </row>
    <row r="35" spans="2:15">
      <c r="B35"/>
      <c r="C35"/>
      <c r="D35"/>
      <c r="E35"/>
      <c r="F35"/>
      <c r="G35"/>
      <c r="H35"/>
      <c r="I35"/>
      <c r="J35"/>
      <c r="K35"/>
      <c r="L35"/>
      <c r="M35"/>
      <c r="N35"/>
      <c r="O35"/>
    </row>
    <row r="36" spans="2:15">
      <c r="B36"/>
      <c r="C36"/>
      <c r="D36"/>
      <c r="E36"/>
      <c r="F36"/>
      <c r="G36"/>
      <c r="H36"/>
      <c r="I36"/>
      <c r="J36"/>
      <c r="K36"/>
      <c r="L36"/>
      <c r="M36"/>
      <c r="N36"/>
      <c r="O36"/>
    </row>
    <row r="37" spans="2:15">
      <c r="B37"/>
      <c r="C37"/>
      <c r="D37"/>
      <c r="E37"/>
      <c r="F37"/>
      <c r="G37"/>
      <c r="H37"/>
      <c r="I37"/>
      <c r="J37"/>
      <c r="K37"/>
      <c r="L37"/>
      <c r="M37"/>
      <c r="N37"/>
      <c r="O37"/>
    </row>
    <row r="38" spans="2:15">
      <c r="B38"/>
      <c r="C38"/>
      <c r="D38"/>
      <c r="E38"/>
      <c r="F38"/>
      <c r="G38"/>
      <c r="H38"/>
      <c r="I38"/>
      <c r="J38"/>
      <c r="K38"/>
      <c r="L38"/>
      <c r="M38"/>
      <c r="N38"/>
      <c r="O38"/>
    </row>
    <row r="39" spans="2:15">
      <c r="B39"/>
      <c r="C39"/>
      <c r="D39"/>
      <c r="E39"/>
      <c r="F39"/>
      <c r="G39"/>
      <c r="H39"/>
      <c r="I39"/>
      <c r="J39"/>
      <c r="K39"/>
      <c r="L39"/>
      <c r="M39"/>
      <c r="N39"/>
      <c r="O39"/>
    </row>
    <row r="40" spans="2:15">
      <c r="B40"/>
      <c r="C40"/>
      <c r="D40"/>
      <c r="E40"/>
      <c r="F40"/>
      <c r="G40"/>
      <c r="H40"/>
      <c r="I40"/>
      <c r="J40"/>
      <c r="K40"/>
      <c r="L40"/>
      <c r="M40"/>
      <c r="N40"/>
      <c r="O40"/>
    </row>
    <row r="41" spans="2:15">
      <c r="B41"/>
      <c r="C41"/>
      <c r="D41"/>
      <c r="E41"/>
      <c r="F41"/>
      <c r="G41"/>
      <c r="H41"/>
      <c r="I41"/>
      <c r="J41"/>
      <c r="K41"/>
      <c r="L41"/>
      <c r="M41"/>
      <c r="N41"/>
      <c r="O41"/>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8B87-2AF6-4EC3-BE79-4974F3557596}">
  <dimension ref="B1:O26"/>
  <sheetViews>
    <sheetView workbookViewId="0">
      <selection activeCell="M9" sqref="M9"/>
    </sheetView>
  </sheetViews>
  <sheetFormatPr baseColWidth="10" defaultColWidth="9.1640625" defaultRowHeight="16"/>
  <cols>
    <col min="1" max="1" width="31.33203125" style="42" customWidth="1"/>
    <col min="2" max="2" width="35.83203125" style="42" bestFit="1" customWidth="1"/>
    <col min="3" max="3" width="20.1640625" style="42" bestFit="1" customWidth="1"/>
    <col min="4" max="14" width="11.83203125" style="42" bestFit="1" customWidth="1"/>
    <col min="15" max="15" width="13.1640625" style="42" bestFit="1" customWidth="1"/>
    <col min="16" max="16384" width="9.1640625" style="42"/>
  </cols>
  <sheetData>
    <row r="1" spans="2:15">
      <c r="B1" s="43" t="s">
        <v>202</v>
      </c>
      <c r="C1" s="42" t="s" vm="1">
        <v>545</v>
      </c>
    </row>
    <row r="3" spans="2:15">
      <c r="B3" s="43" t="s">
        <v>542</v>
      </c>
      <c r="C3" s="43" t="s">
        <v>528</v>
      </c>
    </row>
    <row r="4" spans="2:15">
      <c r="B4" s="43" t="s">
        <v>201</v>
      </c>
      <c r="C4" s="42" t="s">
        <v>529</v>
      </c>
      <c r="D4" s="42" t="s">
        <v>530</v>
      </c>
      <c r="E4" s="42" t="s">
        <v>531</v>
      </c>
      <c r="F4" s="42" t="s">
        <v>532</v>
      </c>
      <c r="G4" s="42" t="s">
        <v>533</v>
      </c>
      <c r="H4" s="42" t="s">
        <v>534</v>
      </c>
      <c r="I4" s="42" t="s">
        <v>535</v>
      </c>
      <c r="J4" s="42" t="s">
        <v>536</v>
      </c>
      <c r="K4" s="42" t="s">
        <v>537</v>
      </c>
      <c r="L4" s="42" t="s">
        <v>538</v>
      </c>
      <c r="M4" s="42" t="s">
        <v>539</v>
      </c>
      <c r="N4" s="42" t="s">
        <v>540</v>
      </c>
      <c r="O4" s="42" t="s">
        <v>541</v>
      </c>
    </row>
    <row r="5" spans="2:15">
      <c r="B5" s="44" t="s">
        <v>483</v>
      </c>
      <c r="C5" s="45">
        <v>89</v>
      </c>
      <c r="D5" s="45">
        <v>89</v>
      </c>
      <c r="E5" s="45">
        <v>89</v>
      </c>
      <c r="F5" s="45">
        <v>89</v>
      </c>
      <c r="G5" s="45">
        <v>89</v>
      </c>
      <c r="H5" s="45">
        <v>89</v>
      </c>
      <c r="I5" s="45">
        <v>89</v>
      </c>
      <c r="J5" s="45">
        <v>89</v>
      </c>
      <c r="K5" s="45">
        <v>89</v>
      </c>
      <c r="L5" s="45">
        <v>89</v>
      </c>
      <c r="M5" s="45">
        <v>89</v>
      </c>
      <c r="N5" s="45">
        <v>89</v>
      </c>
      <c r="O5" s="45">
        <v>1068</v>
      </c>
    </row>
    <row r="6" spans="2:15">
      <c r="B6" s="44" t="s">
        <v>633</v>
      </c>
      <c r="C6" s="45">
        <v>1360.83</v>
      </c>
      <c r="D6" s="45">
        <v>1360.83</v>
      </c>
      <c r="E6" s="45">
        <v>1360.83</v>
      </c>
      <c r="F6" s="45">
        <v>1360.83</v>
      </c>
      <c r="G6" s="45">
        <v>1360.83</v>
      </c>
      <c r="H6" s="45">
        <v>1360.83</v>
      </c>
      <c r="I6" s="45">
        <v>1360.83</v>
      </c>
      <c r="J6" s="45">
        <v>1360.83</v>
      </c>
      <c r="K6" s="45">
        <v>1360.83</v>
      </c>
      <c r="L6" s="45">
        <v>1360.83</v>
      </c>
      <c r="M6" s="45">
        <v>1360.83</v>
      </c>
      <c r="N6" s="45">
        <v>1360.83</v>
      </c>
      <c r="O6" s="45">
        <v>16329.96</v>
      </c>
    </row>
    <row r="7" spans="2:15">
      <c r="B7" s="44" t="s">
        <v>694</v>
      </c>
      <c r="C7" s="45"/>
      <c r="D7" s="45"/>
      <c r="E7" s="45">
        <v>1267.58</v>
      </c>
      <c r="F7" s="45">
        <v>1267.58</v>
      </c>
      <c r="G7" s="45">
        <v>1267.58</v>
      </c>
      <c r="H7" s="45">
        <v>1267.58</v>
      </c>
      <c r="I7" s="45">
        <v>1267.5899999999999</v>
      </c>
      <c r="J7" s="45">
        <v>1267.5899999999999</v>
      </c>
      <c r="K7" s="45">
        <v>1267.5899999999999</v>
      </c>
      <c r="L7" s="45">
        <v>1267.5899999999999</v>
      </c>
      <c r="M7" s="45">
        <v>1267.5899999999999</v>
      </c>
      <c r="N7" s="45">
        <v>1267.5899999999999</v>
      </c>
      <c r="O7" s="45">
        <v>12675.86</v>
      </c>
    </row>
    <row r="8" spans="2:15">
      <c r="B8" s="44" t="s">
        <v>670</v>
      </c>
      <c r="C8" s="45">
        <v>2397.5</v>
      </c>
      <c r="D8" s="45">
        <v>2397.5</v>
      </c>
      <c r="E8" s="45">
        <v>2397.5</v>
      </c>
      <c r="F8" s="45">
        <v>2397.5</v>
      </c>
      <c r="G8" s="45">
        <v>2397.5</v>
      </c>
      <c r="H8" s="45"/>
      <c r="I8" s="45"/>
      <c r="J8" s="45"/>
      <c r="K8" s="45"/>
      <c r="L8" s="45"/>
      <c r="M8" s="45"/>
      <c r="N8" s="45"/>
      <c r="O8" s="45">
        <v>11987.5</v>
      </c>
    </row>
    <row r="9" spans="2:15">
      <c r="B9" s="44" t="s">
        <v>440</v>
      </c>
      <c r="C9" s="45">
        <v>523.66999999999996</v>
      </c>
      <c r="D9" s="45">
        <v>523.66</v>
      </c>
      <c r="E9" s="45"/>
      <c r="F9" s="45"/>
      <c r="G9" s="45"/>
      <c r="H9" s="45"/>
      <c r="I9" s="45"/>
      <c r="J9" s="45"/>
      <c r="K9" s="45"/>
      <c r="L9" s="45"/>
      <c r="M9" s="45"/>
      <c r="N9" s="45"/>
      <c r="O9" s="45">
        <v>1047.33</v>
      </c>
    </row>
    <row r="10" spans="2:15">
      <c r="B10" s="44" t="s">
        <v>688</v>
      </c>
      <c r="C10" s="45"/>
      <c r="D10" s="45">
        <v>1247.76</v>
      </c>
      <c r="E10" s="45">
        <v>1247.76</v>
      </c>
      <c r="F10" s="45">
        <v>1249.17</v>
      </c>
      <c r="G10" s="45"/>
      <c r="H10" s="45"/>
      <c r="I10" s="45"/>
      <c r="J10" s="45"/>
      <c r="K10" s="45"/>
      <c r="L10" s="45"/>
      <c r="M10" s="45"/>
      <c r="N10" s="45"/>
      <c r="O10" s="45">
        <v>3744.69</v>
      </c>
    </row>
    <row r="11" spans="2:15">
      <c r="B11" s="44" t="s">
        <v>734</v>
      </c>
      <c r="C11" s="45"/>
      <c r="D11" s="45"/>
      <c r="E11" s="45"/>
      <c r="F11" s="45"/>
      <c r="G11" s="45"/>
      <c r="H11" s="45">
        <v>1338.15</v>
      </c>
      <c r="I11" s="45">
        <v>1338.15</v>
      </c>
      <c r="J11" s="45">
        <v>1338.15</v>
      </c>
      <c r="K11" s="45">
        <v>1338.15</v>
      </c>
      <c r="L11" s="45">
        <v>1338.15</v>
      </c>
      <c r="M11" s="45">
        <v>1338.15</v>
      </c>
      <c r="N11" s="45">
        <v>1338.15</v>
      </c>
      <c r="O11" s="45">
        <v>9367.0499999999993</v>
      </c>
    </row>
    <row r="12" spans="2:15">
      <c r="B12" s="44" t="s">
        <v>707</v>
      </c>
      <c r="C12" s="45"/>
      <c r="D12" s="45"/>
      <c r="E12" s="45"/>
      <c r="F12" s="45">
        <v>164</v>
      </c>
      <c r="G12" s="45">
        <v>164</v>
      </c>
      <c r="H12" s="45">
        <v>164</v>
      </c>
      <c r="I12" s="45"/>
      <c r="J12" s="45"/>
      <c r="K12" s="45"/>
      <c r="L12" s="45"/>
      <c r="M12" s="45"/>
      <c r="N12" s="45"/>
      <c r="O12" s="45">
        <v>492</v>
      </c>
    </row>
    <row r="13" spans="2:15">
      <c r="B13" s="44" t="s">
        <v>730</v>
      </c>
      <c r="C13" s="45"/>
      <c r="D13" s="45"/>
      <c r="E13" s="45"/>
      <c r="F13" s="45"/>
      <c r="G13" s="45"/>
      <c r="H13" s="45"/>
      <c r="I13" s="45">
        <v>172.33</v>
      </c>
      <c r="J13" s="45">
        <v>172.33</v>
      </c>
      <c r="K13" s="45">
        <v>172.34</v>
      </c>
      <c r="L13" s="45"/>
      <c r="M13" s="45"/>
      <c r="N13" s="45"/>
      <c r="O13" s="45">
        <v>517</v>
      </c>
    </row>
    <row r="14" spans="2:15">
      <c r="B14" s="44" t="s">
        <v>689</v>
      </c>
      <c r="C14" s="45">
        <v>378.1</v>
      </c>
      <c r="D14" s="45">
        <v>378.1</v>
      </c>
      <c r="E14" s="45">
        <v>378.1</v>
      </c>
      <c r="F14" s="45">
        <v>378.1</v>
      </c>
      <c r="G14" s="45">
        <v>378.1</v>
      </c>
      <c r="H14" s="45">
        <v>378.1</v>
      </c>
      <c r="I14" s="45">
        <v>378.1</v>
      </c>
      <c r="J14" s="45">
        <v>378.1</v>
      </c>
      <c r="K14" s="45">
        <v>378.1</v>
      </c>
      <c r="L14" s="45">
        <v>378.1</v>
      </c>
      <c r="M14" s="45"/>
      <c r="N14" s="45"/>
      <c r="O14" s="45">
        <v>3780.9999999999995</v>
      </c>
    </row>
    <row r="15" spans="2:15">
      <c r="B15" s="44" t="s">
        <v>513</v>
      </c>
      <c r="C15" s="45"/>
      <c r="D15" s="45"/>
      <c r="E15" s="45"/>
      <c r="F15" s="45"/>
      <c r="G15" s="45"/>
      <c r="H15" s="45">
        <v>59</v>
      </c>
      <c r="I15" s="45">
        <v>59</v>
      </c>
      <c r="J15" s="45">
        <v>59</v>
      </c>
      <c r="K15" s="45"/>
      <c r="L15" s="45"/>
      <c r="M15" s="45"/>
      <c r="N15" s="45"/>
      <c r="O15" s="45">
        <v>177</v>
      </c>
    </row>
    <row r="16" spans="2:15">
      <c r="B16" s="44" t="s">
        <v>497</v>
      </c>
      <c r="C16" s="45">
        <v>180</v>
      </c>
      <c r="D16" s="45">
        <v>180</v>
      </c>
      <c r="E16" s="45">
        <v>180</v>
      </c>
      <c r="F16" s="45">
        <v>180</v>
      </c>
      <c r="G16" s="45">
        <v>180</v>
      </c>
      <c r="H16" s="45">
        <v>180</v>
      </c>
      <c r="I16" s="45">
        <v>179.5</v>
      </c>
      <c r="J16" s="45">
        <v>179.5</v>
      </c>
      <c r="K16" s="45">
        <v>179.5</v>
      </c>
      <c r="L16" s="45">
        <v>179.5</v>
      </c>
      <c r="M16" s="45">
        <v>179.5</v>
      </c>
      <c r="N16" s="45">
        <v>179.5</v>
      </c>
      <c r="O16" s="45">
        <v>2157</v>
      </c>
    </row>
    <row r="17" spans="2:15">
      <c r="B17" s="44" t="s">
        <v>716</v>
      </c>
      <c r="C17" s="45"/>
      <c r="D17" s="45"/>
      <c r="E17" s="45"/>
      <c r="F17" s="45"/>
      <c r="G17" s="45"/>
      <c r="H17" s="45"/>
      <c r="I17" s="45"/>
      <c r="J17" s="45">
        <v>193.67</v>
      </c>
      <c r="K17" s="45">
        <v>193.67</v>
      </c>
      <c r="L17" s="45">
        <v>193.66</v>
      </c>
      <c r="M17" s="45"/>
      <c r="N17" s="45"/>
      <c r="O17" s="45">
        <v>581</v>
      </c>
    </row>
    <row r="18" spans="2:15">
      <c r="B18" s="44" t="s">
        <v>729</v>
      </c>
      <c r="C18" s="45"/>
      <c r="D18" s="45"/>
      <c r="E18" s="45"/>
      <c r="F18" s="45"/>
      <c r="G18" s="45"/>
      <c r="H18" s="45"/>
      <c r="I18" s="45">
        <v>96</v>
      </c>
      <c r="J18" s="45">
        <v>96</v>
      </c>
      <c r="K18" s="45">
        <v>96</v>
      </c>
      <c r="L18" s="45"/>
      <c r="M18" s="45"/>
      <c r="N18" s="45"/>
      <c r="O18" s="45">
        <v>288</v>
      </c>
    </row>
    <row r="19" spans="2:15">
      <c r="B19" s="44" t="s">
        <v>541</v>
      </c>
      <c r="C19" s="45">
        <v>4929.1000000000004</v>
      </c>
      <c r="D19" s="45">
        <v>6176.85</v>
      </c>
      <c r="E19" s="45">
        <v>6920.77</v>
      </c>
      <c r="F19" s="45">
        <v>7086.18</v>
      </c>
      <c r="G19" s="45">
        <v>5837.01</v>
      </c>
      <c r="H19" s="45">
        <v>4836.66</v>
      </c>
      <c r="I19" s="45">
        <v>4940.5</v>
      </c>
      <c r="J19" s="45">
        <v>5134.17</v>
      </c>
      <c r="K19" s="45">
        <v>5075.18</v>
      </c>
      <c r="L19" s="45">
        <v>4806.83</v>
      </c>
      <c r="M19" s="45">
        <v>4235.07</v>
      </c>
      <c r="N19" s="45">
        <v>4235.07</v>
      </c>
      <c r="O19" s="45">
        <v>64213.390000000007</v>
      </c>
    </row>
    <row r="20" spans="2:15">
      <c r="B20"/>
      <c r="C20"/>
      <c r="D20"/>
      <c r="E20"/>
      <c r="F20"/>
      <c r="G20"/>
      <c r="H20"/>
      <c r="I20"/>
      <c r="J20"/>
      <c r="K20"/>
      <c r="L20"/>
      <c r="M20"/>
      <c r="N20"/>
      <c r="O20"/>
    </row>
    <row r="21" spans="2:15">
      <c r="B21"/>
      <c r="C21"/>
      <c r="D21"/>
      <c r="E21"/>
      <c r="F21"/>
      <c r="G21"/>
      <c r="H21"/>
      <c r="I21"/>
      <c r="J21"/>
      <c r="K21"/>
      <c r="L21"/>
      <c r="M21"/>
      <c r="N21"/>
      <c r="O21"/>
    </row>
    <row r="22" spans="2:15">
      <c r="B22"/>
      <c r="C22"/>
      <c r="D22"/>
      <c r="E22"/>
      <c r="F22"/>
      <c r="G22"/>
      <c r="H22"/>
      <c r="I22"/>
      <c r="J22"/>
      <c r="K22"/>
      <c r="L22"/>
      <c r="M22"/>
      <c r="N22"/>
      <c r="O22"/>
    </row>
    <row r="23" spans="2:15">
      <c r="B23"/>
      <c r="C23"/>
      <c r="D23"/>
      <c r="E23"/>
      <c r="F23"/>
      <c r="G23"/>
      <c r="H23"/>
      <c r="I23"/>
      <c r="J23"/>
      <c r="K23"/>
      <c r="L23"/>
      <c r="M23"/>
      <c r="N23"/>
      <c r="O23"/>
    </row>
    <row r="24" spans="2:15">
      <c r="B24"/>
      <c r="C24"/>
      <c r="D24"/>
      <c r="E24"/>
      <c r="F24"/>
      <c r="G24"/>
      <c r="H24"/>
      <c r="I24"/>
      <c r="J24"/>
      <c r="K24"/>
      <c r="L24"/>
      <c r="M24"/>
      <c r="N24"/>
      <c r="O24"/>
    </row>
    <row r="25" spans="2:15">
      <c r="B25"/>
      <c r="C25"/>
      <c r="D25"/>
      <c r="E25"/>
      <c r="F25"/>
      <c r="G25"/>
      <c r="H25"/>
      <c r="I25"/>
      <c r="J25"/>
      <c r="K25"/>
      <c r="L25"/>
      <c r="M25"/>
      <c r="N25"/>
      <c r="O25"/>
    </row>
    <row r="26" spans="2:15">
      <c r="B26"/>
      <c r="C26"/>
      <c r="D26"/>
      <c r="E26"/>
      <c r="F26"/>
      <c r="G26"/>
      <c r="H26"/>
      <c r="I26"/>
      <c r="J26"/>
      <c r="K26"/>
      <c r="L26"/>
      <c r="M26"/>
      <c r="N26"/>
      <c r="O2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5416A-7D18-47A6-ACCC-D83F76302DBA}">
  <dimension ref="B2:I42"/>
  <sheetViews>
    <sheetView zoomScale="90" zoomScaleNormal="90" workbookViewId="0">
      <selection activeCell="D9" sqref="D9"/>
    </sheetView>
  </sheetViews>
  <sheetFormatPr baseColWidth="10" defaultColWidth="9.1640625" defaultRowHeight="16"/>
  <cols>
    <col min="1" max="1" width="64.6640625" style="41" customWidth="1"/>
    <col min="2" max="2" width="35.5" style="41" bestFit="1" customWidth="1"/>
    <col min="3" max="3" width="15.5" style="41" bestFit="1" customWidth="1"/>
    <col min="4" max="4" width="51.6640625" style="41" bestFit="1" customWidth="1"/>
    <col min="5" max="5" width="12.33203125" style="41" bestFit="1" customWidth="1"/>
    <col min="6" max="6" width="12.83203125" style="41" bestFit="1" customWidth="1"/>
    <col min="7" max="8" width="13.1640625" style="41" bestFit="1" customWidth="1"/>
    <col min="9" max="9" width="11.83203125" style="41" bestFit="1" customWidth="1"/>
    <col min="10" max="105" width="10.83203125" style="41" bestFit="1" customWidth="1"/>
    <col min="106" max="106" width="10.6640625" style="41" bestFit="1" customWidth="1"/>
    <col min="107" max="16384" width="9.1640625" style="41"/>
  </cols>
  <sheetData>
    <row r="2" spans="2:9">
      <c r="B2" s="56" t="s">
        <v>199</v>
      </c>
      <c r="C2" s="56" t="s">
        <v>198</v>
      </c>
      <c r="D2" s="56" t="s">
        <v>201</v>
      </c>
      <c r="E2" s="56" t="s">
        <v>202</v>
      </c>
      <c r="F2" s="56" t="s">
        <v>203</v>
      </c>
      <c r="G2" s="57" t="s">
        <v>205</v>
      </c>
      <c r="H2" s="57" t="s">
        <v>206</v>
      </c>
      <c r="I2" s="57" t="s">
        <v>207</v>
      </c>
    </row>
    <row r="3" spans="2:9">
      <c r="B3" s="41" t="s">
        <v>208</v>
      </c>
      <c r="C3" s="58">
        <v>46161</v>
      </c>
      <c r="D3" s="41" t="s">
        <v>217</v>
      </c>
      <c r="E3" s="41" t="s">
        <v>211</v>
      </c>
      <c r="F3" s="58">
        <v>46205</v>
      </c>
      <c r="G3" s="59">
        <v>763.88</v>
      </c>
      <c r="H3" s="59">
        <v>381.94</v>
      </c>
      <c r="I3" s="59">
        <v>381.94</v>
      </c>
    </row>
    <row r="4" spans="2:9">
      <c r="B4" s="41" t="s">
        <v>482</v>
      </c>
      <c r="C4" s="58">
        <v>46204</v>
      </c>
      <c r="D4" s="41" t="s">
        <v>483</v>
      </c>
      <c r="E4" s="41" t="s">
        <v>484</v>
      </c>
      <c r="F4" s="58">
        <v>46228</v>
      </c>
      <c r="G4" s="59">
        <v>169</v>
      </c>
      <c r="H4" s="59">
        <v>89</v>
      </c>
      <c r="I4" s="59">
        <v>80</v>
      </c>
    </row>
    <row r="5" spans="2:9">
      <c r="D5" s="41" t="s">
        <v>497</v>
      </c>
      <c r="E5" s="41" t="s">
        <v>484</v>
      </c>
      <c r="F5" s="58">
        <v>46204</v>
      </c>
      <c r="G5" s="59">
        <v>359</v>
      </c>
      <c r="H5" s="59">
        <v>179.5</v>
      </c>
      <c r="I5" s="59">
        <v>179.5</v>
      </c>
    </row>
    <row r="6" spans="2:9">
      <c r="B6" s="41" t="s">
        <v>225</v>
      </c>
      <c r="C6" s="58">
        <v>46178</v>
      </c>
      <c r="D6" s="41" t="s">
        <v>665</v>
      </c>
      <c r="E6" s="41" t="s">
        <v>211</v>
      </c>
      <c r="F6" s="58">
        <v>46225</v>
      </c>
      <c r="G6" s="59">
        <v>750</v>
      </c>
      <c r="H6" s="59">
        <v>750</v>
      </c>
      <c r="I6" s="59">
        <v>0</v>
      </c>
    </row>
    <row r="7" spans="2:9">
      <c r="C7" s="58">
        <v>46201</v>
      </c>
      <c r="D7" s="41" t="s">
        <v>227</v>
      </c>
      <c r="E7" s="41" t="s">
        <v>211</v>
      </c>
      <c r="F7" s="58">
        <v>46225</v>
      </c>
      <c r="G7" s="59">
        <v>518</v>
      </c>
      <c r="H7" s="59">
        <v>219</v>
      </c>
      <c r="I7" s="59">
        <v>299</v>
      </c>
    </row>
    <row r="8" spans="2:9">
      <c r="B8" s="41" t="s">
        <v>305</v>
      </c>
      <c r="C8" s="58">
        <v>46167</v>
      </c>
      <c r="D8" s="41" t="s">
        <v>680</v>
      </c>
      <c r="E8" s="41" t="s">
        <v>211</v>
      </c>
      <c r="F8" s="58">
        <v>46210</v>
      </c>
      <c r="G8" s="59">
        <v>711</v>
      </c>
      <c r="H8" s="59">
        <v>711</v>
      </c>
      <c r="I8" s="59">
        <v>0</v>
      </c>
    </row>
    <row r="9" spans="2:9">
      <c r="C9" s="58">
        <v>46171</v>
      </c>
      <c r="D9" s="41" t="s">
        <v>680</v>
      </c>
      <c r="E9" s="41" t="s">
        <v>211</v>
      </c>
      <c r="F9" s="58">
        <v>46210</v>
      </c>
      <c r="G9" s="59">
        <v>332</v>
      </c>
      <c r="H9" s="59">
        <v>332</v>
      </c>
      <c r="I9" s="59">
        <v>0</v>
      </c>
    </row>
    <row r="10" spans="2:9">
      <c r="C10" s="58">
        <v>46172</v>
      </c>
      <c r="D10" s="41" t="s">
        <v>727</v>
      </c>
      <c r="E10" s="41" t="s">
        <v>211</v>
      </c>
      <c r="F10" s="58">
        <v>46210</v>
      </c>
      <c r="G10" s="59">
        <v>1498</v>
      </c>
      <c r="H10" s="59">
        <v>749</v>
      </c>
      <c r="I10" s="59">
        <v>749</v>
      </c>
    </row>
    <row r="11" spans="2:9">
      <c r="D11" s="41" t="s">
        <v>435</v>
      </c>
      <c r="E11" s="41" t="s">
        <v>211</v>
      </c>
      <c r="F11" s="58">
        <v>46210</v>
      </c>
      <c r="G11" s="59">
        <v>1160</v>
      </c>
      <c r="H11" s="59">
        <v>970</v>
      </c>
      <c r="I11" s="59">
        <v>190</v>
      </c>
    </row>
    <row r="12" spans="2:9">
      <c r="C12" s="58">
        <v>46185</v>
      </c>
      <c r="D12" s="41" t="s">
        <v>680</v>
      </c>
      <c r="E12" s="41" t="s">
        <v>211</v>
      </c>
      <c r="F12" s="58">
        <v>46210</v>
      </c>
      <c r="G12" s="59">
        <v>142</v>
      </c>
      <c r="H12" s="59">
        <v>142</v>
      </c>
      <c r="I12" s="59">
        <v>0</v>
      </c>
    </row>
    <row r="13" spans="2:9">
      <c r="C13" s="58">
        <v>46186</v>
      </c>
      <c r="D13" s="41" t="s">
        <v>478</v>
      </c>
      <c r="E13" s="41" t="s">
        <v>211</v>
      </c>
      <c r="F13" s="58">
        <v>46210</v>
      </c>
      <c r="G13" s="59">
        <v>829.71</v>
      </c>
      <c r="H13" s="59">
        <v>413.71</v>
      </c>
      <c r="I13" s="59">
        <v>416</v>
      </c>
    </row>
    <row r="14" spans="2:9">
      <c r="D14" s="41" t="s">
        <v>731</v>
      </c>
      <c r="E14" s="41" t="s">
        <v>211</v>
      </c>
      <c r="F14" s="58">
        <v>46210</v>
      </c>
      <c r="G14" s="59">
        <v>416</v>
      </c>
      <c r="H14" s="59">
        <v>0</v>
      </c>
      <c r="I14" s="59">
        <v>0</v>
      </c>
    </row>
    <row r="15" spans="2:9">
      <c r="D15" s="41" t="s">
        <v>732</v>
      </c>
      <c r="E15" s="41" t="s">
        <v>211</v>
      </c>
      <c r="F15" s="58">
        <v>46210</v>
      </c>
      <c r="G15" s="59">
        <v>416</v>
      </c>
      <c r="H15" s="59">
        <v>0</v>
      </c>
      <c r="I15" s="59">
        <v>0</v>
      </c>
    </row>
    <row r="16" spans="2:9">
      <c r="B16" s="41" t="s">
        <v>348</v>
      </c>
      <c r="C16" s="58">
        <v>46160</v>
      </c>
      <c r="D16" s="41" t="s">
        <v>81</v>
      </c>
      <c r="E16" s="41" t="s">
        <v>211</v>
      </c>
      <c r="F16" s="58">
        <v>46204</v>
      </c>
      <c r="G16" s="59">
        <v>747.93000000000006</v>
      </c>
      <c r="H16" s="59">
        <v>747.93000000000006</v>
      </c>
      <c r="I16" s="59">
        <v>0</v>
      </c>
    </row>
    <row r="17" spans="2:9">
      <c r="C17" s="58">
        <v>46162</v>
      </c>
      <c r="D17" s="41" t="s">
        <v>48</v>
      </c>
      <c r="E17" s="41" t="s">
        <v>211</v>
      </c>
      <c r="F17" s="58">
        <v>46204</v>
      </c>
      <c r="G17" s="59">
        <v>854.93000000000006</v>
      </c>
      <c r="H17" s="59">
        <v>854.93000000000006</v>
      </c>
      <c r="I17" s="59">
        <v>0</v>
      </c>
    </row>
    <row r="18" spans="2:9">
      <c r="D18" s="41" t="s">
        <v>49</v>
      </c>
      <c r="E18" s="41" t="s">
        <v>211</v>
      </c>
      <c r="F18" s="58">
        <v>46204</v>
      </c>
      <c r="G18" s="59">
        <v>749</v>
      </c>
      <c r="H18" s="59">
        <v>749</v>
      </c>
      <c r="I18" s="59">
        <v>0</v>
      </c>
    </row>
    <row r="19" spans="2:9">
      <c r="C19" s="58">
        <v>46190</v>
      </c>
      <c r="D19" s="41" t="s">
        <v>20</v>
      </c>
      <c r="E19" s="41" t="s">
        <v>211</v>
      </c>
      <c r="F19" s="58">
        <v>46204</v>
      </c>
      <c r="G19" s="59">
        <v>-5.8696500000000009</v>
      </c>
      <c r="H19" s="59">
        <v>-5.8696500000000009</v>
      </c>
      <c r="I19" s="59">
        <v>0</v>
      </c>
    </row>
    <row r="20" spans="2:9">
      <c r="B20" s="41" t="s">
        <v>373</v>
      </c>
      <c r="C20" s="58">
        <v>46188</v>
      </c>
      <c r="D20" s="41" t="s">
        <v>689</v>
      </c>
      <c r="E20" s="41" t="s">
        <v>312</v>
      </c>
      <c r="F20" s="58">
        <v>46204</v>
      </c>
      <c r="G20" s="59">
        <v>378.1</v>
      </c>
      <c r="H20" s="59">
        <v>378.1</v>
      </c>
      <c r="I20" s="59">
        <v>0</v>
      </c>
    </row>
    <row r="21" spans="2:9">
      <c r="B21" s="41" t="s">
        <v>345</v>
      </c>
      <c r="C21" s="58">
        <v>46162</v>
      </c>
      <c r="D21" s="41" t="s">
        <v>346</v>
      </c>
      <c r="E21" s="41" t="s">
        <v>211</v>
      </c>
      <c r="F21" s="58">
        <v>46205</v>
      </c>
      <c r="G21" s="59">
        <v>1243.8</v>
      </c>
      <c r="H21" s="59">
        <v>1243.8</v>
      </c>
      <c r="I21" s="59">
        <v>0</v>
      </c>
    </row>
    <row r="22" spans="2:9">
      <c r="B22" s="41" t="s">
        <v>357</v>
      </c>
      <c r="C22" s="58">
        <v>46185</v>
      </c>
      <c r="D22" s="41" t="s">
        <v>730</v>
      </c>
      <c r="E22" s="41" t="s">
        <v>324</v>
      </c>
      <c r="F22" s="58">
        <v>46208</v>
      </c>
      <c r="G22" s="59">
        <v>172.33</v>
      </c>
      <c r="H22" s="59">
        <v>172.33</v>
      </c>
      <c r="I22" s="59">
        <v>0</v>
      </c>
    </row>
    <row r="23" spans="2:9">
      <c r="D23" s="41" t="s">
        <v>729</v>
      </c>
      <c r="E23" s="41" t="s">
        <v>324</v>
      </c>
      <c r="F23" s="58">
        <v>46208</v>
      </c>
      <c r="G23" s="59">
        <v>96</v>
      </c>
      <c r="H23" s="59">
        <v>96</v>
      </c>
      <c r="I23" s="59">
        <v>0</v>
      </c>
    </row>
    <row r="24" spans="2:9">
      <c r="C24" s="58">
        <v>46190</v>
      </c>
      <c r="D24" s="41" t="s">
        <v>705</v>
      </c>
      <c r="E24" s="41" t="s">
        <v>211</v>
      </c>
      <c r="F24" s="58">
        <v>46208</v>
      </c>
      <c r="G24" s="59">
        <v>49</v>
      </c>
      <c r="H24" s="59">
        <v>49</v>
      </c>
      <c r="I24" s="59">
        <v>0</v>
      </c>
    </row>
    <row r="25" spans="2:9">
      <c r="C25" s="58">
        <v>46197</v>
      </c>
      <c r="D25" s="41" t="s">
        <v>513</v>
      </c>
      <c r="E25" s="41" t="s">
        <v>327</v>
      </c>
      <c r="F25" s="58">
        <v>46208</v>
      </c>
      <c r="G25" s="59">
        <v>59</v>
      </c>
      <c r="H25" s="59">
        <v>59</v>
      </c>
      <c r="I25" s="59">
        <v>0</v>
      </c>
    </row>
    <row r="26" spans="2:9">
      <c r="B26" s="41" t="s">
        <v>298</v>
      </c>
      <c r="C26" s="58">
        <v>46180</v>
      </c>
      <c r="D26" s="41" t="s">
        <v>633</v>
      </c>
      <c r="E26" s="41" t="s">
        <v>612</v>
      </c>
      <c r="F26" s="58">
        <v>46204</v>
      </c>
      <c r="G26" s="59">
        <v>1360.83</v>
      </c>
      <c r="H26" s="59">
        <v>1360.83</v>
      </c>
      <c r="I26" s="59">
        <v>0</v>
      </c>
    </row>
    <row r="27" spans="2:9">
      <c r="D27" s="41" t="s">
        <v>694</v>
      </c>
      <c r="E27" s="41" t="s">
        <v>600</v>
      </c>
      <c r="F27" s="58">
        <v>46204</v>
      </c>
      <c r="G27" s="59">
        <v>1267.5899999999999</v>
      </c>
      <c r="H27" s="59">
        <v>1267.5899999999999</v>
      </c>
      <c r="I27" s="59">
        <v>0</v>
      </c>
    </row>
    <row r="28" spans="2:9">
      <c r="B28" s="41" t="s">
        <v>697</v>
      </c>
      <c r="C28" s="58">
        <v>46156</v>
      </c>
      <c r="D28" s="41" t="s">
        <v>710</v>
      </c>
      <c r="E28" s="41" t="s">
        <v>211</v>
      </c>
      <c r="F28" s="58">
        <v>46206</v>
      </c>
      <c r="G28" s="59">
        <v>70</v>
      </c>
      <c r="H28" s="59">
        <v>70</v>
      </c>
      <c r="I28" s="59">
        <v>0</v>
      </c>
    </row>
    <row r="29" spans="2:9">
      <c r="D29" s="41" t="s">
        <v>735</v>
      </c>
      <c r="E29" s="41" t="s">
        <v>211</v>
      </c>
      <c r="F29" s="58">
        <v>46206</v>
      </c>
      <c r="G29" s="59">
        <v>-2000</v>
      </c>
      <c r="H29" s="59">
        <v>-1000</v>
      </c>
      <c r="I29" s="59">
        <v>-1000</v>
      </c>
    </row>
    <row r="30" spans="2:9">
      <c r="C30" s="58">
        <v>46157</v>
      </c>
      <c r="D30" s="41" t="s">
        <v>505</v>
      </c>
      <c r="E30" s="41" t="s">
        <v>211</v>
      </c>
      <c r="F30" s="58">
        <v>46206</v>
      </c>
      <c r="G30" s="59">
        <v>50</v>
      </c>
      <c r="H30" s="59">
        <v>50</v>
      </c>
      <c r="I30" s="59">
        <v>0</v>
      </c>
    </row>
    <row r="31" spans="2:9">
      <c r="C31" s="58">
        <v>46160</v>
      </c>
      <c r="D31" s="41" t="s">
        <v>710</v>
      </c>
      <c r="E31" s="41" t="s">
        <v>211</v>
      </c>
      <c r="F31" s="58">
        <v>46206</v>
      </c>
      <c r="G31" s="59">
        <v>55</v>
      </c>
      <c r="H31" s="59">
        <v>55</v>
      </c>
      <c r="I31" s="59">
        <v>0</v>
      </c>
    </row>
    <row r="32" spans="2:9">
      <c r="C32" s="58">
        <v>46175</v>
      </c>
      <c r="D32" s="41" t="s">
        <v>708</v>
      </c>
      <c r="E32" s="41" t="s">
        <v>211</v>
      </c>
      <c r="F32" s="58">
        <v>46206</v>
      </c>
      <c r="G32" s="59">
        <v>-24</v>
      </c>
      <c r="H32" s="59">
        <v>-24</v>
      </c>
      <c r="I32" s="59">
        <v>0</v>
      </c>
    </row>
    <row r="33" spans="2:9">
      <c r="C33" s="58">
        <v>46177</v>
      </c>
      <c r="D33" s="41" t="s">
        <v>736</v>
      </c>
      <c r="E33" s="41" t="s">
        <v>211</v>
      </c>
      <c r="F33" s="58">
        <v>46206</v>
      </c>
      <c r="G33" s="59">
        <v>482</v>
      </c>
      <c r="H33" s="59">
        <v>241</v>
      </c>
      <c r="I33" s="59">
        <v>241</v>
      </c>
    </row>
    <row r="34" spans="2:9">
      <c r="C34" s="58">
        <v>46181</v>
      </c>
      <c r="D34" s="41" t="s">
        <v>710</v>
      </c>
      <c r="E34" s="41" t="s">
        <v>211</v>
      </c>
      <c r="F34" s="58">
        <v>46206</v>
      </c>
      <c r="G34" s="59">
        <v>65</v>
      </c>
      <c r="H34" s="59">
        <v>65</v>
      </c>
      <c r="I34" s="59">
        <v>0</v>
      </c>
    </row>
    <row r="35" spans="2:9">
      <c r="C35" s="58">
        <v>46185</v>
      </c>
      <c r="D35" s="41" t="s">
        <v>699</v>
      </c>
      <c r="E35" s="41" t="s">
        <v>211</v>
      </c>
      <c r="F35" s="58">
        <v>46206</v>
      </c>
      <c r="G35" s="59">
        <v>-31.58</v>
      </c>
      <c r="H35" s="59">
        <v>-31.58</v>
      </c>
      <c r="I35" s="59">
        <v>0</v>
      </c>
    </row>
    <row r="36" spans="2:9">
      <c r="C36" s="58">
        <v>46186</v>
      </c>
      <c r="D36" s="41" t="s">
        <v>734</v>
      </c>
      <c r="E36" s="41" t="s">
        <v>307</v>
      </c>
      <c r="F36" s="58">
        <v>46206</v>
      </c>
      <c r="G36" s="59">
        <v>2676.3</v>
      </c>
      <c r="H36" s="59">
        <v>1338.15</v>
      </c>
      <c r="I36" s="59">
        <v>1338.15</v>
      </c>
    </row>
    <row r="37" spans="2:9">
      <c r="B37" s="41" t="s">
        <v>541</v>
      </c>
      <c r="G37" s="59">
        <v>16379.950349999999</v>
      </c>
      <c r="H37" s="59">
        <v>12673.360350000001</v>
      </c>
      <c r="I37" s="59">
        <v>2874.59</v>
      </c>
    </row>
    <row r="38" spans="2:9">
      <c r="B38"/>
      <c r="C38"/>
      <c r="D38"/>
      <c r="E38"/>
      <c r="F38"/>
      <c r="G38"/>
      <c r="H38"/>
      <c r="I38"/>
    </row>
    <row r="39" spans="2:9">
      <c r="B39"/>
      <c r="C39"/>
      <c r="D39"/>
      <c r="E39"/>
      <c r="F39"/>
      <c r="G39"/>
      <c r="H39"/>
      <c r="I39"/>
    </row>
    <row r="40" spans="2:9">
      <c r="B40"/>
      <c r="C40"/>
      <c r="D40"/>
      <c r="E40"/>
      <c r="F40"/>
      <c r="G40"/>
      <c r="H40"/>
      <c r="I40"/>
    </row>
    <row r="41" spans="2:9">
      <c r="B41"/>
      <c r="C41"/>
      <c r="D41"/>
      <c r="E41"/>
      <c r="F41"/>
      <c r="G41"/>
      <c r="H41"/>
      <c r="I41"/>
    </row>
    <row r="42" spans="2:9">
      <c r="B42"/>
      <c r="C42"/>
      <c r="D42"/>
      <c r="E42"/>
      <c r="F42"/>
      <c r="G42"/>
      <c r="H42"/>
      <c r="I4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96ABC-F445-4D09-B8A9-385EF3A55D3C}">
  <sheetPr>
    <tabColor rgb="FFFFC000"/>
  </sheetPr>
  <dimension ref="A1:AP29"/>
  <sheetViews>
    <sheetView topLeftCell="A28" workbookViewId="0">
      <selection activeCell="L13" sqref="L13"/>
    </sheetView>
  </sheetViews>
  <sheetFormatPr baseColWidth="10" defaultColWidth="8.83203125" defaultRowHeight="20"/>
  <cols>
    <col min="1" max="1" width="24.33203125" style="15" bestFit="1" customWidth="1"/>
    <col min="2" max="2" width="16" style="15" customWidth="1"/>
    <col min="3" max="3" width="15.83203125" style="15" customWidth="1"/>
    <col min="4" max="6" width="10.6640625" style="15" bestFit="1" customWidth="1"/>
    <col min="7" max="8" width="11" style="15" bestFit="1" customWidth="1"/>
    <col min="9" max="9" width="11.83203125" style="15" bestFit="1" customWidth="1"/>
    <col min="10" max="10" width="11.33203125" style="15" bestFit="1" customWidth="1"/>
    <col min="11" max="11" width="12.83203125" style="15" bestFit="1" customWidth="1"/>
    <col min="12" max="13" width="12" style="15" bestFit="1" customWidth="1"/>
    <col min="14" max="14" width="11.5" style="15" bestFit="1" customWidth="1"/>
    <col min="15" max="15" width="11.6640625" style="15" bestFit="1" customWidth="1"/>
    <col min="16" max="16" width="18.83203125" style="15" bestFit="1" customWidth="1"/>
    <col min="17" max="17" width="11.5" style="15" bestFit="1" customWidth="1"/>
    <col min="18" max="18" width="10.83203125" style="15" bestFit="1" customWidth="1"/>
    <col min="19" max="19" width="11" style="15" bestFit="1" customWidth="1"/>
    <col min="20" max="20" width="10.83203125" style="15" bestFit="1" customWidth="1"/>
    <col min="21" max="22" width="11.33203125" style="15" bestFit="1" customWidth="1"/>
    <col min="23" max="23" width="10.5" style="15" bestFit="1" customWidth="1"/>
    <col min="24" max="24" width="11.33203125" style="15" bestFit="1" customWidth="1"/>
    <col min="25" max="25" width="11" style="15" bestFit="1" customWidth="1"/>
    <col min="26" max="26" width="11.1640625" style="15" bestFit="1" customWidth="1"/>
    <col min="27" max="28" width="11.33203125" style="15" bestFit="1" customWidth="1"/>
    <col min="29" max="29" width="12.83203125" style="15" bestFit="1" customWidth="1"/>
    <col min="30" max="30" width="10.83203125" style="15" bestFit="1" customWidth="1"/>
    <col min="31" max="31" width="10.6640625" style="15" bestFit="1" customWidth="1"/>
    <col min="32" max="32" width="10.83203125" style="15" bestFit="1" customWidth="1"/>
    <col min="33" max="33" width="10.6640625" style="15" bestFit="1" customWidth="1"/>
    <col min="34" max="35" width="11.1640625" style="15" bestFit="1" customWidth="1"/>
    <col min="36" max="36" width="10.5" style="15" bestFit="1" customWidth="1"/>
    <col min="37" max="37" width="11.33203125" style="15" bestFit="1" customWidth="1"/>
    <col min="38" max="38" width="10.83203125" style="15" bestFit="1" customWidth="1"/>
    <col min="39" max="39" width="11" style="15" bestFit="1" customWidth="1"/>
    <col min="40" max="41" width="11.1640625" style="15" bestFit="1" customWidth="1"/>
    <col min="42" max="42" width="12.6640625" style="15" bestFit="1" customWidth="1"/>
    <col min="43" max="16384" width="8.83203125" style="15"/>
  </cols>
  <sheetData>
    <row r="1" spans="1:42">
      <c r="A1" s="15" t="s">
        <v>201</v>
      </c>
      <c r="B1" s="17" t="s">
        <v>546</v>
      </c>
      <c r="C1" s="17" t="s">
        <v>528</v>
      </c>
      <c r="D1" s="16" t="s">
        <v>547</v>
      </c>
      <c r="E1" s="16" t="s">
        <v>548</v>
      </c>
      <c r="F1" s="16" t="s">
        <v>549</v>
      </c>
      <c r="G1" s="16" t="s">
        <v>550</v>
      </c>
      <c r="H1" s="16" t="s">
        <v>551</v>
      </c>
      <c r="I1" s="16" t="s">
        <v>552</v>
      </c>
      <c r="J1" s="16" t="s">
        <v>553</v>
      </c>
      <c r="K1" s="16" t="s">
        <v>554</v>
      </c>
      <c r="L1" s="16" t="s">
        <v>555</v>
      </c>
      <c r="M1" s="16" t="s">
        <v>556</v>
      </c>
      <c r="N1" s="16" t="s">
        <v>557</v>
      </c>
      <c r="O1" s="16" t="s">
        <v>558</v>
      </c>
      <c r="P1" s="21" t="s">
        <v>559</v>
      </c>
      <c r="Q1" s="16" t="s">
        <v>560</v>
      </c>
      <c r="R1" s="16" t="s">
        <v>561</v>
      </c>
      <c r="S1" s="16" t="s">
        <v>562</v>
      </c>
      <c r="T1" s="16" t="s">
        <v>563</v>
      </c>
      <c r="U1" s="16" t="s">
        <v>564</v>
      </c>
      <c r="V1" s="16" t="s">
        <v>565</v>
      </c>
      <c r="W1" s="16" t="s">
        <v>566</v>
      </c>
      <c r="X1" s="16" t="s">
        <v>567</v>
      </c>
      <c r="Y1" s="16" t="s">
        <v>568</v>
      </c>
      <c r="Z1" s="16" t="s">
        <v>569</v>
      </c>
      <c r="AA1" s="16" t="s">
        <v>570</v>
      </c>
      <c r="AB1" s="16" t="s">
        <v>571</v>
      </c>
      <c r="AC1" s="21" t="s">
        <v>572</v>
      </c>
      <c r="AD1" s="16" t="s">
        <v>573</v>
      </c>
      <c r="AE1" s="16" t="s">
        <v>574</v>
      </c>
      <c r="AF1" s="16" t="s">
        <v>575</v>
      </c>
      <c r="AG1" s="16" t="s">
        <v>576</v>
      </c>
      <c r="AH1" s="16" t="s">
        <v>577</v>
      </c>
      <c r="AI1" s="16" t="s">
        <v>578</v>
      </c>
      <c r="AJ1" s="16" t="s">
        <v>579</v>
      </c>
      <c r="AK1" s="16" t="s">
        <v>580</v>
      </c>
      <c r="AL1" s="16" t="s">
        <v>581</v>
      </c>
      <c r="AM1" s="16" t="s">
        <v>582</v>
      </c>
      <c r="AN1" s="16" t="s">
        <v>583</v>
      </c>
      <c r="AO1" s="16" t="s">
        <v>584</v>
      </c>
      <c r="AP1" s="21" t="s">
        <v>585</v>
      </c>
    </row>
    <row r="2" spans="1:42">
      <c r="A2" s="15" t="s">
        <v>23</v>
      </c>
      <c r="B2" s="22"/>
      <c r="C2" s="17"/>
      <c r="D2" s="19">
        <v>1191.8699999999999</v>
      </c>
      <c r="E2" s="19">
        <v>1191.8699999999999</v>
      </c>
      <c r="F2" s="19">
        <v>1191.8699999999999</v>
      </c>
      <c r="G2" s="19">
        <v>1191.8699999999999</v>
      </c>
      <c r="H2" s="19">
        <v>1191.8699999999999</v>
      </c>
      <c r="I2" s="19">
        <v>1191.8699999999999</v>
      </c>
      <c r="J2" s="19">
        <v>1191.8699999999999</v>
      </c>
      <c r="K2" s="19">
        <v>1191.8699999999999</v>
      </c>
      <c r="L2" s="19">
        <v>1191.8699999999999</v>
      </c>
      <c r="M2" s="19">
        <v>1191.8699999999999</v>
      </c>
      <c r="N2" s="19">
        <v>1191.8699999999999</v>
      </c>
      <c r="O2" s="19">
        <v>1191.8699999999999</v>
      </c>
      <c r="P2" s="20">
        <f>SUM(Installment[[#This Row],[Jan-22]:[Dec-22]])</f>
        <v>14302.439999999995</v>
      </c>
      <c r="Q2" s="19">
        <v>1191.8699999999999</v>
      </c>
      <c r="R2" s="19">
        <v>1191.8699999999999</v>
      </c>
      <c r="S2" s="19">
        <v>1191.8699999999999</v>
      </c>
      <c r="T2" s="19">
        <v>1191.8699999999999</v>
      </c>
      <c r="U2" s="19">
        <v>1191.8699999999999</v>
      </c>
      <c r="V2" s="19">
        <v>1191.8699999999999</v>
      </c>
      <c r="W2" s="19">
        <v>1191.8699999999999</v>
      </c>
      <c r="X2" s="19">
        <v>1191.8699999999999</v>
      </c>
      <c r="Y2" s="19">
        <v>1191.8699999999999</v>
      </c>
      <c r="Z2" s="19">
        <v>1191.8699999999999</v>
      </c>
      <c r="AA2" s="19">
        <v>1191.8699999999999</v>
      </c>
      <c r="AB2" s="19">
        <v>1191.8699999999999</v>
      </c>
      <c r="AC2" s="20">
        <f>SUM(Installment[[#This Row],[Jan-23]:[Dec-23]])</f>
        <v>14302.439999999995</v>
      </c>
      <c r="AD2" s="19">
        <v>1191.8699999999999</v>
      </c>
      <c r="AE2" s="19">
        <v>1191.8699999999999</v>
      </c>
      <c r="AF2" s="19">
        <v>1191.8699999999999</v>
      </c>
      <c r="AG2" s="19">
        <v>1191.8699999999999</v>
      </c>
      <c r="AH2" s="19">
        <v>1191.8699999999999</v>
      </c>
      <c r="AI2" s="19">
        <v>1191.8699999999999</v>
      </c>
      <c r="AJ2" s="19">
        <v>1191.8699999999999</v>
      </c>
      <c r="AK2" s="19">
        <v>1191.8699999999999</v>
      </c>
      <c r="AL2" s="19">
        <v>1191.8699999999999</v>
      </c>
      <c r="AM2" s="19">
        <v>1191.8699999999999</v>
      </c>
      <c r="AN2" s="19">
        <v>1191.8699999999999</v>
      </c>
      <c r="AO2" s="19">
        <v>1191.8699999999999</v>
      </c>
      <c r="AP2" s="20">
        <f>SUM(Installment[[#This Row],[Jan-24]:[Dec-24]])</f>
        <v>14302.439999999995</v>
      </c>
    </row>
    <row r="3" spans="1:42">
      <c r="A3" s="15" t="s">
        <v>90</v>
      </c>
      <c r="B3" s="18">
        <v>33363</v>
      </c>
      <c r="C3" s="15">
        <v>24</v>
      </c>
      <c r="D3" s="19"/>
      <c r="E3" s="19"/>
      <c r="F3" s="19"/>
      <c r="G3" s="19"/>
      <c r="H3" s="19"/>
      <c r="I3" s="19">
        <v>1390.24</v>
      </c>
      <c r="J3" s="19">
        <v>1390.24</v>
      </c>
      <c r="K3" s="19">
        <v>1390.24</v>
      </c>
      <c r="L3" s="19">
        <v>1390.24</v>
      </c>
      <c r="M3" s="19">
        <v>1390.24</v>
      </c>
      <c r="N3" s="19">
        <v>1390.24</v>
      </c>
      <c r="O3" s="19">
        <v>1390.24</v>
      </c>
      <c r="P3" s="20">
        <f>SUM(Installment[[#This Row],[Jan-22]:[Dec-22]])</f>
        <v>9731.68</v>
      </c>
      <c r="Q3" s="19">
        <v>1390.24</v>
      </c>
      <c r="R3" s="19">
        <v>1390.24</v>
      </c>
      <c r="S3" s="19">
        <v>1390.24</v>
      </c>
      <c r="T3" s="19">
        <v>1390.24</v>
      </c>
      <c r="U3" s="19">
        <v>1390.24</v>
      </c>
      <c r="V3" s="19">
        <v>1390.24</v>
      </c>
      <c r="W3" s="19">
        <v>1390.24</v>
      </c>
      <c r="X3" s="19">
        <v>1390.24</v>
      </c>
      <c r="Y3" s="19">
        <v>1390.24</v>
      </c>
      <c r="Z3" s="19">
        <v>1390.24</v>
      </c>
      <c r="AA3" s="19">
        <v>1390.24</v>
      </c>
      <c r="AB3" s="19">
        <v>1390.24</v>
      </c>
      <c r="AC3" s="20">
        <f>SUM(Installment[[#This Row],[Jan-23]:[Dec-23]])</f>
        <v>16682.88</v>
      </c>
      <c r="AD3" s="19">
        <v>1390.24</v>
      </c>
      <c r="AE3" s="19">
        <v>1390.24</v>
      </c>
      <c r="AF3" s="19">
        <v>1390.24</v>
      </c>
      <c r="AG3" s="19">
        <v>1390.24</v>
      </c>
      <c r="AH3" s="19">
        <f>Installment[[#This Row],[Amt]]-Installment[[#This Row],[Total-22]]-Installment[[#This Row],[Total-23]]-Installment[[#This Row],[Jan-24]]-Installment[[#This Row],[Feb-24]]-Installment[[#This Row],[Mar-24]]-Installment[[#This Row],[Apr-24]]</f>
        <v>1387.4799999999993</v>
      </c>
      <c r="AP3" s="20">
        <f>SUM(Installment[[#This Row],[Jan-24]:[Dec-24]])</f>
        <v>6948.44</v>
      </c>
    </row>
    <row r="4" spans="1:42">
      <c r="A4" s="15" t="s">
        <v>9</v>
      </c>
      <c r="B4" s="18">
        <f>21389.28/2</f>
        <v>10694.64</v>
      </c>
      <c r="C4" s="15">
        <v>6</v>
      </c>
      <c r="D4" s="19"/>
      <c r="E4" s="19">
        <f>Installment[[#This Row],[Amt]]/Installment[[#This Row],[Month]]</f>
        <v>1782.4399999999998</v>
      </c>
      <c r="F4" s="19">
        <f>Installment[[#This Row],[Amt]]/Installment[[#This Row],[Month]]</f>
        <v>1782.4399999999998</v>
      </c>
      <c r="G4" s="19">
        <f>Installment[[#This Row],[Amt]]/Installment[[#This Row],[Month]]</f>
        <v>1782.4399999999998</v>
      </c>
      <c r="H4" s="19">
        <f>Installment[[#This Row],[Amt]]/Installment[[#This Row],[Month]]</f>
        <v>1782.4399999999998</v>
      </c>
      <c r="I4" s="19">
        <f>Installment[[#This Row],[Amt]]/Installment[[#This Row],[Month]]</f>
        <v>1782.4399999999998</v>
      </c>
      <c r="J4" s="19">
        <f>Installment[[#This Row],[Amt]]/Installment[[#This Row],[Month]]</f>
        <v>1782.4399999999998</v>
      </c>
      <c r="K4" s="19"/>
      <c r="L4" s="19"/>
      <c r="M4" s="19"/>
      <c r="N4" s="19"/>
      <c r="O4" s="19"/>
      <c r="P4" s="20">
        <f>SUM(Installment[[#This Row],[Jan-22]:[Dec-22]])</f>
        <v>10694.64</v>
      </c>
      <c r="Q4" s="19"/>
      <c r="R4" s="19"/>
      <c r="S4" s="19"/>
      <c r="T4" s="19"/>
      <c r="U4" s="19"/>
      <c r="V4" s="19"/>
      <c r="W4" s="19"/>
      <c r="X4" s="19"/>
      <c r="Y4" s="19"/>
      <c r="Z4" s="19"/>
      <c r="AA4" s="19"/>
      <c r="AB4" s="19"/>
      <c r="AC4" s="20">
        <f>SUM(Installment[[#This Row],[Jan-23]:[Dec-23]])</f>
        <v>0</v>
      </c>
      <c r="AD4" s="19"/>
      <c r="AE4" s="19"/>
      <c r="AF4" s="19"/>
      <c r="AG4" s="19"/>
      <c r="AH4" s="19"/>
      <c r="AP4" s="20">
        <f>SUM(Installment[[#This Row],[Jan-24]:[Dec-24]])</f>
        <v>0</v>
      </c>
    </row>
    <row r="5" spans="1:42">
      <c r="A5" s="15" t="s">
        <v>586</v>
      </c>
      <c r="B5" s="18">
        <v>15900</v>
      </c>
      <c r="C5" s="15">
        <v>10</v>
      </c>
      <c r="D5" s="19"/>
      <c r="E5" s="19"/>
      <c r="F5" s="19">
        <f>Installment[[#This Row],[Amt]]/Installment[[#This Row],[Month]]</f>
        <v>1590</v>
      </c>
      <c r="G5" s="19">
        <f>Installment[[#This Row],[Amt]]/Installment[[#This Row],[Month]]</f>
        <v>1590</v>
      </c>
      <c r="H5" s="19">
        <f>Installment[[#This Row],[Amt]]/Installment[[#This Row],[Month]]</f>
        <v>1590</v>
      </c>
      <c r="I5" s="19">
        <f>Installment[[#This Row],[Amt]]/Installment[[#This Row],[Month]]</f>
        <v>1590</v>
      </c>
      <c r="J5" s="19">
        <f>Installment[[#This Row],[Amt]]/Installment[[#This Row],[Month]]</f>
        <v>1590</v>
      </c>
      <c r="K5" s="19">
        <f>Installment[[#This Row],[Amt]]/Installment[[#This Row],[Month]]</f>
        <v>1590</v>
      </c>
      <c r="L5" s="19">
        <f>Installment[[#This Row],[Amt]]/Installment[[#This Row],[Month]]</f>
        <v>1590</v>
      </c>
      <c r="M5" s="19">
        <f>Installment[[#This Row],[Amt]]/Installment[[#This Row],[Month]]</f>
        <v>1590</v>
      </c>
      <c r="N5" s="19">
        <f>Installment[[#This Row],[Amt]]/Installment[[#This Row],[Month]]</f>
        <v>1590</v>
      </c>
      <c r="O5" s="19">
        <f>Installment[[#This Row],[Amt]]/Installment[[#This Row],[Month]]</f>
        <v>1590</v>
      </c>
      <c r="P5" s="20">
        <f>SUM(Installment[[#This Row],[Jan-22]:[Dec-22]])</f>
        <v>15900</v>
      </c>
      <c r="Q5" s="19"/>
      <c r="R5" s="19"/>
      <c r="S5" s="19"/>
      <c r="T5" s="19"/>
      <c r="U5" s="19"/>
      <c r="V5" s="19"/>
      <c r="W5" s="19"/>
      <c r="X5" s="19"/>
      <c r="Y5" s="19"/>
      <c r="Z5" s="19"/>
      <c r="AA5" s="19"/>
      <c r="AB5" s="19"/>
      <c r="AC5" s="20">
        <f>SUM(Installment[[#This Row],[Jan-23]:[Dec-23]])</f>
        <v>0</v>
      </c>
      <c r="AD5" s="19"/>
      <c r="AE5" s="19"/>
      <c r="AF5" s="19"/>
      <c r="AG5" s="19"/>
      <c r="AH5" s="19"/>
      <c r="AP5" s="20">
        <f>SUM(Installment[[#This Row],[Jan-24]:[Dec-24]])</f>
        <v>0</v>
      </c>
    </row>
    <row r="6" spans="1:42">
      <c r="A6" s="15" t="s">
        <v>78</v>
      </c>
      <c r="B6" s="18">
        <v>14082</v>
      </c>
      <c r="C6" s="15">
        <v>10</v>
      </c>
      <c r="D6" s="19"/>
      <c r="E6" s="19"/>
      <c r="F6" s="19"/>
      <c r="G6" s="19"/>
      <c r="H6" s="19"/>
      <c r="I6" s="19">
        <f>Installment[[#This Row],[Amt]]/Installment[[#This Row],[Month]]</f>
        <v>1408.2</v>
      </c>
      <c r="J6" s="19">
        <f>Installment[[#This Row],[Amt]]/Installment[[#This Row],[Month]]</f>
        <v>1408.2</v>
      </c>
      <c r="K6" s="19">
        <f>Installment[[#This Row],[Amt]]/Installment[[#This Row],[Month]]</f>
        <v>1408.2</v>
      </c>
      <c r="L6" s="19">
        <f>Installment[[#This Row],[Amt]]/Installment[[#This Row],[Month]]</f>
        <v>1408.2</v>
      </c>
      <c r="M6" s="19">
        <f>Installment[[#This Row],[Amt]]/Installment[[#This Row],[Month]]</f>
        <v>1408.2</v>
      </c>
      <c r="N6" s="19">
        <f>Installment[[#This Row],[Amt]]/Installment[[#This Row],[Month]]</f>
        <v>1408.2</v>
      </c>
      <c r="O6" s="19">
        <f>Installment[[#This Row],[Amt]]/Installment[[#This Row],[Month]]</f>
        <v>1408.2</v>
      </c>
      <c r="P6" s="20">
        <f>SUM(Installment[[#This Row],[Jan-22]:[Dec-22]])</f>
        <v>9857.4000000000015</v>
      </c>
      <c r="Q6" s="19">
        <f>Installment[[#This Row],[Amt]]/Installment[[#This Row],[Month]]</f>
        <v>1408.2</v>
      </c>
      <c r="R6" s="19">
        <f>Installment[[#This Row],[Amt]]/Installment[[#This Row],[Month]]</f>
        <v>1408.2</v>
      </c>
      <c r="S6" s="19">
        <f>Installment[[#This Row],[Amt]]/Installment[[#This Row],[Month]]</f>
        <v>1408.2</v>
      </c>
      <c r="T6" s="19"/>
      <c r="U6" s="19"/>
      <c r="V6" s="19"/>
      <c r="W6" s="19"/>
      <c r="X6" s="19"/>
      <c r="Y6" s="19"/>
      <c r="Z6" s="19"/>
      <c r="AA6" s="19"/>
      <c r="AB6" s="19"/>
      <c r="AC6" s="20">
        <f>SUM(Installment[[#This Row],[Jan-23]:[Dec-23]])</f>
        <v>4224.6000000000004</v>
      </c>
      <c r="AD6" s="19"/>
      <c r="AE6" s="19"/>
      <c r="AF6" s="19"/>
      <c r="AG6" s="19"/>
      <c r="AH6" s="19"/>
      <c r="AP6" s="20">
        <f>SUM(Installment[[#This Row],[Jan-24]:[Dec-24]])</f>
        <v>0</v>
      </c>
    </row>
    <row r="7" spans="1:42">
      <c r="A7" s="15" t="s">
        <v>587</v>
      </c>
      <c r="B7" s="18">
        <v>1609.02</v>
      </c>
      <c r="C7" s="15">
        <v>3</v>
      </c>
      <c r="D7" s="19"/>
      <c r="E7" s="19"/>
      <c r="F7" s="19"/>
      <c r="G7" s="19">
        <f>Installment[[#This Row],[Amt]]/Installment[[#This Row],[Month]]</f>
        <v>536.34</v>
      </c>
      <c r="H7" s="19">
        <f>Installment[[#This Row],[Amt]]/Installment[[#This Row],[Month]]</f>
        <v>536.34</v>
      </c>
      <c r="I7" s="19">
        <f>Installment[[#This Row],[Amt]]/Installment[[#This Row],[Month]]</f>
        <v>536.34</v>
      </c>
      <c r="J7" s="19"/>
      <c r="K7" s="19"/>
      <c r="L7" s="19"/>
      <c r="M7" s="19"/>
      <c r="N7" s="19"/>
      <c r="O7" s="19"/>
      <c r="P7" s="20">
        <f>SUM(Installment[[#This Row],[Jan-22]:[Dec-22]])</f>
        <v>1609.02</v>
      </c>
      <c r="Q7" s="19"/>
      <c r="R7" s="19"/>
      <c r="S7" s="19"/>
      <c r="T7" s="19"/>
      <c r="U7" s="19"/>
      <c r="V7" s="19"/>
      <c r="W7" s="19"/>
      <c r="X7" s="19"/>
      <c r="Y7" s="19"/>
      <c r="Z7" s="19"/>
      <c r="AA7" s="19"/>
      <c r="AB7" s="19"/>
      <c r="AC7" s="20">
        <f>SUM(Installment[[#This Row],[Jan-23]:[Dec-23]])</f>
        <v>0</v>
      </c>
      <c r="AD7" s="19"/>
      <c r="AE7" s="19"/>
      <c r="AF7" s="19"/>
      <c r="AG7" s="19"/>
      <c r="AH7" s="19"/>
      <c r="AP7" s="20">
        <f>SUM(Installment[[#This Row],[Jan-24]:[Dec-24]])</f>
        <v>0</v>
      </c>
    </row>
    <row r="8" spans="1:42">
      <c r="A8" s="15" t="s">
        <v>588</v>
      </c>
      <c r="B8" s="18">
        <v>3190</v>
      </c>
      <c r="C8" s="15">
        <v>10</v>
      </c>
      <c r="D8" s="19">
        <f>Installment[[#This Row],[Amt]]/Installment[[#This Row],[Month]]</f>
        <v>319</v>
      </c>
      <c r="E8" s="19">
        <f>Installment[[#This Row],[Amt]]/Installment[[#This Row],[Month]]</f>
        <v>319</v>
      </c>
      <c r="F8" s="19">
        <f>Installment[[#This Row],[Amt]]/Installment[[#This Row],[Month]]</f>
        <v>319</v>
      </c>
      <c r="G8" s="19">
        <f>Installment[[#This Row],[Amt]]/Installment[[#This Row],[Month]]</f>
        <v>319</v>
      </c>
      <c r="H8" s="19">
        <f>Installment[[#This Row],[Amt]]/Installment[[#This Row],[Month]]</f>
        <v>319</v>
      </c>
      <c r="I8" s="19">
        <f>Installment[[#This Row],[Amt]]/Installment[[#This Row],[Month]]</f>
        <v>319</v>
      </c>
      <c r="J8" s="19">
        <f>Installment[[#This Row],[Amt]]/Installment[[#This Row],[Month]]</f>
        <v>319</v>
      </c>
      <c r="K8" s="19"/>
      <c r="L8" s="19"/>
      <c r="M8" s="19"/>
      <c r="N8" s="19"/>
      <c r="O8" s="19"/>
      <c r="P8" s="20">
        <f>SUM(Installment[[#This Row],[Jan-22]:[Dec-22]])</f>
        <v>2233</v>
      </c>
      <c r="Q8" s="19"/>
      <c r="R8" s="19"/>
      <c r="S8" s="19"/>
      <c r="T8" s="19"/>
      <c r="U8" s="19"/>
      <c r="V8" s="19"/>
      <c r="W8" s="19"/>
      <c r="X8" s="19"/>
      <c r="Y8" s="19"/>
      <c r="Z8" s="19"/>
      <c r="AA8" s="19"/>
      <c r="AB8" s="19"/>
      <c r="AC8" s="20">
        <f>SUM(Installment[[#This Row],[Jan-23]:[Dec-23]])</f>
        <v>0</v>
      </c>
      <c r="AD8" s="19"/>
      <c r="AE8" s="19"/>
      <c r="AF8" s="19"/>
      <c r="AG8" s="19"/>
      <c r="AH8" s="19"/>
      <c r="AP8" s="20">
        <f>SUM(Installment[[#This Row],[Jan-24]:[Dec-24]])</f>
        <v>0</v>
      </c>
    </row>
    <row r="9" spans="1:42">
      <c r="A9" s="15" t="s">
        <v>589</v>
      </c>
      <c r="B9" s="18">
        <v>3200</v>
      </c>
      <c r="C9" s="15">
        <v>10</v>
      </c>
      <c r="D9" s="19"/>
      <c r="E9" s="19"/>
      <c r="F9" s="19">
        <f>Installment[[#This Row],[Amt]]/Installment[[#This Row],[Month]]</f>
        <v>320</v>
      </c>
      <c r="G9" s="19">
        <f>Installment[[#This Row],[Amt]]/Installment[[#This Row],[Month]]</f>
        <v>320</v>
      </c>
      <c r="H9" s="19">
        <f>Installment[[#This Row],[Amt]]/Installment[[#This Row],[Month]]</f>
        <v>320</v>
      </c>
      <c r="I9" s="19">
        <f>Installment[[#This Row],[Amt]]/Installment[[#This Row],[Month]]</f>
        <v>320</v>
      </c>
      <c r="J9" s="19">
        <f>Installment[[#This Row],[Amt]]/Installment[[#This Row],[Month]]</f>
        <v>320</v>
      </c>
      <c r="K9" s="19">
        <f>Installment[[#This Row],[Amt]]/Installment[[#This Row],[Month]]</f>
        <v>320</v>
      </c>
      <c r="L9" s="19">
        <f>Installment[[#This Row],[Amt]]/Installment[[#This Row],[Month]]</f>
        <v>320</v>
      </c>
      <c r="M9" s="19">
        <f>Installment[[#This Row],[Amt]]/Installment[[#This Row],[Month]]</f>
        <v>320</v>
      </c>
      <c r="N9" s="19">
        <f>Installment[[#This Row],[Amt]]/Installment[[#This Row],[Month]]</f>
        <v>320</v>
      </c>
      <c r="O9" s="19">
        <f>Installment[[#This Row],[Amt]]/Installment[[#This Row],[Month]]</f>
        <v>320</v>
      </c>
      <c r="P9" s="20">
        <f>SUM(Installment[[#This Row],[Jan-22]:[Dec-22]])</f>
        <v>3200</v>
      </c>
      <c r="Q9" s="19"/>
      <c r="R9" s="19"/>
      <c r="S9" s="19"/>
      <c r="T9" s="19"/>
      <c r="U9" s="19"/>
      <c r="V9" s="19"/>
      <c r="W9" s="19"/>
      <c r="X9" s="19"/>
      <c r="Y9" s="19"/>
      <c r="Z9" s="19"/>
      <c r="AA9" s="19"/>
      <c r="AB9" s="19"/>
      <c r="AC9" s="20">
        <f>SUM(Installment[[#This Row],[Jan-23]:[Dec-23]])</f>
        <v>0</v>
      </c>
      <c r="AD9" s="19"/>
      <c r="AE9" s="19"/>
      <c r="AF9" s="19"/>
      <c r="AG9" s="19"/>
      <c r="AH9" s="19"/>
      <c r="AP9" s="20">
        <f>SUM(Installment[[#This Row],[Jan-24]:[Dec-24]])</f>
        <v>0</v>
      </c>
    </row>
    <row r="10" spans="1:42">
      <c r="A10" s="15" t="s">
        <v>125</v>
      </c>
      <c r="B10" s="18">
        <v>1120</v>
      </c>
      <c r="C10" s="15">
        <v>2</v>
      </c>
      <c r="D10" s="19"/>
      <c r="E10" s="19"/>
      <c r="F10" s="19"/>
      <c r="G10" s="19"/>
      <c r="H10" s="19"/>
      <c r="I10" s="19"/>
      <c r="J10" s="19">
        <f>Installment[[#This Row],[Amt]]/Installment[[#This Row],[Month]]</f>
        <v>560</v>
      </c>
      <c r="K10" s="19">
        <f>Installment[[#This Row],[Amt]]/Installment[[#This Row],[Month]]</f>
        <v>560</v>
      </c>
      <c r="L10" s="19"/>
      <c r="M10" s="19"/>
      <c r="N10" s="19"/>
      <c r="O10" s="19"/>
      <c r="P10" s="20">
        <f>SUM(Installment[[#This Row],[Jan-22]:[Dec-22]])</f>
        <v>1120</v>
      </c>
      <c r="Q10" s="19"/>
      <c r="R10" s="19"/>
      <c r="S10" s="19"/>
      <c r="T10" s="19"/>
      <c r="U10" s="19"/>
      <c r="V10" s="19"/>
      <c r="W10" s="19"/>
      <c r="X10" s="19"/>
      <c r="Y10" s="19"/>
      <c r="Z10" s="19"/>
      <c r="AA10" s="19"/>
      <c r="AB10" s="19"/>
      <c r="AC10" s="20">
        <f>SUM(Installment[[#This Row],[Jan-23]:[Dec-23]])</f>
        <v>0</v>
      </c>
      <c r="AD10" s="19"/>
      <c r="AE10" s="19"/>
      <c r="AF10" s="19"/>
      <c r="AG10" s="19"/>
      <c r="AH10" s="19"/>
      <c r="AP10" s="20">
        <f>SUM(Installment[[#This Row],[Jan-24]:[Dec-24]])</f>
        <v>0</v>
      </c>
    </row>
    <row r="11" spans="1:42">
      <c r="A11" s="15" t="s">
        <v>590</v>
      </c>
      <c r="B11" s="18">
        <v>9990</v>
      </c>
      <c r="C11" s="15">
        <v>24</v>
      </c>
      <c r="D11" s="19"/>
      <c r="E11" s="19"/>
      <c r="F11" s="19"/>
      <c r="G11" s="19"/>
      <c r="H11" s="19"/>
      <c r="I11" s="19"/>
      <c r="J11" s="19">
        <f>Installment[[#This Row],[Amt]]/Installment[[#This Row],[Month]]</f>
        <v>416.25</v>
      </c>
      <c r="K11" s="19">
        <f>Installment[[#This Row],[Amt]]/Installment[[#This Row],[Month]]</f>
        <v>416.25</v>
      </c>
      <c r="L11" s="19">
        <f>Installment[[#This Row],[Amt]]/Installment[[#This Row],[Month]]</f>
        <v>416.25</v>
      </c>
      <c r="M11" s="19">
        <f>Installment[[#This Row],[Amt]]/Installment[[#This Row],[Month]]</f>
        <v>416.25</v>
      </c>
      <c r="N11" s="19">
        <f>Installment[[#This Row],[Amt]]/Installment[[#This Row],[Month]]</f>
        <v>416.25</v>
      </c>
      <c r="O11" s="19">
        <f>Installment[[#This Row],[Amt]]/Installment[[#This Row],[Month]]</f>
        <v>416.25</v>
      </c>
      <c r="P11" s="20">
        <f>SUM(Installment[[#This Row],[Jan-22]:[Dec-22]])</f>
        <v>2497.5</v>
      </c>
      <c r="Q11" s="19">
        <f>Installment[[#This Row],[Amt]]/Installment[[#This Row],[Month]]</f>
        <v>416.25</v>
      </c>
      <c r="R11" s="19">
        <f>Installment[[#This Row],[Amt]]/Installment[[#This Row],[Month]]</f>
        <v>416.25</v>
      </c>
      <c r="S11" s="19">
        <f>Installment[[#This Row],[Amt]]/Installment[[#This Row],[Month]]</f>
        <v>416.25</v>
      </c>
      <c r="T11" s="19">
        <f>Installment[[#This Row],[Amt]]/Installment[[#This Row],[Month]]</f>
        <v>416.25</v>
      </c>
      <c r="U11" s="19">
        <f>Installment[[#This Row],[Amt]]/Installment[[#This Row],[Month]]</f>
        <v>416.25</v>
      </c>
      <c r="V11" s="19">
        <f>Installment[[#This Row],[Amt]]/Installment[[#This Row],[Month]]</f>
        <v>416.25</v>
      </c>
      <c r="W11" s="19">
        <f>Installment[[#This Row],[Amt]]/Installment[[#This Row],[Month]]</f>
        <v>416.25</v>
      </c>
      <c r="X11" s="19">
        <f>Installment[[#This Row],[Amt]]/Installment[[#This Row],[Month]]</f>
        <v>416.25</v>
      </c>
      <c r="Y11" s="19">
        <f>Installment[[#This Row],[Amt]]/Installment[[#This Row],[Month]]</f>
        <v>416.25</v>
      </c>
      <c r="Z11" s="19">
        <f>Installment[[#This Row],[Amt]]/Installment[[#This Row],[Month]]</f>
        <v>416.25</v>
      </c>
      <c r="AA11" s="19">
        <f>Installment[[#This Row],[Amt]]/Installment[[#This Row],[Month]]</f>
        <v>416.25</v>
      </c>
      <c r="AB11" s="19">
        <f>Installment[[#This Row],[Amt]]/Installment[[#This Row],[Month]]</f>
        <v>416.25</v>
      </c>
      <c r="AC11" s="20">
        <f>SUM(Installment[[#This Row],[Jan-23]:[Dec-23]])</f>
        <v>4995</v>
      </c>
      <c r="AD11" s="19">
        <f>Installment[[#This Row],[Amt]]/Installment[[#This Row],[Month]]</f>
        <v>416.25</v>
      </c>
      <c r="AE11" s="19">
        <f>Installment[[#This Row],[Amt]]/Installment[[#This Row],[Month]]</f>
        <v>416.25</v>
      </c>
      <c r="AF11" s="19">
        <f>Installment[[#This Row],[Amt]]/Installment[[#This Row],[Month]]</f>
        <v>416.25</v>
      </c>
      <c r="AG11" s="19">
        <f>Installment[[#This Row],[Amt]]/Installment[[#This Row],[Month]]</f>
        <v>416.25</v>
      </c>
      <c r="AH11" s="19">
        <f>Installment[[#This Row],[Amt]]/Installment[[#This Row],[Month]]</f>
        <v>416.25</v>
      </c>
      <c r="AI11" s="19">
        <f>Installment[[#This Row],[Amt]]/Installment[[#This Row],[Month]]</f>
        <v>416.25</v>
      </c>
      <c r="AP11" s="20">
        <f>SUM(Installment[[#This Row],[Jan-24]:[Dec-24]])</f>
        <v>2497.5</v>
      </c>
    </row>
    <row r="12" spans="1:42">
      <c r="A12" s="15" t="s">
        <v>591</v>
      </c>
      <c r="B12" s="18">
        <v>4490</v>
      </c>
      <c r="C12" s="15">
        <v>24</v>
      </c>
      <c r="D12" s="19"/>
      <c r="E12" s="19"/>
      <c r="F12" s="19"/>
      <c r="G12" s="19"/>
      <c r="H12" s="19"/>
      <c r="I12" s="19"/>
      <c r="J12" s="19">
        <f>Installment[[#This Row],[Amt]]/Installment[[#This Row],[Month]]</f>
        <v>187.08333333333334</v>
      </c>
      <c r="K12" s="19">
        <f>Installment[[#This Row],[Amt]]/Installment[[#This Row],[Month]]</f>
        <v>187.08333333333334</v>
      </c>
      <c r="L12" s="19">
        <f>Installment[[#This Row],[Amt]]/Installment[[#This Row],[Month]]</f>
        <v>187.08333333333334</v>
      </c>
      <c r="M12" s="19">
        <f>Installment[[#This Row],[Amt]]/Installment[[#This Row],[Month]]</f>
        <v>187.08333333333334</v>
      </c>
      <c r="N12" s="19">
        <f>Installment[[#This Row],[Amt]]/Installment[[#This Row],[Month]]</f>
        <v>187.08333333333334</v>
      </c>
      <c r="O12" s="19">
        <f>Installment[[#This Row],[Amt]]/Installment[[#This Row],[Month]]</f>
        <v>187.08333333333334</v>
      </c>
      <c r="P12" s="20">
        <f>SUM(Installment[[#This Row],[Jan-22]:[Dec-22]])</f>
        <v>1122.5</v>
      </c>
      <c r="Q12" s="19">
        <f>Installment[[#This Row],[Amt]]/Installment[[#This Row],[Month]]</f>
        <v>187.08333333333334</v>
      </c>
      <c r="R12" s="19">
        <f>Installment[[#This Row],[Amt]]/Installment[[#This Row],[Month]]</f>
        <v>187.08333333333334</v>
      </c>
      <c r="S12" s="19">
        <f>Installment[[#This Row],[Amt]]/Installment[[#This Row],[Month]]</f>
        <v>187.08333333333334</v>
      </c>
      <c r="T12" s="19">
        <f>Installment[[#This Row],[Amt]]/Installment[[#This Row],[Month]]</f>
        <v>187.08333333333334</v>
      </c>
      <c r="U12" s="19">
        <f>Installment[[#This Row],[Amt]]/Installment[[#This Row],[Month]]</f>
        <v>187.08333333333334</v>
      </c>
      <c r="V12" s="19">
        <f>Installment[[#This Row],[Amt]]/Installment[[#This Row],[Month]]</f>
        <v>187.08333333333334</v>
      </c>
      <c r="W12" s="19">
        <f>Installment[[#This Row],[Amt]]/Installment[[#This Row],[Month]]</f>
        <v>187.08333333333334</v>
      </c>
      <c r="X12" s="19">
        <f>Installment[[#This Row],[Amt]]/Installment[[#This Row],[Month]]</f>
        <v>187.08333333333334</v>
      </c>
      <c r="Y12" s="19">
        <f>Installment[[#This Row],[Amt]]/Installment[[#This Row],[Month]]</f>
        <v>187.08333333333334</v>
      </c>
      <c r="Z12" s="19">
        <f>Installment[[#This Row],[Amt]]/Installment[[#This Row],[Month]]</f>
        <v>187.08333333333334</v>
      </c>
      <c r="AA12" s="19">
        <f>Installment[[#This Row],[Amt]]/Installment[[#This Row],[Month]]</f>
        <v>187.08333333333334</v>
      </c>
      <c r="AB12" s="19">
        <f>Installment[[#This Row],[Amt]]/Installment[[#This Row],[Month]]</f>
        <v>187.08333333333334</v>
      </c>
      <c r="AC12" s="20">
        <f>SUM(Installment[[#This Row],[Jan-23]:[Dec-23]])</f>
        <v>2245</v>
      </c>
      <c r="AD12" s="19">
        <f>Installment[[#This Row],[Amt]]/Installment[[#This Row],[Month]]</f>
        <v>187.08333333333334</v>
      </c>
      <c r="AE12" s="19">
        <f>Installment[[#This Row],[Amt]]/Installment[[#This Row],[Month]]</f>
        <v>187.08333333333334</v>
      </c>
      <c r="AF12" s="19">
        <f>Installment[[#This Row],[Amt]]/Installment[[#This Row],[Month]]</f>
        <v>187.08333333333334</v>
      </c>
      <c r="AG12" s="19">
        <f>Installment[[#This Row],[Amt]]/Installment[[#This Row],[Month]]</f>
        <v>187.08333333333334</v>
      </c>
      <c r="AH12" s="19">
        <f>Installment[[#This Row],[Amt]]/Installment[[#This Row],[Month]]</f>
        <v>187.08333333333334</v>
      </c>
      <c r="AI12" s="19">
        <f>Installment[[#This Row],[Amt]]/Installment[[#This Row],[Month]]</f>
        <v>187.08333333333334</v>
      </c>
      <c r="AP12" s="20">
        <f>SUM(Installment[[#This Row],[Jan-24]:[Dec-24]])</f>
        <v>1122.5</v>
      </c>
    </row>
    <row r="13" spans="1:42">
      <c r="A13" s="15" t="s">
        <v>344</v>
      </c>
      <c r="B13" s="18">
        <v>9000</v>
      </c>
      <c r="C13" s="15">
        <v>10</v>
      </c>
      <c r="D13" s="19"/>
      <c r="E13" s="19"/>
      <c r="F13" s="19"/>
      <c r="G13" s="19"/>
      <c r="H13" s="19"/>
      <c r="I13" s="19"/>
      <c r="J13" s="19"/>
      <c r="K13" s="19"/>
      <c r="L13" s="19">
        <f>Installment[[#This Row],[Amt]]/Installment[[#This Row],[Month]]</f>
        <v>900</v>
      </c>
      <c r="M13" s="19">
        <f>Installment[[#This Row],[Amt]]/Installment[[#This Row],[Month]]</f>
        <v>900</v>
      </c>
      <c r="N13" s="19">
        <f>Installment[[#This Row],[Amt]]/Installment[[#This Row],[Month]]</f>
        <v>900</v>
      </c>
      <c r="O13" s="19">
        <f>Installment[[#This Row],[Amt]]/Installment[[#This Row],[Month]]</f>
        <v>900</v>
      </c>
      <c r="P13" s="20">
        <f>SUM(Installment[[#This Row],[Jan-22]:[Dec-22]])</f>
        <v>3600</v>
      </c>
      <c r="Q13" s="19">
        <f>Installment[[#This Row],[Amt]]/Installment[[#This Row],[Month]]</f>
        <v>900</v>
      </c>
      <c r="R13" s="19">
        <f>Installment[[#This Row],[Amt]]/Installment[[#This Row],[Month]]</f>
        <v>900</v>
      </c>
      <c r="S13" s="19">
        <f>Installment[[#This Row],[Amt]]/Installment[[#This Row],[Month]]</f>
        <v>900</v>
      </c>
      <c r="T13" s="19">
        <f>Installment[[#This Row],[Amt]]/Installment[[#This Row],[Month]]</f>
        <v>900</v>
      </c>
      <c r="U13" s="19">
        <f>Installment[[#This Row],[Amt]]/Installment[[#This Row],[Month]]</f>
        <v>900</v>
      </c>
      <c r="V13" s="19">
        <f>Installment[[#This Row],[Amt]]/Installment[[#This Row],[Month]]</f>
        <v>900</v>
      </c>
      <c r="W13" s="19"/>
      <c r="X13" s="19"/>
      <c r="Y13" s="19"/>
      <c r="Z13" s="19"/>
      <c r="AA13" s="19"/>
      <c r="AB13" s="19"/>
      <c r="AC13" s="20">
        <f>SUM(Installment[[#This Row],[Jan-23]:[Dec-23]])</f>
        <v>5400</v>
      </c>
      <c r="AD13" s="19"/>
      <c r="AE13" s="19"/>
      <c r="AF13" s="19"/>
      <c r="AG13" s="19"/>
      <c r="AH13" s="19"/>
      <c r="AI13" s="19"/>
      <c r="AP13" s="20">
        <f>SUM(Installment[[#This Row],[Jan-24]:[Dec-24]])</f>
        <v>0</v>
      </c>
    </row>
    <row r="14" spans="1:42">
      <c r="A14" s="15" t="s">
        <v>592</v>
      </c>
      <c r="B14" s="18">
        <v>1288</v>
      </c>
      <c r="C14" s="15">
        <v>6</v>
      </c>
      <c r="D14" s="19"/>
      <c r="E14" s="19"/>
      <c r="F14" s="19"/>
      <c r="G14" s="19"/>
      <c r="H14" s="19"/>
      <c r="I14" s="19"/>
      <c r="J14" s="19"/>
      <c r="K14" s="19"/>
      <c r="L14" s="19">
        <f>Installment[[#This Row],[Amt]]/Installment[[#This Row],[Month]]</f>
        <v>214.66666666666666</v>
      </c>
      <c r="M14" s="19">
        <f>Installment[[#This Row],[Amt]]/Installment[[#This Row],[Month]]</f>
        <v>214.66666666666666</v>
      </c>
      <c r="N14" s="19">
        <f>Installment[[#This Row],[Amt]]/Installment[[#This Row],[Month]]</f>
        <v>214.66666666666666</v>
      </c>
      <c r="O14" s="19">
        <f>Installment[[#This Row],[Amt]]/Installment[[#This Row],[Month]]</f>
        <v>214.66666666666666</v>
      </c>
      <c r="P14" s="20">
        <f>SUM(Installment[[#This Row],[Jan-22]:[Dec-22]])</f>
        <v>858.66666666666663</v>
      </c>
      <c r="Q14" s="19">
        <f>Installment[[#This Row],[Amt]]/Installment[[#This Row],[Month]]</f>
        <v>214.66666666666666</v>
      </c>
      <c r="R14" s="19">
        <f>Installment[[#This Row],[Amt]]/Installment[[#This Row],[Month]]</f>
        <v>214.66666666666666</v>
      </c>
      <c r="S14" s="19">
        <f>Installment[[#This Row],[Amt]]/Installment[[#This Row],[Month]]</f>
        <v>214.66666666666666</v>
      </c>
      <c r="T14" s="19">
        <f>Installment[[#This Row],[Amt]]/Installment[[#This Row],[Month]]</f>
        <v>214.66666666666666</v>
      </c>
      <c r="U14" s="19">
        <f>Installment[[#This Row],[Amt]]/Installment[[#This Row],[Month]]</f>
        <v>214.66666666666666</v>
      </c>
      <c r="V14" s="19">
        <f>Installment[[#This Row],[Amt]]/Installment[[#This Row],[Month]]</f>
        <v>214.66666666666666</v>
      </c>
      <c r="W14" s="19"/>
      <c r="X14" s="19"/>
      <c r="Y14" s="19"/>
      <c r="Z14" s="19"/>
      <c r="AA14" s="19"/>
      <c r="AB14" s="19"/>
      <c r="AC14" s="20">
        <f>SUM(Installment[[#This Row],[Jan-23]:[Dec-23]])</f>
        <v>1288</v>
      </c>
      <c r="AD14" s="19"/>
      <c r="AE14" s="19"/>
      <c r="AF14" s="19"/>
      <c r="AG14" s="19"/>
      <c r="AH14" s="19"/>
      <c r="AI14" s="19"/>
      <c r="AP14" s="20">
        <f>SUM(Installment[[#This Row],[Jan-24]:[Dec-24]])</f>
        <v>0</v>
      </c>
    </row>
    <row r="15" spans="1:42">
      <c r="A15" s="15" t="s">
        <v>593</v>
      </c>
      <c r="B15" s="18">
        <f>2965*10</f>
        <v>29650</v>
      </c>
      <c r="C15" s="15">
        <v>10</v>
      </c>
      <c r="D15" s="19"/>
      <c r="E15" s="19"/>
      <c r="F15" s="19"/>
      <c r="G15" s="19"/>
      <c r="H15" s="19"/>
      <c r="I15" s="19"/>
      <c r="J15" s="19"/>
      <c r="K15" s="19"/>
      <c r="L15" s="19"/>
      <c r="M15" s="19"/>
      <c r="N15" s="19">
        <f>Installment[[#This Row],[Amt]]/Installment[[#This Row],[Month]]</f>
        <v>2965</v>
      </c>
      <c r="O15" s="19">
        <f>Installment[[#This Row],[Amt]]/Installment[[#This Row],[Month]]</f>
        <v>2965</v>
      </c>
      <c r="P15" s="20">
        <f>SUM(Installment[[#This Row],[Jan-22]:[Dec-22]])</f>
        <v>5930</v>
      </c>
      <c r="Q15" s="19">
        <f>Installment[[#This Row],[Amt]]/Installment[[#This Row],[Month]]</f>
        <v>2965</v>
      </c>
      <c r="R15" s="19">
        <f>Installment[[#This Row],[Amt]]/Installment[[#This Row],[Month]]</f>
        <v>2965</v>
      </c>
      <c r="S15" s="19">
        <f>Installment[[#This Row],[Amt]]/Installment[[#This Row],[Month]]</f>
        <v>2965</v>
      </c>
      <c r="T15" s="19">
        <f>Installment[[#This Row],[Amt]]/Installment[[#This Row],[Month]]</f>
        <v>2965</v>
      </c>
      <c r="U15" s="19">
        <f>Installment[[#This Row],[Amt]]/Installment[[#This Row],[Month]]</f>
        <v>2965</v>
      </c>
      <c r="V15" s="19">
        <f>Installment[[#This Row],[Amt]]/Installment[[#This Row],[Month]]</f>
        <v>2965</v>
      </c>
      <c r="W15" s="19">
        <f>Installment[[#This Row],[Amt]]/Installment[[#This Row],[Month]]</f>
        <v>2965</v>
      </c>
      <c r="X15" s="19">
        <f>Installment[[#This Row],[Amt]]/Installment[[#This Row],[Month]]</f>
        <v>2965</v>
      </c>
      <c r="Y15" s="19"/>
      <c r="Z15" s="19"/>
      <c r="AA15" s="19"/>
      <c r="AB15" s="19"/>
      <c r="AC15" s="20">
        <f>SUM(Installment[[#This Row],[Jan-23]:[Dec-23]])</f>
        <v>23720</v>
      </c>
      <c r="AD15" s="19"/>
      <c r="AE15" s="19"/>
      <c r="AF15" s="19"/>
      <c r="AG15" s="19"/>
      <c r="AH15" s="19"/>
      <c r="AI15" s="19"/>
      <c r="AP15" s="20">
        <f>SUM(Installment[[#This Row],[Jan-24]:[Dec-24]])</f>
        <v>0</v>
      </c>
    </row>
    <row r="16" spans="1:42">
      <c r="A16" s="15" t="s">
        <v>191</v>
      </c>
      <c r="B16" s="18">
        <v>3716</v>
      </c>
      <c r="C16" s="15">
        <v>6</v>
      </c>
      <c r="D16" s="19"/>
      <c r="E16" s="19"/>
      <c r="F16" s="19"/>
      <c r="G16" s="19"/>
      <c r="H16" s="19"/>
      <c r="I16" s="19"/>
      <c r="J16" s="19"/>
      <c r="K16" s="19"/>
      <c r="L16" s="19"/>
      <c r="M16" s="19"/>
      <c r="N16" s="19"/>
      <c r="O16" s="19">
        <f>Installment[[#This Row],[Amt]]/Installment[[#This Row],[Month]]</f>
        <v>619.33333333333337</v>
      </c>
      <c r="P16" s="20">
        <f>SUM(Installment[[#This Row],[Jan-22]:[Dec-22]])</f>
        <v>619.33333333333337</v>
      </c>
      <c r="Q16" s="19">
        <f>Installment[[#This Row],[Amt]]/Installment[[#This Row],[Month]]</f>
        <v>619.33333333333337</v>
      </c>
      <c r="R16" s="19">
        <f>Installment[[#This Row],[Amt]]/Installment[[#This Row],[Month]]</f>
        <v>619.33333333333337</v>
      </c>
      <c r="S16" s="19">
        <f>Installment[[#This Row],[Amt]]/Installment[[#This Row],[Month]]</f>
        <v>619.33333333333337</v>
      </c>
      <c r="T16" s="19">
        <f>Installment[[#This Row],[Amt]]/Installment[[#This Row],[Month]]</f>
        <v>619.33333333333337</v>
      </c>
      <c r="U16" s="19"/>
      <c r="V16" s="19"/>
      <c r="W16" s="19"/>
      <c r="X16" s="19"/>
      <c r="Y16" s="19"/>
      <c r="Z16" s="19"/>
      <c r="AA16" s="19"/>
      <c r="AB16" s="19"/>
      <c r="AC16" s="20">
        <f>SUM(Installment[[#This Row],[Jan-23]:[Dec-23]])</f>
        <v>2477.3333333333335</v>
      </c>
      <c r="AD16" s="19"/>
      <c r="AE16" s="19"/>
      <c r="AF16" s="19"/>
      <c r="AG16" s="19"/>
      <c r="AH16" s="19"/>
      <c r="AI16" s="19"/>
      <c r="AP16" s="20">
        <f>SUM(Installment[[#This Row],[Jan-24]:[Dec-24]])</f>
        <v>0</v>
      </c>
    </row>
    <row r="17" spans="1:42">
      <c r="A17" s="15" t="s">
        <v>1</v>
      </c>
      <c r="B17" s="19">
        <f>SUBTOTAL(109,Installment[Amt])</f>
        <v>141292.66</v>
      </c>
      <c r="D17" s="19">
        <f>SUBTOTAL(109,Installment[Jan-22])</f>
        <v>1510.87</v>
      </c>
      <c r="E17" s="19">
        <f>SUBTOTAL(109,Installment[Feb-22])</f>
        <v>3293.3099999999995</v>
      </c>
      <c r="F17" s="19">
        <f>SUBTOTAL(109,Installment[Mar-22])</f>
        <v>5203.3099999999995</v>
      </c>
      <c r="G17" s="19">
        <f>SUBTOTAL(109,Installment[Apr-22])</f>
        <v>5739.65</v>
      </c>
      <c r="H17" s="19">
        <f>SUBTOTAL(109,Installment[May-22])</f>
        <v>5739.65</v>
      </c>
      <c r="I17" s="19">
        <f>SUBTOTAL(109,Installment[Jun-22])</f>
        <v>8538.09</v>
      </c>
      <c r="J17" s="19">
        <f>SUBTOTAL(109,Installment[Jul-22])</f>
        <v>9165.0833333333339</v>
      </c>
      <c r="K17" s="19">
        <f>SUBTOTAL(109,Installment[Aug-22])</f>
        <v>7063.6433333333325</v>
      </c>
      <c r="L17" s="19">
        <f>SUBTOTAL(109,Installment[Sep-22])</f>
        <v>7618.3099999999995</v>
      </c>
      <c r="M17" s="19">
        <f>SUBTOTAL(109,Installment[Oct-22])</f>
        <v>7618.3099999999995</v>
      </c>
      <c r="N17" s="19">
        <f>SUBTOTAL(109,Installment[Nov-22])</f>
        <v>10583.31</v>
      </c>
      <c r="O17" s="19">
        <f>SUBTOTAL(109,Installment[Dec-22])</f>
        <v>11202.643333333333</v>
      </c>
      <c r="P17" s="23">
        <f>SUBTOTAL(109,Installment[Total-22])</f>
        <v>83276.179999999993</v>
      </c>
      <c r="Q17" s="19">
        <f>SUBTOTAL(109,Installment[Jan-23])</f>
        <v>9292.6433333333334</v>
      </c>
      <c r="R17" s="19">
        <f>SUBTOTAL(109,Installment[Feb-23])</f>
        <v>9292.6433333333334</v>
      </c>
      <c r="S17" s="19">
        <f>SUBTOTAL(109,Installment[Mar-23])</f>
        <v>9292.6433333333334</v>
      </c>
      <c r="T17" s="19">
        <f>SUBTOTAL(109,Installment[Apr-23])</f>
        <v>7884.4433333333327</v>
      </c>
      <c r="U17" s="19">
        <f>SUBTOTAL(109,Installment[May-23])</f>
        <v>7265.11</v>
      </c>
      <c r="V17" s="19">
        <f>SUBTOTAL(109,Installment[Jun-23])</f>
        <v>7265.11</v>
      </c>
      <c r="W17" s="19">
        <f>SUBTOTAL(109,Installment[Jul-23])</f>
        <v>6150.4433333333327</v>
      </c>
      <c r="X17" s="19">
        <f>SUBTOTAL(109,Installment[Aug-23])</f>
        <v>6150.4433333333327</v>
      </c>
      <c r="Y17" s="19">
        <f>SUBTOTAL(109,Installment[Sep-23])</f>
        <v>3185.4433333333332</v>
      </c>
      <c r="Z17" s="19">
        <f>SUBTOTAL(109,Installment[Oct-23])</f>
        <v>3185.4433333333332</v>
      </c>
      <c r="AA17" s="19">
        <f>SUBTOTAL(109,Installment[Nov-23])</f>
        <v>3185.4433333333332</v>
      </c>
      <c r="AB17" s="19">
        <f>SUBTOTAL(109,Installment[Dec-23])</f>
        <v>3185.4433333333332</v>
      </c>
      <c r="AC17" s="23">
        <f>SUBTOTAL(109,Installment[Total-23])</f>
        <v>75335.253333333327</v>
      </c>
      <c r="AD17" s="19">
        <f>SUBTOTAL(109,Installment[Jan-24])</f>
        <v>3185.4433333333332</v>
      </c>
      <c r="AE17" s="19">
        <f>SUBTOTAL(109,Installment[Feb-24])</f>
        <v>3185.4433333333332</v>
      </c>
      <c r="AF17" s="19">
        <f>SUBTOTAL(109,Installment[Mar-24])</f>
        <v>3185.4433333333332</v>
      </c>
      <c r="AG17" s="19">
        <f>SUBTOTAL(109,Installment[Apr-24])</f>
        <v>3185.4433333333332</v>
      </c>
      <c r="AH17" s="19">
        <f>SUBTOTAL(109,Installment[May-24])</f>
        <v>3182.6833333333329</v>
      </c>
      <c r="AI17" s="19">
        <f>SUBTOTAL(109,Installment[Jun-24])</f>
        <v>1795.2033333333331</v>
      </c>
      <c r="AJ17" s="19">
        <f>SUBTOTAL(109,Installment[Jul-24])</f>
        <v>1191.8699999999999</v>
      </c>
      <c r="AK17" s="19">
        <f>SUBTOTAL(109,Installment[Aug-24])</f>
        <v>1191.8699999999999</v>
      </c>
      <c r="AL17" s="19">
        <f>SUBTOTAL(109,Installment[Sep-24])</f>
        <v>1191.8699999999999</v>
      </c>
      <c r="AM17" s="19">
        <f>SUBTOTAL(109,Installment[Oct-24])</f>
        <v>1191.8699999999999</v>
      </c>
      <c r="AN17" s="19">
        <f>SUBTOTAL(109,Installment[Nov-24])</f>
        <v>1191.8699999999999</v>
      </c>
      <c r="AO17" s="19">
        <f>SUBTOTAL(109,Installment[Dec-24])</f>
        <v>1191.8699999999999</v>
      </c>
      <c r="AP17" s="23">
        <f>SUBTOTAL(109,Installment[Total-24])</f>
        <v>24870.879999999994</v>
      </c>
    </row>
    <row r="18" spans="1:42">
      <c r="A18" s="31" t="s">
        <v>594</v>
      </c>
      <c r="B18" s="31"/>
      <c r="C18" s="31"/>
      <c r="D18" s="32" t="s">
        <v>547</v>
      </c>
      <c r="E18" s="32" t="s">
        <v>548</v>
      </c>
      <c r="F18" s="32" t="s">
        <v>549</v>
      </c>
      <c r="G18" s="32" t="s">
        <v>550</v>
      </c>
      <c r="H18" s="32" t="s">
        <v>551</v>
      </c>
      <c r="I18" s="32" t="s">
        <v>552</v>
      </c>
      <c r="J18" s="32" t="s">
        <v>553</v>
      </c>
      <c r="K18" s="32" t="s">
        <v>554</v>
      </c>
      <c r="L18" s="32" t="s">
        <v>555</v>
      </c>
      <c r="M18" s="32" t="s">
        <v>556</v>
      </c>
      <c r="N18" s="32" t="s">
        <v>557</v>
      </c>
      <c r="O18" s="32" t="s">
        <v>558</v>
      </c>
      <c r="Q18" s="32">
        <v>44927</v>
      </c>
    </row>
    <row r="19" spans="1:42">
      <c r="A19" s="27" t="s">
        <v>0</v>
      </c>
      <c r="B19" s="27"/>
      <c r="C19" s="27"/>
      <c r="D19" s="27"/>
      <c r="E19" s="27"/>
      <c r="F19" s="27"/>
      <c r="G19" s="28">
        <f>'Apr22'!E10</f>
        <v>4392.7950000000001</v>
      </c>
      <c r="H19" s="28">
        <f>'May22'!E12</f>
        <v>6545.7800000000007</v>
      </c>
      <c r="I19" s="28">
        <f>'Jun22'!E14</f>
        <v>10285.335000000001</v>
      </c>
      <c r="J19" s="28">
        <f>'Jul22'!E17</f>
        <v>8140.58</v>
      </c>
      <c r="K19" s="28">
        <f>'Aug22'!E12</f>
        <v>4808.68</v>
      </c>
      <c r="L19" s="28">
        <f>'Sep22'!E11</f>
        <v>7012.03</v>
      </c>
      <c r="M19" s="28">
        <f>'Oct22'!E11</f>
        <v>6222.1399999999994</v>
      </c>
      <c r="N19" s="28">
        <f>'Nov22'!E11</f>
        <v>3486.7999999999997</v>
      </c>
      <c r="O19" s="28">
        <f>'Dec22'!E11</f>
        <v>3614.7999999999997</v>
      </c>
      <c r="P19" s="27" t="s">
        <v>0</v>
      </c>
      <c r="Q19" s="28">
        <f>'Jan23'!E11</f>
        <v>1408.2</v>
      </c>
    </row>
    <row r="20" spans="1:42">
      <c r="A20" s="27" t="s">
        <v>17</v>
      </c>
      <c r="B20" s="27"/>
      <c r="C20" s="27"/>
      <c r="D20" s="27"/>
      <c r="E20" s="27"/>
      <c r="F20" s="27"/>
      <c r="G20" s="28">
        <f>'Apr22'!E18</f>
        <v>3090.1200000000003</v>
      </c>
      <c r="H20" s="28">
        <f>'May22'!E21</f>
        <v>4270.1600000000008</v>
      </c>
      <c r="I20" s="28">
        <f>'Jun22'!E23</f>
        <v>3175.9300000000003</v>
      </c>
      <c r="J20" s="28">
        <f>'Jul22'!E26</f>
        <v>3090.1200000000003</v>
      </c>
      <c r="K20" s="28">
        <f>'Aug22'!E21</f>
        <v>3144.41</v>
      </c>
      <c r="L20" s="28">
        <f>'Sep22'!E20</f>
        <v>3144.41</v>
      </c>
      <c r="M20" s="28">
        <f>'Oct22'!E20</f>
        <v>809.21</v>
      </c>
      <c r="N20" s="28">
        <f>'Nov22'!E20</f>
        <v>3144.41</v>
      </c>
      <c r="O20" s="28">
        <f>'Dec22'!E20</f>
        <v>3144.41</v>
      </c>
      <c r="P20" s="27" t="s">
        <v>17</v>
      </c>
      <c r="Q20" s="28">
        <f>'Jan23'!E20</f>
        <v>2832.29</v>
      </c>
    </row>
    <row r="21" spans="1:42">
      <c r="A21" s="27" t="s">
        <v>595</v>
      </c>
      <c r="B21" s="27"/>
      <c r="C21" s="27"/>
      <c r="D21" s="27"/>
      <c r="E21" s="27"/>
      <c r="F21" s="27"/>
      <c r="G21" s="28"/>
      <c r="H21" s="28"/>
      <c r="I21" s="28"/>
      <c r="J21" s="28"/>
      <c r="K21" s="28"/>
      <c r="L21" s="28"/>
      <c r="M21" s="28">
        <f>'Oct22'!E62</f>
        <v>2832.29</v>
      </c>
      <c r="N21" s="28">
        <f>'Nov22'!D62</f>
        <v>0</v>
      </c>
      <c r="O21" s="28">
        <f>'Dec22'!D62</f>
        <v>429</v>
      </c>
      <c r="P21" s="27" t="s">
        <v>595</v>
      </c>
      <c r="Q21" s="28">
        <f>'Jan23'!E62</f>
        <v>200</v>
      </c>
    </row>
    <row r="22" spans="1:42">
      <c r="A22" s="27" t="s">
        <v>22</v>
      </c>
      <c r="B22" s="27"/>
      <c r="C22" s="27"/>
      <c r="D22" s="27"/>
      <c r="E22" s="27"/>
      <c r="F22" s="27"/>
      <c r="G22" s="28">
        <f>'Apr22'!E26</f>
        <v>5997.32</v>
      </c>
      <c r="H22" s="28">
        <f>'May22'!E29</f>
        <v>1191.8699999999999</v>
      </c>
      <c r="I22" s="28">
        <f>'Jun22'!E31</f>
        <v>1191.8699999999999</v>
      </c>
      <c r="J22" s="28">
        <f>'Jul22'!E34</f>
        <v>1191.8699999999999</v>
      </c>
      <c r="K22" s="28">
        <f>'Aug22'!E29</f>
        <v>1191.8699999999999</v>
      </c>
      <c r="L22" s="28">
        <f>'Sep22'!E28</f>
        <v>1191.8699999999999</v>
      </c>
      <c r="M22" s="28">
        <f>'Oct22'!E28</f>
        <v>1191.8699999999999</v>
      </c>
      <c r="N22" s="28">
        <f>'Nov22'!E28</f>
        <v>4156.87</v>
      </c>
      <c r="O22" s="28">
        <f>'Dec22'!E28</f>
        <v>4156.8599999999997</v>
      </c>
      <c r="P22" s="27" t="s">
        <v>22</v>
      </c>
      <c r="Q22" s="28">
        <f>'Jan23'!E28</f>
        <v>4156.8599999999997</v>
      </c>
    </row>
    <row r="23" spans="1:42">
      <c r="A23" s="27" t="s">
        <v>28</v>
      </c>
      <c r="B23" s="27"/>
      <c r="C23" s="27"/>
      <c r="D23" s="27"/>
      <c r="E23" s="27"/>
      <c r="F23" s="27"/>
      <c r="G23" s="28">
        <f>'Apr22'!E34</f>
        <v>2448</v>
      </c>
      <c r="H23" s="28">
        <f>'May22'!E37</f>
        <v>560.5</v>
      </c>
      <c r="I23" s="28">
        <f>'Jun22'!E39</f>
        <v>3722.125</v>
      </c>
      <c r="J23" s="28">
        <f>'Jul22'!E42</f>
        <v>1932</v>
      </c>
      <c r="K23" s="28">
        <f>'Aug22'!E37</f>
        <v>1762</v>
      </c>
      <c r="L23" s="28">
        <f>'Sep22'!E36</f>
        <v>1212.5</v>
      </c>
      <c r="M23" s="28">
        <f>'Oct22'!E36</f>
        <v>886.375</v>
      </c>
      <c r="N23" s="28">
        <f>'Nov22'!E36</f>
        <v>832.25</v>
      </c>
      <c r="O23" s="28">
        <f>'Dec22'!E36</f>
        <v>2630</v>
      </c>
      <c r="P23" s="27" t="s">
        <v>28</v>
      </c>
      <c r="Q23" s="28">
        <f>'Jan23'!E36</f>
        <v>0</v>
      </c>
    </row>
    <row r="24" spans="1:42">
      <c r="A24" s="27" t="s">
        <v>54</v>
      </c>
      <c r="B24" s="27"/>
      <c r="C24" s="27"/>
      <c r="D24" s="27"/>
      <c r="E24" s="27"/>
      <c r="F24" s="27"/>
      <c r="G24" s="27">
        <v>0</v>
      </c>
      <c r="H24" s="28">
        <f>'May22'!E45</f>
        <v>0</v>
      </c>
      <c r="I24" s="28">
        <f>'Jun22'!E47</f>
        <v>1390.24</v>
      </c>
      <c r="J24" s="28">
        <f>'Jul22'!E51</f>
        <v>1652.4033333333332</v>
      </c>
      <c r="K24" s="30">
        <f>'Aug22'!E47</f>
        <v>1989.7033333333331</v>
      </c>
      <c r="L24" s="28">
        <f>'Sep22'!E46</f>
        <v>1989.7033333333331</v>
      </c>
      <c r="M24" s="28">
        <f>'Oct22'!E46</f>
        <v>1514.9033333333332</v>
      </c>
      <c r="N24" s="28">
        <f>'Nov22'!E46</f>
        <v>1989.7033333333331</v>
      </c>
      <c r="O24" s="28">
        <f>'Dec22'!E46</f>
        <v>1985.9533333333331</v>
      </c>
      <c r="P24" s="27" t="s">
        <v>54</v>
      </c>
      <c r="Q24" s="28">
        <f>'Jan23'!E46</f>
        <v>1989.7033333333331</v>
      </c>
    </row>
    <row r="25" spans="1:42">
      <c r="A25" s="27" t="s">
        <v>92</v>
      </c>
      <c r="B25" s="27"/>
      <c r="C25" s="27"/>
      <c r="D25" s="27"/>
      <c r="E25" s="27"/>
      <c r="F25" s="27"/>
      <c r="G25" s="27">
        <v>0</v>
      </c>
      <c r="H25" s="28">
        <f>'May22'!E53</f>
        <v>452</v>
      </c>
      <c r="I25" s="28">
        <f>'Jun22'!E56</f>
        <v>746</v>
      </c>
      <c r="J25" s="28">
        <f>'Jul22'!E59</f>
        <v>1201.79</v>
      </c>
      <c r="K25" s="30">
        <f>'Aug22'!E55</f>
        <v>891.63</v>
      </c>
      <c r="L25" s="28">
        <f>'Sep22'!E54</f>
        <v>442.66999999999996</v>
      </c>
      <c r="M25" s="28">
        <f>'Oct22'!E54</f>
        <v>358.66999999999996</v>
      </c>
      <c r="N25" s="28">
        <f>'Nov22'!E54</f>
        <v>860.67</v>
      </c>
      <c r="O25" s="28">
        <f>'Dec22'!E54</f>
        <v>834</v>
      </c>
      <c r="P25" s="27" t="s">
        <v>92</v>
      </c>
      <c r="Q25" s="28">
        <f>'Jan23'!E54</f>
        <v>834</v>
      </c>
    </row>
    <row r="26" spans="1:42">
      <c r="A26" s="27" t="s">
        <v>32</v>
      </c>
      <c r="B26" s="27"/>
      <c r="C26" s="27"/>
      <c r="D26" s="27"/>
      <c r="E26" s="27"/>
      <c r="F26" s="27"/>
      <c r="G26" s="28">
        <f>'Apr22'!E42</f>
        <v>1928.9750000000001</v>
      </c>
      <c r="H26" s="28">
        <f>'May22'!E65</f>
        <v>3608.9450000000002</v>
      </c>
      <c r="I26" s="28">
        <f>'Jun22'!E66</f>
        <v>4013.5</v>
      </c>
      <c r="J26" s="28">
        <f>'Jul22'!E69</f>
        <v>1652</v>
      </c>
      <c r="K26" s="28">
        <f>'Aug22'!E65</f>
        <v>934</v>
      </c>
      <c r="L26" s="28">
        <f>'Sep22'!E64</f>
        <v>538</v>
      </c>
      <c r="M26" s="28">
        <f>'Oct22'!E72</f>
        <v>622.52</v>
      </c>
      <c r="N26" s="28">
        <f>'Nov22'!E72</f>
        <v>3040</v>
      </c>
      <c r="O26" s="28">
        <f>'Dec22'!E72</f>
        <v>978.61</v>
      </c>
      <c r="P26" s="27" t="s">
        <v>32</v>
      </c>
      <c r="Q26" s="28">
        <f>'Jan23'!E72</f>
        <v>419</v>
      </c>
    </row>
    <row r="28" spans="1:42">
      <c r="G28" s="28">
        <f>SUM(G19:G27)</f>
        <v>17857.21</v>
      </c>
      <c r="H28" s="28">
        <f>SUM(H19:H27)</f>
        <v>16629.255000000001</v>
      </c>
      <c r="I28" s="28">
        <f>SUM(I19:I27)</f>
        <v>24525.000000000004</v>
      </c>
      <c r="J28" s="28">
        <f t="shared" ref="J28:O28" si="0">SUM(J19:J27)</f>
        <v>18860.763333333332</v>
      </c>
      <c r="K28" s="28">
        <f t="shared" si="0"/>
        <v>14722.293333333331</v>
      </c>
      <c r="L28" s="28">
        <f t="shared" si="0"/>
        <v>15531.183333333331</v>
      </c>
      <c r="M28" s="28">
        <f t="shared" si="0"/>
        <v>14437.978333333333</v>
      </c>
      <c r="N28" s="28">
        <f t="shared" si="0"/>
        <v>17510.703333333331</v>
      </c>
      <c r="O28" s="28">
        <f t="shared" si="0"/>
        <v>17773.633333333331</v>
      </c>
      <c r="Q28" s="28">
        <f>SUM(Q19:Q27)</f>
        <v>11840.053333333331</v>
      </c>
    </row>
    <row r="29" spans="1:42">
      <c r="Q29" s="19"/>
    </row>
  </sheetData>
  <phoneticPr fontId="3" type="noConversion"/>
  <conditionalFormatting sqref="D17">
    <cfRule type="cellIs" priority="4" operator="greaterThan">
      <formula>5000</formula>
    </cfRule>
  </conditionalFormatting>
  <conditionalFormatting sqref="E17:O17">
    <cfRule type="cellIs" dxfId="2" priority="3" operator="greaterThan">
      <formula>5000</formula>
    </cfRule>
  </conditionalFormatting>
  <conditionalFormatting sqref="Q17:AB17">
    <cfRule type="cellIs" dxfId="1" priority="2" operator="greaterThan">
      <formula>5000</formula>
    </cfRule>
  </conditionalFormatting>
  <conditionalFormatting sqref="AD17:AO17">
    <cfRule type="cellIs" dxfId="0" priority="1" operator="greaterThan">
      <formula>5000</formula>
    </cfRule>
  </conditionalFormatting>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018D9CD-AA0A-419A-A841-5A33204D6656}">
  <ds:schemaRefs>
    <ds:schemaRef ds:uri="http://gemini/pivotcustomization/TableXML_My_Payment_28f9eaa7-2d67-48ef-a071-fe73804f3101"/>
  </ds:schemaRefs>
</ds:datastoreItem>
</file>

<file path=customXml/itemProps2.xml><?xml version="1.0" encoding="utf-8"?>
<ds:datastoreItem xmlns:ds="http://schemas.openxmlformats.org/officeDocument/2006/customXml" ds:itemID="{496F5BA5-02F6-48F0-8241-87B69DF26AF1}">
  <ds:schemaRefs>
    <ds:schemaRef ds:uri="http://gemini/pivotcustomization/ShowHidden"/>
  </ds:schemaRefs>
</ds:datastoreItem>
</file>

<file path=customXml/itemProps3.xml><?xml version="1.0" encoding="utf-8"?>
<ds:datastoreItem xmlns:ds="http://schemas.openxmlformats.org/officeDocument/2006/customXml" ds:itemID="{FC628FD2-3542-4B31-811C-2C93BF18D899}">
  <ds:schemaRefs>
    <ds:schemaRef ds:uri="http://schemas.microsoft.com/DataMashup"/>
  </ds:schemaRefs>
</ds:datastoreItem>
</file>

<file path=customXml/itemProps4.xml><?xml version="1.0" encoding="utf-8"?>
<ds:datastoreItem xmlns:ds="http://schemas.openxmlformats.org/officeDocument/2006/customXml" ds:itemID="{FA3C7D33-C1B8-4337-B60E-14646513D248}">
  <ds:schemaRefs>
    <ds:schemaRef ds:uri="http://gemini/pivotcustomization/IsSandboxEmbedded"/>
  </ds:schemaRefs>
</ds:datastoreItem>
</file>

<file path=customXml/itemProps5.xml><?xml version="1.0" encoding="utf-8"?>
<ds:datastoreItem xmlns:ds="http://schemas.openxmlformats.org/officeDocument/2006/customXml" ds:itemID="{E162A99D-C3EF-475C-B8FB-01A112B0A6F4}">
  <ds:schemaRefs>
    <ds:schemaRef ds:uri="http://gemini/pivotcustomization/TableWidget"/>
  </ds:schemaRefs>
</ds:datastoreItem>
</file>

<file path=customXml/itemProps6.xml><?xml version="1.0" encoding="utf-8"?>
<ds:datastoreItem xmlns:ds="http://schemas.openxmlformats.org/officeDocument/2006/customXml" ds:itemID="{7AACFF5D-DB9E-4848-85FE-66BF5BF715F5}">
  <ds:schemaRefs>
    <ds:schemaRef ds:uri="http://gemini/pivotcustomization/FormulaBarState"/>
  </ds:schemaRefs>
</ds:datastoreItem>
</file>

<file path=customXml/itemProps7.xml><?xml version="1.0" encoding="utf-8"?>
<ds:datastoreItem xmlns:ds="http://schemas.openxmlformats.org/officeDocument/2006/customXml" ds:itemID="{0F72A2B4-6BD3-4CF2-9196-AAB41D052822}">
  <ds:schemaRefs>
    <ds:schemaRef ds:uri="http://gemini/pivotcustomization/RelationshipAutoDetectionEnabled"/>
  </ds:schemaRefs>
</ds:datastoreItem>
</file>

<file path=customXml/itemProps8.xml><?xml version="1.0" encoding="utf-8"?>
<ds:datastoreItem xmlns:ds="http://schemas.openxmlformats.org/officeDocument/2006/customXml" ds:itemID="{8B28A434-7715-4AF7-B90B-532847D45DF5}">
  <ds:schemaRefs>
    <ds:schemaRef ds:uri="http://gemini/pivotcustomization/ShowImplicitMeasures"/>
  </ds:schemaRefs>
</ds:datastoreItem>
</file>

<file path=customXml/itemProps9.xml><?xml version="1.0" encoding="utf-8"?>
<ds:datastoreItem xmlns:ds="http://schemas.openxmlformats.org/officeDocument/2006/customXml" ds:itemID="{85E767BB-DD30-4D83-A611-2E5426F88C0D}">
  <ds:schemaRefs>
    <ds:schemaRef ds:uri="http://gemini/pivotcustomization/Diagrams"/>
  </ds:schemaRefs>
</ds:datastoreItem>
</file>

<file path=customXml/itemProps10.xml><?xml version="1.0" encoding="utf-8"?>
<ds:datastoreItem xmlns:ds="http://schemas.openxmlformats.org/officeDocument/2006/customXml" ds:itemID="{441C9775-31F5-4AF6-BFE5-0A81D46268FB}">
  <ds:schemaRefs>
    <ds:schemaRef ds:uri="http://gemini/pivotcustomization/TableOrder"/>
  </ds:schemaRefs>
</ds:datastoreItem>
</file>

<file path=customXml/itemProps11.xml><?xml version="1.0" encoding="utf-8"?>
<ds:datastoreItem xmlns:ds="http://schemas.openxmlformats.org/officeDocument/2006/customXml" ds:itemID="{4348944E-FEB5-46B3-A8E3-2F8DB73C8075}">
  <ds:schemaRefs>
    <ds:schemaRef ds:uri="http://gemini/pivotcustomization/SandboxNonEmpty"/>
  </ds:schemaRefs>
</ds:datastoreItem>
</file>

<file path=customXml/itemProps12.xml><?xml version="1.0" encoding="utf-8"?>
<ds:datastoreItem xmlns:ds="http://schemas.openxmlformats.org/officeDocument/2006/customXml" ds:itemID="{1B0AED9F-A61A-42DC-8227-1E65243C13D1}">
  <ds:schemaRefs>
    <ds:schemaRef ds:uri="http://gemini/pivotcustomization/PowerPivotVersion"/>
  </ds:schemaRefs>
</ds:datastoreItem>
</file>

<file path=customXml/itemProps13.xml><?xml version="1.0" encoding="utf-8"?>
<ds:datastoreItem xmlns:ds="http://schemas.openxmlformats.org/officeDocument/2006/customXml" ds:itemID="{5238406B-B8C0-4709-940F-55BFD1517D1B}">
  <ds:schemaRefs>
    <ds:schemaRef ds:uri="http://gemini/pivotcustomization/ClientWindowXML"/>
  </ds:schemaRefs>
</ds:datastoreItem>
</file>

<file path=customXml/itemProps14.xml><?xml version="1.0" encoding="utf-8"?>
<ds:datastoreItem xmlns:ds="http://schemas.openxmlformats.org/officeDocument/2006/customXml" ds:itemID="{F9DC0B0B-644F-4CA0-B886-2E45D2864C52}">
  <ds:schemaRefs>
    <ds:schemaRef ds:uri="http://gemini/pivotcustomization/ManualCalcMode"/>
  </ds:schemaRefs>
</ds:datastoreItem>
</file>

<file path=customXml/itemProps15.xml><?xml version="1.0" encoding="utf-8"?>
<ds:datastoreItem xmlns:ds="http://schemas.openxmlformats.org/officeDocument/2006/customXml" ds:itemID="{7BCB8A39-3ECE-4926-B1CF-C7A0A6436125}">
  <ds:schemaRefs>
    <ds:schemaRef ds:uri="http://gemini/pivotcustomization/LinkedTableUpdateMode"/>
  </ds:schemaRefs>
</ds:datastoreItem>
</file>

<file path=customXml/itemProps16.xml><?xml version="1.0" encoding="utf-8"?>
<ds:datastoreItem xmlns:ds="http://schemas.openxmlformats.org/officeDocument/2006/customXml" ds:itemID="{D7F29446-60F4-4965-B797-4F8CCF2466C5}">
  <ds:schemaRefs>
    <ds:schemaRef ds:uri="http://gemini/pivotcustomization/ErrorCache"/>
  </ds:schemaRefs>
</ds:datastoreItem>
</file>

<file path=customXml/itemProps17.xml><?xml version="1.0" encoding="utf-8"?>
<ds:datastoreItem xmlns:ds="http://schemas.openxmlformats.org/officeDocument/2006/customXml" ds:itemID="{C79D8DC1-8935-4998-919F-2105FD95C802}">
  <ds:schemaRefs>
    <ds:schemaRef ds:uri="http://gemini/pivotcustomization/MeasureGridStat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Apr22</vt:lpstr>
      <vt:lpstr>May22</vt:lpstr>
      <vt:lpstr>Jun22</vt:lpstr>
      <vt:lpstr>Jul22</vt:lpstr>
      <vt:lpstr>Aug22</vt:lpstr>
      <vt:lpstr>Sep22</vt:lpstr>
      <vt:lpstr>Oct22</vt:lpstr>
      <vt:lpstr>Nov22</vt:lpstr>
      <vt:lpstr>Dec22</vt:lpstr>
      <vt:lpstr>Jan23</vt:lpstr>
      <vt:lpstr>MyExpense</vt:lpstr>
      <vt:lpstr>BigC Cal</vt:lpstr>
      <vt:lpstr>Total AMT</vt:lpstr>
      <vt:lpstr>PK AMT</vt:lpstr>
      <vt:lpstr>NC AMT</vt:lpstr>
      <vt:lpstr>Installment</vt:lpstr>
      <vt:lpstr>Pivot_Payment</vt:lpstr>
      <vt:lpstr>SumInstallment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Phuwanai Kraiprayoon : ภูวนัย ไกรประยูร</dc:creator>
  <cp:keywords/>
  <dc:description/>
  <cp:lastModifiedBy>Ryu Onizuka</cp:lastModifiedBy>
  <cp:revision/>
  <dcterms:created xsi:type="dcterms:W3CDTF">2022-03-30T02:28:00Z</dcterms:created>
  <dcterms:modified xsi:type="dcterms:W3CDTF">2026-07-11T06:52:08Z</dcterms:modified>
  <cp:category/>
  <cp:contentStatus/>
</cp:coreProperties>
</file>